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ckup\Documents\backend-lucky\"/>
    </mc:Choice>
  </mc:AlternateContent>
  <xr:revisionPtr revIDLastSave="0" documentId="8_{9ED822C8-8808-49A1-BA6F-8581FB8C165A}" xr6:coauthVersionLast="47" xr6:coauthVersionMax="47" xr10:uidLastSave="{00000000-0000-0000-0000-000000000000}"/>
  <bookViews>
    <workbookView xWindow="-108" yWindow="-108" windowWidth="19416" windowHeight="10296" xr2:uid="{80765094-FA52-44C1-ADD6-00AAD7DAC342}"/>
  </bookViews>
  <sheets>
    <sheet name="Movimento" sheetId="1" r:id="rId1"/>
  </sheets>
  <externalReferences>
    <externalReference r:id="rId2"/>
  </externalReferences>
  <definedNames>
    <definedName name="_ABC1">#REF!</definedName>
    <definedName name="_xlnm._FilterDatabase" localSheetId="0" hidden="1">Movimento!#REF!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_xlnm.Print_Titles" localSheetId="0">Movimento!$1:$1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R2" i="1"/>
  <c r="M3" i="1"/>
  <c r="R3" i="1"/>
  <c r="M4" i="1"/>
  <c r="R4" i="1"/>
  <c r="M5" i="1"/>
  <c r="R5" i="1"/>
  <c r="M6" i="1"/>
  <c r="R6" i="1"/>
  <c r="M7" i="1"/>
  <c r="R7" i="1"/>
  <c r="M8" i="1"/>
  <c r="R8" i="1"/>
  <c r="M9" i="1"/>
  <c r="R9" i="1"/>
  <c r="M10" i="1"/>
  <c r="R10" i="1"/>
  <c r="M11" i="1"/>
  <c r="R11" i="1"/>
  <c r="M12" i="1"/>
  <c r="R12" i="1"/>
  <c r="M13" i="1"/>
  <c r="R13" i="1"/>
  <c r="M14" i="1"/>
  <c r="O14" i="1"/>
  <c r="P14" i="1"/>
  <c r="Q14" i="1"/>
  <c r="R14" i="1"/>
  <c r="M15" i="1"/>
  <c r="O15" i="1"/>
  <c r="P15" i="1"/>
  <c r="Q15" i="1"/>
  <c r="R15" i="1"/>
  <c r="M16" i="1"/>
  <c r="O16" i="1"/>
  <c r="P16" i="1"/>
  <c r="Q16" i="1"/>
  <c r="R16" i="1"/>
  <c r="M17" i="1"/>
  <c r="O17" i="1"/>
  <c r="P17" i="1"/>
  <c r="Q17" i="1"/>
  <c r="R17" i="1"/>
  <c r="M18" i="1"/>
  <c r="O18" i="1"/>
  <c r="P18" i="1"/>
  <c r="Q18" i="1"/>
  <c r="R18" i="1"/>
  <c r="M19" i="1"/>
  <c r="O19" i="1"/>
  <c r="P19" i="1"/>
  <c r="Q19" i="1"/>
  <c r="R19" i="1"/>
  <c r="M20" i="1"/>
  <c r="O20" i="1"/>
  <c r="P20" i="1"/>
  <c r="Q20" i="1"/>
  <c r="R20" i="1"/>
  <c r="M21" i="1"/>
  <c r="O21" i="1"/>
  <c r="P21" i="1"/>
  <c r="Q21" i="1"/>
  <c r="R21" i="1"/>
  <c r="M22" i="1"/>
  <c r="O22" i="1"/>
  <c r="P22" i="1"/>
  <c r="Q22" i="1"/>
  <c r="R22" i="1"/>
  <c r="M23" i="1"/>
  <c r="O23" i="1"/>
  <c r="P23" i="1"/>
  <c r="Q23" i="1"/>
  <c r="R23" i="1"/>
  <c r="M24" i="1"/>
  <c r="O24" i="1"/>
  <c r="P24" i="1"/>
  <c r="Q24" i="1"/>
  <c r="R24" i="1"/>
  <c r="M25" i="1"/>
  <c r="O25" i="1"/>
  <c r="P25" i="1"/>
  <c r="Q25" i="1"/>
  <c r="R25" i="1"/>
  <c r="M26" i="1"/>
  <c r="O26" i="1"/>
  <c r="P26" i="1"/>
  <c r="Q26" i="1"/>
  <c r="R26" i="1"/>
  <c r="M27" i="1"/>
  <c r="O27" i="1"/>
  <c r="P27" i="1"/>
  <c r="Q27" i="1"/>
  <c r="R27" i="1"/>
  <c r="M28" i="1"/>
  <c r="O28" i="1"/>
  <c r="P28" i="1"/>
  <c r="Q28" i="1"/>
  <c r="R28" i="1"/>
  <c r="M29" i="1"/>
  <c r="O29" i="1"/>
  <c r="P29" i="1"/>
  <c r="Q29" i="1"/>
  <c r="R29" i="1"/>
  <c r="M30" i="1"/>
  <c r="O30" i="1"/>
  <c r="P30" i="1"/>
  <c r="Q30" i="1"/>
  <c r="R30" i="1"/>
  <c r="M31" i="1"/>
  <c r="O31" i="1"/>
  <c r="P31" i="1"/>
  <c r="Q31" i="1"/>
  <c r="R31" i="1"/>
  <c r="M32" i="1"/>
  <c r="O32" i="1"/>
  <c r="P32" i="1"/>
  <c r="Q32" i="1"/>
  <c r="R32" i="1"/>
  <c r="M33" i="1"/>
  <c r="O33" i="1"/>
  <c r="P33" i="1"/>
  <c r="Q33" i="1"/>
  <c r="R33" i="1"/>
  <c r="M34" i="1"/>
  <c r="O34" i="1"/>
  <c r="P34" i="1"/>
  <c r="Q34" i="1"/>
  <c r="R34" i="1"/>
  <c r="M35" i="1"/>
  <c r="O35" i="1"/>
  <c r="P35" i="1"/>
  <c r="Q35" i="1"/>
  <c r="R35" i="1"/>
  <c r="M36" i="1"/>
  <c r="O36" i="1"/>
  <c r="P36" i="1"/>
  <c r="Q36" i="1"/>
  <c r="R36" i="1"/>
  <c r="M37" i="1"/>
  <c r="O37" i="1"/>
  <c r="P37" i="1"/>
  <c r="Q37" i="1"/>
  <c r="R37" i="1"/>
  <c r="M38" i="1"/>
  <c r="O38" i="1"/>
  <c r="P38" i="1"/>
  <c r="Q38" i="1"/>
  <c r="R38" i="1"/>
  <c r="M39" i="1"/>
  <c r="O39" i="1"/>
  <c r="P39" i="1"/>
  <c r="Q39" i="1"/>
  <c r="R39" i="1"/>
  <c r="M40" i="1"/>
  <c r="O40" i="1"/>
  <c r="P40" i="1"/>
  <c r="Q40" i="1"/>
  <c r="R40" i="1"/>
  <c r="M41" i="1"/>
  <c r="O41" i="1"/>
  <c r="P41" i="1"/>
  <c r="Q41" i="1"/>
  <c r="R41" i="1"/>
  <c r="M42" i="1"/>
  <c r="O42" i="1"/>
  <c r="P42" i="1"/>
  <c r="Q42" i="1"/>
  <c r="R42" i="1"/>
  <c r="M43" i="1"/>
  <c r="O43" i="1"/>
  <c r="P43" i="1"/>
  <c r="Q43" i="1"/>
  <c r="R43" i="1"/>
  <c r="M44" i="1"/>
  <c r="O44" i="1"/>
  <c r="P44" i="1"/>
  <c r="Q44" i="1"/>
  <c r="R44" i="1"/>
  <c r="M45" i="1"/>
  <c r="O45" i="1"/>
  <c r="P45" i="1"/>
  <c r="Q45" i="1"/>
  <c r="R45" i="1"/>
  <c r="M46" i="1"/>
  <c r="O46" i="1"/>
  <c r="P46" i="1"/>
  <c r="Q46" i="1"/>
  <c r="R46" i="1"/>
  <c r="M47" i="1"/>
  <c r="O47" i="1"/>
  <c r="P47" i="1"/>
  <c r="Q47" i="1"/>
  <c r="R47" i="1"/>
  <c r="M48" i="1"/>
  <c r="O48" i="1"/>
  <c r="P48" i="1"/>
  <c r="Q48" i="1"/>
  <c r="R48" i="1"/>
  <c r="M49" i="1"/>
  <c r="O49" i="1"/>
  <c r="P49" i="1"/>
  <c r="Q49" i="1"/>
  <c r="R49" i="1"/>
  <c r="M50" i="1"/>
  <c r="O50" i="1"/>
  <c r="P50" i="1"/>
  <c r="Q50" i="1"/>
  <c r="R50" i="1"/>
  <c r="M51" i="1"/>
  <c r="O51" i="1"/>
  <c r="P51" i="1"/>
  <c r="Q51" i="1"/>
  <c r="R51" i="1"/>
  <c r="M52" i="1"/>
  <c r="O52" i="1"/>
  <c r="P52" i="1"/>
  <c r="Q52" i="1"/>
  <c r="R52" i="1"/>
  <c r="M53" i="1"/>
  <c r="O53" i="1"/>
  <c r="P53" i="1"/>
  <c r="Q53" i="1"/>
  <c r="R53" i="1"/>
  <c r="M54" i="1"/>
  <c r="O54" i="1"/>
  <c r="P54" i="1"/>
  <c r="Q54" i="1"/>
  <c r="R54" i="1"/>
  <c r="M55" i="1"/>
  <c r="O55" i="1"/>
  <c r="P55" i="1"/>
  <c r="Q55" i="1"/>
  <c r="R55" i="1"/>
  <c r="M56" i="1"/>
  <c r="O56" i="1"/>
  <c r="P56" i="1"/>
  <c r="Q56" i="1"/>
  <c r="R56" i="1"/>
  <c r="M57" i="1"/>
  <c r="O57" i="1"/>
  <c r="P57" i="1"/>
  <c r="Q57" i="1"/>
  <c r="R57" i="1"/>
  <c r="M58" i="1"/>
  <c r="O58" i="1"/>
  <c r="P58" i="1"/>
  <c r="Q58" i="1"/>
  <c r="R58" i="1"/>
  <c r="M59" i="1"/>
  <c r="O59" i="1"/>
  <c r="P59" i="1"/>
  <c r="Q59" i="1"/>
  <c r="R59" i="1"/>
  <c r="M60" i="1"/>
  <c r="O60" i="1"/>
  <c r="P60" i="1"/>
  <c r="Q60" i="1"/>
  <c r="R60" i="1"/>
  <c r="M61" i="1"/>
  <c r="O61" i="1"/>
  <c r="P61" i="1"/>
  <c r="Q61" i="1"/>
  <c r="R61" i="1"/>
  <c r="M62" i="1"/>
  <c r="O62" i="1"/>
  <c r="P62" i="1"/>
  <c r="Q62" i="1"/>
  <c r="R62" i="1"/>
  <c r="M63" i="1"/>
  <c r="O63" i="1"/>
  <c r="P63" i="1"/>
  <c r="Q63" i="1"/>
  <c r="R63" i="1"/>
  <c r="M64" i="1"/>
  <c r="O64" i="1"/>
  <c r="P64" i="1"/>
  <c r="Q64" i="1"/>
  <c r="R64" i="1"/>
  <c r="M65" i="1"/>
  <c r="O65" i="1"/>
  <c r="P65" i="1"/>
  <c r="Q65" i="1"/>
  <c r="R65" i="1"/>
  <c r="M66" i="1"/>
  <c r="O66" i="1"/>
  <c r="P66" i="1"/>
  <c r="Q66" i="1"/>
  <c r="R66" i="1"/>
  <c r="M67" i="1"/>
  <c r="O67" i="1"/>
  <c r="P67" i="1"/>
  <c r="Q67" i="1"/>
  <c r="R67" i="1"/>
  <c r="M68" i="1"/>
  <c r="O68" i="1"/>
  <c r="P68" i="1"/>
  <c r="Q68" i="1"/>
  <c r="R68" i="1"/>
  <c r="M69" i="1"/>
  <c r="O69" i="1"/>
  <c r="P69" i="1"/>
  <c r="Q69" i="1"/>
  <c r="R69" i="1"/>
  <c r="M70" i="1"/>
  <c r="O70" i="1"/>
  <c r="P70" i="1"/>
  <c r="Q70" i="1"/>
  <c r="R70" i="1"/>
  <c r="M71" i="1"/>
  <c r="O71" i="1"/>
  <c r="P71" i="1"/>
  <c r="Q71" i="1"/>
  <c r="R71" i="1"/>
  <c r="M72" i="1"/>
  <c r="O72" i="1"/>
  <c r="P72" i="1"/>
  <c r="Q72" i="1"/>
  <c r="R72" i="1"/>
  <c r="M73" i="1"/>
  <c r="O73" i="1"/>
  <c r="P73" i="1"/>
  <c r="Q73" i="1"/>
  <c r="R73" i="1"/>
  <c r="M74" i="1"/>
  <c r="O74" i="1"/>
  <c r="P74" i="1"/>
  <c r="Q74" i="1"/>
  <c r="R74" i="1"/>
  <c r="M75" i="1"/>
  <c r="O75" i="1"/>
  <c r="P75" i="1"/>
  <c r="Q75" i="1"/>
  <c r="R75" i="1"/>
  <c r="M76" i="1"/>
  <c r="O76" i="1"/>
  <c r="P76" i="1"/>
  <c r="Q76" i="1"/>
  <c r="R76" i="1"/>
  <c r="M77" i="1"/>
  <c r="O77" i="1"/>
  <c r="P77" i="1"/>
  <c r="Q77" i="1"/>
  <c r="R77" i="1"/>
  <c r="M78" i="1"/>
  <c r="O78" i="1"/>
  <c r="P78" i="1"/>
  <c r="Q78" i="1"/>
  <c r="R78" i="1"/>
  <c r="M79" i="1"/>
  <c r="O79" i="1"/>
  <c r="P79" i="1"/>
  <c r="Q79" i="1"/>
  <c r="R79" i="1"/>
  <c r="M80" i="1"/>
  <c r="O80" i="1"/>
  <c r="P80" i="1"/>
  <c r="Q80" i="1"/>
  <c r="R80" i="1"/>
  <c r="M81" i="1"/>
  <c r="O81" i="1"/>
  <c r="P81" i="1"/>
  <c r="Q81" i="1"/>
  <c r="R81" i="1"/>
  <c r="M82" i="1"/>
  <c r="O82" i="1"/>
  <c r="P82" i="1"/>
  <c r="Q82" i="1"/>
  <c r="R82" i="1"/>
  <c r="M83" i="1"/>
  <c r="O83" i="1"/>
  <c r="P83" i="1"/>
  <c r="Q83" i="1"/>
  <c r="R83" i="1"/>
  <c r="M84" i="1"/>
  <c r="O84" i="1"/>
  <c r="P84" i="1"/>
  <c r="Q84" i="1"/>
  <c r="R84" i="1"/>
  <c r="M85" i="1"/>
  <c r="O85" i="1"/>
  <c r="P85" i="1"/>
  <c r="Q85" i="1"/>
  <c r="R85" i="1"/>
  <c r="M86" i="1"/>
  <c r="O86" i="1"/>
  <c r="P86" i="1"/>
  <c r="Q86" i="1"/>
  <c r="R86" i="1"/>
  <c r="M87" i="1"/>
  <c r="O87" i="1"/>
  <c r="P87" i="1"/>
  <c r="Q87" i="1"/>
  <c r="R87" i="1"/>
  <c r="M88" i="1"/>
  <c r="O88" i="1"/>
  <c r="P88" i="1"/>
  <c r="Q88" i="1"/>
  <c r="R88" i="1"/>
  <c r="M89" i="1"/>
  <c r="O89" i="1"/>
  <c r="P89" i="1"/>
  <c r="Q89" i="1"/>
  <c r="R89" i="1"/>
  <c r="M90" i="1"/>
  <c r="O90" i="1"/>
  <c r="P90" i="1"/>
  <c r="Q90" i="1"/>
  <c r="R90" i="1"/>
  <c r="M91" i="1"/>
  <c r="O91" i="1"/>
  <c r="P91" i="1"/>
  <c r="Q91" i="1"/>
  <c r="R91" i="1"/>
  <c r="M92" i="1"/>
  <c r="O92" i="1"/>
  <c r="P92" i="1"/>
  <c r="Q92" i="1"/>
  <c r="R92" i="1"/>
  <c r="M93" i="1"/>
  <c r="O93" i="1"/>
  <c r="P93" i="1"/>
  <c r="Q93" i="1"/>
  <c r="R93" i="1"/>
  <c r="M94" i="1"/>
  <c r="O94" i="1"/>
  <c r="P94" i="1"/>
  <c r="Q94" i="1"/>
  <c r="R94" i="1"/>
  <c r="M95" i="1"/>
  <c r="O95" i="1"/>
  <c r="P95" i="1"/>
  <c r="Q95" i="1"/>
  <c r="R95" i="1"/>
  <c r="M96" i="1"/>
  <c r="O96" i="1"/>
  <c r="P96" i="1"/>
  <c r="Q96" i="1"/>
  <c r="R96" i="1"/>
  <c r="M97" i="1"/>
  <c r="O97" i="1"/>
  <c r="P97" i="1"/>
  <c r="Q97" i="1"/>
  <c r="R97" i="1"/>
  <c r="M98" i="1"/>
  <c r="O98" i="1"/>
  <c r="P98" i="1"/>
  <c r="Q98" i="1"/>
  <c r="R98" i="1"/>
  <c r="M99" i="1"/>
  <c r="O99" i="1"/>
  <c r="P99" i="1"/>
  <c r="Q99" i="1"/>
  <c r="R99" i="1"/>
  <c r="M100" i="1"/>
  <c r="O100" i="1"/>
  <c r="P100" i="1"/>
  <c r="Q100" i="1"/>
  <c r="R100" i="1"/>
  <c r="M101" i="1"/>
  <c r="O101" i="1"/>
  <c r="P101" i="1"/>
  <c r="Q101" i="1"/>
  <c r="R101" i="1"/>
  <c r="M102" i="1"/>
  <c r="O102" i="1"/>
  <c r="P102" i="1"/>
  <c r="Q102" i="1"/>
  <c r="R102" i="1"/>
  <c r="M103" i="1"/>
  <c r="O103" i="1"/>
  <c r="P103" i="1"/>
  <c r="Q103" i="1"/>
  <c r="R103" i="1"/>
  <c r="M104" i="1"/>
  <c r="O104" i="1"/>
  <c r="P104" i="1"/>
  <c r="Q104" i="1"/>
  <c r="R104" i="1"/>
  <c r="M105" i="1"/>
  <c r="O105" i="1"/>
  <c r="P105" i="1"/>
  <c r="Q105" i="1"/>
  <c r="R105" i="1"/>
  <c r="M106" i="1"/>
  <c r="O106" i="1"/>
  <c r="P106" i="1"/>
  <c r="Q106" i="1"/>
  <c r="R106" i="1"/>
  <c r="M107" i="1"/>
  <c r="O107" i="1"/>
  <c r="P107" i="1"/>
  <c r="Q107" i="1"/>
  <c r="R107" i="1"/>
  <c r="M108" i="1"/>
  <c r="O108" i="1"/>
  <c r="P108" i="1"/>
  <c r="Q108" i="1"/>
  <c r="R108" i="1"/>
  <c r="M109" i="1"/>
  <c r="O109" i="1"/>
  <c r="P109" i="1"/>
  <c r="Q109" i="1"/>
  <c r="R109" i="1"/>
  <c r="M110" i="1"/>
  <c r="O110" i="1"/>
  <c r="P110" i="1"/>
  <c r="Q110" i="1"/>
  <c r="R110" i="1"/>
  <c r="M111" i="1"/>
  <c r="O111" i="1"/>
  <c r="P111" i="1"/>
  <c r="Q111" i="1"/>
  <c r="R111" i="1"/>
  <c r="M112" i="1"/>
  <c r="O112" i="1"/>
  <c r="P112" i="1"/>
  <c r="Q112" i="1"/>
  <c r="R112" i="1"/>
  <c r="M113" i="1"/>
  <c r="O113" i="1"/>
  <c r="P113" i="1"/>
  <c r="Q113" i="1"/>
  <c r="R113" i="1"/>
  <c r="M114" i="1"/>
  <c r="O114" i="1"/>
  <c r="P114" i="1"/>
  <c r="Q114" i="1"/>
  <c r="R114" i="1"/>
  <c r="M115" i="1"/>
  <c r="O115" i="1"/>
  <c r="P115" i="1"/>
  <c r="Q115" i="1"/>
  <c r="R115" i="1"/>
  <c r="M116" i="1"/>
  <c r="O116" i="1"/>
  <c r="P116" i="1"/>
  <c r="Q116" i="1"/>
  <c r="R116" i="1"/>
  <c r="M117" i="1"/>
  <c r="O117" i="1"/>
  <c r="P117" i="1"/>
  <c r="Q117" i="1"/>
  <c r="R117" i="1"/>
  <c r="M118" i="1"/>
  <c r="O118" i="1"/>
  <c r="P118" i="1"/>
  <c r="Q118" i="1"/>
  <c r="R118" i="1"/>
  <c r="M119" i="1"/>
  <c r="O119" i="1"/>
  <c r="P119" i="1"/>
  <c r="Q119" i="1"/>
  <c r="R119" i="1"/>
  <c r="M120" i="1"/>
  <c r="O120" i="1"/>
  <c r="P120" i="1"/>
  <c r="Q120" i="1"/>
  <c r="R120" i="1"/>
  <c r="M121" i="1"/>
  <c r="O121" i="1"/>
  <c r="P121" i="1"/>
  <c r="Q121" i="1"/>
  <c r="R121" i="1"/>
  <c r="M122" i="1"/>
  <c r="O122" i="1"/>
  <c r="P122" i="1"/>
  <c r="Q122" i="1"/>
  <c r="R122" i="1"/>
  <c r="M123" i="1"/>
  <c r="O123" i="1"/>
  <c r="P123" i="1"/>
  <c r="Q123" i="1"/>
  <c r="R123" i="1"/>
  <c r="M124" i="1"/>
  <c r="O124" i="1"/>
  <c r="P124" i="1"/>
  <c r="Q124" i="1"/>
  <c r="R124" i="1"/>
  <c r="M125" i="1"/>
  <c r="O125" i="1"/>
  <c r="P125" i="1"/>
  <c r="Q125" i="1"/>
  <c r="R125" i="1"/>
  <c r="M126" i="1"/>
  <c r="O126" i="1"/>
  <c r="P126" i="1"/>
  <c r="Q126" i="1"/>
  <c r="R126" i="1"/>
  <c r="M127" i="1"/>
  <c r="O127" i="1"/>
  <c r="P127" i="1"/>
  <c r="Q127" i="1"/>
  <c r="R127" i="1"/>
  <c r="M128" i="1"/>
  <c r="O128" i="1"/>
  <c r="P128" i="1"/>
  <c r="Q128" i="1"/>
  <c r="R128" i="1"/>
  <c r="M129" i="1"/>
  <c r="O129" i="1"/>
  <c r="P129" i="1"/>
  <c r="Q129" i="1"/>
  <c r="R129" i="1"/>
  <c r="M130" i="1"/>
  <c r="O130" i="1"/>
  <c r="P130" i="1"/>
  <c r="Q130" i="1"/>
  <c r="R130" i="1"/>
  <c r="M131" i="1"/>
  <c r="O131" i="1"/>
  <c r="P131" i="1"/>
  <c r="Q131" i="1"/>
  <c r="R131" i="1"/>
  <c r="M132" i="1"/>
  <c r="O132" i="1"/>
  <c r="P132" i="1"/>
  <c r="Q132" i="1"/>
  <c r="R132" i="1"/>
  <c r="M133" i="1"/>
  <c r="O133" i="1"/>
  <c r="P133" i="1"/>
  <c r="Q133" i="1"/>
  <c r="R133" i="1"/>
  <c r="M134" i="1"/>
  <c r="O134" i="1"/>
  <c r="P134" i="1"/>
  <c r="Q134" i="1"/>
  <c r="R134" i="1"/>
  <c r="M135" i="1"/>
  <c r="O135" i="1"/>
  <c r="P135" i="1"/>
  <c r="Q135" i="1"/>
  <c r="R135" i="1"/>
  <c r="M136" i="1"/>
  <c r="O136" i="1"/>
  <c r="P136" i="1"/>
  <c r="Q136" i="1"/>
  <c r="R136" i="1"/>
  <c r="M137" i="1"/>
  <c r="O137" i="1"/>
  <c r="P137" i="1"/>
  <c r="Q137" i="1"/>
  <c r="R137" i="1"/>
  <c r="M138" i="1"/>
  <c r="O138" i="1"/>
  <c r="P138" i="1"/>
  <c r="Q138" i="1"/>
  <c r="R138" i="1"/>
  <c r="M139" i="1"/>
  <c r="O139" i="1"/>
  <c r="P139" i="1"/>
  <c r="Q139" i="1"/>
  <c r="R139" i="1"/>
  <c r="M140" i="1"/>
  <c r="O140" i="1"/>
  <c r="P140" i="1"/>
  <c r="Q140" i="1"/>
  <c r="R140" i="1"/>
  <c r="M141" i="1"/>
  <c r="O141" i="1"/>
  <c r="P141" i="1"/>
  <c r="Q141" i="1"/>
  <c r="R141" i="1"/>
  <c r="M142" i="1"/>
  <c r="O142" i="1"/>
  <c r="P142" i="1"/>
  <c r="Q142" i="1"/>
  <c r="R142" i="1"/>
  <c r="M143" i="1"/>
  <c r="O143" i="1"/>
  <c r="P143" i="1"/>
  <c r="Q143" i="1"/>
  <c r="R143" i="1"/>
  <c r="M144" i="1"/>
  <c r="O144" i="1"/>
  <c r="P144" i="1"/>
  <c r="Q144" i="1"/>
  <c r="R144" i="1"/>
  <c r="M145" i="1"/>
  <c r="O145" i="1"/>
  <c r="P145" i="1"/>
  <c r="Q145" i="1"/>
  <c r="R145" i="1"/>
  <c r="M146" i="1"/>
  <c r="O146" i="1"/>
  <c r="P146" i="1"/>
  <c r="Q146" i="1"/>
  <c r="R146" i="1"/>
  <c r="M147" i="1"/>
  <c r="O147" i="1"/>
  <c r="P147" i="1"/>
  <c r="Q147" i="1"/>
  <c r="R147" i="1"/>
  <c r="M148" i="1"/>
  <c r="O148" i="1"/>
  <c r="P148" i="1"/>
  <c r="Q148" i="1"/>
  <c r="R148" i="1"/>
  <c r="M149" i="1"/>
  <c r="O149" i="1"/>
  <c r="P149" i="1"/>
  <c r="Q149" i="1"/>
  <c r="R149" i="1"/>
  <c r="M150" i="1"/>
  <c r="O150" i="1"/>
  <c r="P150" i="1"/>
  <c r="Q150" i="1"/>
  <c r="R150" i="1"/>
  <c r="M151" i="1"/>
  <c r="O151" i="1"/>
  <c r="P151" i="1"/>
  <c r="Q151" i="1"/>
  <c r="R151" i="1"/>
  <c r="M152" i="1"/>
  <c r="O152" i="1"/>
  <c r="P152" i="1"/>
  <c r="Q152" i="1"/>
  <c r="R152" i="1"/>
  <c r="M153" i="1"/>
  <c r="O153" i="1"/>
  <c r="P153" i="1"/>
  <c r="Q153" i="1"/>
  <c r="R153" i="1"/>
  <c r="M154" i="1"/>
  <c r="O154" i="1"/>
  <c r="P154" i="1"/>
  <c r="Q154" i="1"/>
  <c r="R154" i="1"/>
  <c r="M155" i="1"/>
  <c r="O155" i="1"/>
  <c r="P155" i="1"/>
  <c r="Q155" i="1"/>
  <c r="R155" i="1"/>
  <c r="M156" i="1"/>
  <c r="O156" i="1"/>
  <c r="P156" i="1"/>
  <c r="Q156" i="1"/>
  <c r="R156" i="1"/>
  <c r="M157" i="1"/>
  <c r="O157" i="1"/>
  <c r="P157" i="1"/>
  <c r="Q157" i="1"/>
  <c r="R157" i="1"/>
  <c r="M158" i="1"/>
  <c r="O158" i="1"/>
  <c r="P158" i="1"/>
  <c r="Q158" i="1"/>
  <c r="R158" i="1"/>
  <c r="M159" i="1"/>
  <c r="O159" i="1"/>
  <c r="P159" i="1"/>
  <c r="Q159" i="1"/>
  <c r="R159" i="1"/>
  <c r="M160" i="1"/>
  <c r="O160" i="1"/>
  <c r="P160" i="1"/>
  <c r="Q160" i="1"/>
  <c r="R160" i="1"/>
  <c r="M161" i="1"/>
  <c r="O161" i="1"/>
  <c r="P161" i="1"/>
  <c r="Q161" i="1"/>
  <c r="R161" i="1"/>
  <c r="M162" i="1"/>
  <c r="O162" i="1"/>
  <c r="P162" i="1"/>
  <c r="Q162" i="1"/>
  <c r="R162" i="1"/>
  <c r="M163" i="1"/>
  <c r="O163" i="1"/>
  <c r="P163" i="1"/>
  <c r="Q163" i="1"/>
  <c r="R163" i="1"/>
  <c r="M164" i="1"/>
  <c r="O164" i="1"/>
  <c r="P164" i="1"/>
  <c r="Q164" i="1"/>
  <c r="R164" i="1"/>
  <c r="M165" i="1"/>
  <c r="O165" i="1"/>
  <c r="P165" i="1"/>
  <c r="Q165" i="1"/>
  <c r="R165" i="1"/>
  <c r="M166" i="1"/>
  <c r="O166" i="1"/>
  <c r="P166" i="1"/>
  <c r="Q166" i="1"/>
  <c r="R166" i="1"/>
  <c r="M167" i="1"/>
  <c r="O167" i="1"/>
  <c r="P167" i="1"/>
  <c r="Q167" i="1"/>
  <c r="R167" i="1"/>
  <c r="M168" i="1"/>
  <c r="O168" i="1"/>
  <c r="P168" i="1"/>
  <c r="Q168" i="1"/>
  <c r="R168" i="1"/>
  <c r="M169" i="1"/>
  <c r="O169" i="1"/>
  <c r="P169" i="1"/>
  <c r="Q169" i="1"/>
  <c r="R169" i="1"/>
  <c r="M170" i="1"/>
  <c r="O170" i="1"/>
  <c r="P170" i="1"/>
  <c r="Q170" i="1"/>
  <c r="R170" i="1"/>
  <c r="M171" i="1"/>
  <c r="O171" i="1"/>
  <c r="P171" i="1"/>
  <c r="Q171" i="1"/>
  <c r="R171" i="1"/>
  <c r="M172" i="1"/>
  <c r="O172" i="1"/>
  <c r="P172" i="1"/>
  <c r="Q172" i="1"/>
  <c r="R172" i="1"/>
  <c r="M173" i="1"/>
  <c r="O173" i="1"/>
  <c r="P173" i="1"/>
  <c r="Q173" i="1"/>
  <c r="R173" i="1"/>
  <c r="M174" i="1"/>
  <c r="O174" i="1"/>
  <c r="P174" i="1"/>
  <c r="Q174" i="1"/>
  <c r="R174" i="1"/>
  <c r="M175" i="1"/>
  <c r="O175" i="1"/>
  <c r="P175" i="1"/>
  <c r="Q175" i="1"/>
  <c r="R175" i="1"/>
  <c r="M176" i="1"/>
  <c r="O176" i="1"/>
  <c r="P176" i="1"/>
  <c r="Q176" i="1"/>
  <c r="R176" i="1"/>
  <c r="M177" i="1"/>
  <c r="O177" i="1"/>
  <c r="P177" i="1"/>
  <c r="Q177" i="1"/>
  <c r="R177" i="1"/>
  <c r="M178" i="1"/>
  <c r="O178" i="1"/>
  <c r="P178" i="1"/>
  <c r="Q178" i="1"/>
  <c r="R178" i="1"/>
  <c r="M179" i="1"/>
  <c r="O179" i="1"/>
  <c r="P179" i="1"/>
  <c r="Q179" i="1"/>
  <c r="R179" i="1"/>
  <c r="M180" i="1"/>
  <c r="O180" i="1"/>
  <c r="P180" i="1"/>
  <c r="Q180" i="1"/>
  <c r="R180" i="1"/>
  <c r="M181" i="1"/>
  <c r="O181" i="1"/>
  <c r="P181" i="1"/>
  <c r="Q181" i="1"/>
  <c r="R181" i="1"/>
  <c r="M182" i="1"/>
  <c r="O182" i="1"/>
  <c r="P182" i="1"/>
  <c r="Q182" i="1"/>
  <c r="R182" i="1"/>
  <c r="M183" i="1"/>
  <c r="O183" i="1"/>
  <c r="P183" i="1"/>
  <c r="Q183" i="1"/>
  <c r="R183" i="1"/>
  <c r="M184" i="1"/>
  <c r="O184" i="1"/>
  <c r="P184" i="1"/>
  <c r="Q184" i="1"/>
  <c r="R184" i="1"/>
  <c r="M185" i="1"/>
  <c r="O185" i="1"/>
  <c r="P185" i="1"/>
  <c r="Q185" i="1"/>
  <c r="R185" i="1"/>
  <c r="M186" i="1"/>
  <c r="O186" i="1"/>
  <c r="P186" i="1"/>
  <c r="Q186" i="1"/>
  <c r="R186" i="1"/>
  <c r="M187" i="1"/>
  <c r="O187" i="1"/>
  <c r="P187" i="1"/>
  <c r="Q187" i="1"/>
  <c r="R187" i="1"/>
  <c r="M188" i="1"/>
  <c r="O188" i="1"/>
  <c r="P188" i="1"/>
  <c r="Q188" i="1"/>
  <c r="R188" i="1"/>
  <c r="M189" i="1"/>
  <c r="O189" i="1"/>
  <c r="P189" i="1"/>
  <c r="Q189" i="1"/>
  <c r="R189" i="1"/>
  <c r="M190" i="1"/>
  <c r="O190" i="1"/>
  <c r="P190" i="1"/>
  <c r="Q190" i="1"/>
  <c r="R190" i="1"/>
  <c r="M191" i="1"/>
  <c r="O191" i="1"/>
  <c r="P191" i="1"/>
  <c r="Q191" i="1"/>
  <c r="R191" i="1"/>
  <c r="M192" i="1"/>
  <c r="O192" i="1"/>
  <c r="P192" i="1"/>
  <c r="Q192" i="1"/>
  <c r="R192" i="1"/>
  <c r="M193" i="1"/>
  <c r="O193" i="1"/>
  <c r="P193" i="1"/>
  <c r="Q193" i="1"/>
  <c r="R193" i="1"/>
  <c r="M194" i="1"/>
  <c r="O194" i="1"/>
  <c r="P194" i="1"/>
  <c r="Q194" i="1"/>
  <c r="R194" i="1"/>
  <c r="M195" i="1"/>
  <c r="O195" i="1"/>
  <c r="P195" i="1"/>
  <c r="Q195" i="1"/>
  <c r="R195" i="1"/>
  <c r="M196" i="1"/>
  <c r="O196" i="1"/>
  <c r="P196" i="1"/>
  <c r="Q196" i="1"/>
  <c r="R196" i="1"/>
  <c r="M197" i="1"/>
  <c r="O197" i="1"/>
  <c r="P197" i="1"/>
  <c r="Q197" i="1"/>
  <c r="R197" i="1"/>
  <c r="M198" i="1"/>
  <c r="O198" i="1"/>
  <c r="P198" i="1"/>
  <c r="Q198" i="1"/>
  <c r="R198" i="1"/>
  <c r="M199" i="1"/>
  <c r="O199" i="1"/>
  <c r="P199" i="1"/>
  <c r="Q199" i="1"/>
  <c r="R199" i="1"/>
  <c r="M200" i="1"/>
  <c r="O200" i="1"/>
  <c r="P200" i="1"/>
  <c r="Q200" i="1"/>
  <c r="R200" i="1"/>
  <c r="M201" i="1"/>
  <c r="O201" i="1"/>
  <c r="P201" i="1"/>
  <c r="Q201" i="1"/>
  <c r="R201" i="1"/>
  <c r="M202" i="1"/>
  <c r="O202" i="1"/>
  <c r="P202" i="1"/>
  <c r="Q202" i="1"/>
  <c r="R202" i="1"/>
  <c r="M203" i="1"/>
  <c r="O203" i="1"/>
  <c r="P203" i="1"/>
  <c r="Q203" i="1"/>
  <c r="R203" i="1"/>
  <c r="M204" i="1"/>
  <c r="O204" i="1"/>
  <c r="P204" i="1"/>
  <c r="Q204" i="1"/>
  <c r="R204" i="1"/>
  <c r="M205" i="1"/>
  <c r="O205" i="1"/>
  <c r="P205" i="1"/>
  <c r="Q205" i="1"/>
  <c r="R205" i="1"/>
  <c r="M206" i="1"/>
  <c r="O206" i="1"/>
  <c r="P206" i="1"/>
  <c r="Q206" i="1"/>
  <c r="R206" i="1"/>
  <c r="M207" i="1"/>
  <c r="O207" i="1"/>
  <c r="P207" i="1"/>
  <c r="Q207" i="1"/>
  <c r="R207" i="1"/>
  <c r="M208" i="1"/>
  <c r="O208" i="1"/>
  <c r="P208" i="1"/>
  <c r="Q208" i="1"/>
  <c r="R208" i="1"/>
  <c r="M209" i="1"/>
  <c r="O209" i="1"/>
  <c r="P209" i="1"/>
  <c r="Q209" i="1"/>
  <c r="R209" i="1"/>
  <c r="M210" i="1"/>
  <c r="O210" i="1"/>
  <c r="P210" i="1"/>
  <c r="Q210" i="1"/>
  <c r="R210" i="1"/>
  <c r="M211" i="1"/>
  <c r="O211" i="1"/>
  <c r="P211" i="1"/>
  <c r="Q211" i="1"/>
  <c r="R211" i="1"/>
  <c r="M212" i="1"/>
  <c r="O212" i="1"/>
  <c r="P212" i="1"/>
  <c r="Q212" i="1"/>
  <c r="R212" i="1"/>
  <c r="M213" i="1"/>
  <c r="O213" i="1"/>
  <c r="P213" i="1"/>
  <c r="Q213" i="1"/>
  <c r="R213" i="1"/>
  <c r="M214" i="1"/>
  <c r="O214" i="1"/>
  <c r="P214" i="1"/>
  <c r="Q214" i="1"/>
  <c r="R214" i="1"/>
  <c r="M215" i="1"/>
  <c r="O215" i="1"/>
  <c r="P215" i="1"/>
  <c r="Q215" i="1"/>
  <c r="R215" i="1"/>
  <c r="M216" i="1"/>
  <c r="O216" i="1"/>
  <c r="P216" i="1"/>
  <c r="Q216" i="1"/>
  <c r="R216" i="1"/>
  <c r="M217" i="1"/>
  <c r="O217" i="1"/>
  <c r="P217" i="1"/>
  <c r="Q217" i="1"/>
  <c r="R217" i="1"/>
  <c r="M218" i="1"/>
  <c r="O218" i="1"/>
  <c r="P218" i="1"/>
  <c r="Q218" i="1"/>
  <c r="R218" i="1"/>
  <c r="M219" i="1"/>
  <c r="O219" i="1"/>
  <c r="P219" i="1"/>
  <c r="Q219" i="1"/>
  <c r="R219" i="1"/>
  <c r="M220" i="1"/>
  <c r="O220" i="1"/>
  <c r="P220" i="1"/>
  <c r="Q220" i="1"/>
  <c r="R220" i="1"/>
  <c r="M221" i="1"/>
  <c r="O221" i="1"/>
  <c r="P221" i="1"/>
  <c r="Q221" i="1"/>
  <c r="R221" i="1"/>
  <c r="M222" i="1"/>
  <c r="O222" i="1"/>
  <c r="P222" i="1"/>
  <c r="Q222" i="1"/>
  <c r="R222" i="1"/>
  <c r="M223" i="1"/>
  <c r="O223" i="1"/>
  <c r="P223" i="1"/>
  <c r="Q223" i="1"/>
  <c r="R223" i="1"/>
  <c r="M224" i="1"/>
  <c r="O224" i="1"/>
  <c r="P224" i="1"/>
  <c r="Q224" i="1"/>
  <c r="R224" i="1"/>
  <c r="M225" i="1"/>
  <c r="O225" i="1"/>
  <c r="P225" i="1"/>
  <c r="Q225" i="1"/>
  <c r="R225" i="1"/>
  <c r="M226" i="1"/>
  <c r="O226" i="1"/>
  <c r="P226" i="1"/>
  <c r="Q226" i="1"/>
  <c r="R226" i="1"/>
  <c r="M227" i="1"/>
  <c r="O227" i="1"/>
  <c r="P227" i="1"/>
  <c r="Q227" i="1"/>
  <c r="R227" i="1"/>
  <c r="M228" i="1"/>
  <c r="O228" i="1"/>
  <c r="P228" i="1"/>
  <c r="Q228" i="1"/>
  <c r="R228" i="1"/>
  <c r="M229" i="1"/>
  <c r="O229" i="1"/>
  <c r="P229" i="1"/>
  <c r="Q229" i="1"/>
  <c r="R229" i="1"/>
  <c r="M230" i="1"/>
  <c r="O230" i="1"/>
  <c r="P230" i="1"/>
  <c r="Q230" i="1"/>
  <c r="R230" i="1"/>
  <c r="M231" i="1"/>
  <c r="O231" i="1"/>
  <c r="P231" i="1"/>
  <c r="Q231" i="1"/>
  <c r="R231" i="1"/>
  <c r="M232" i="1"/>
  <c r="O232" i="1"/>
  <c r="P232" i="1"/>
  <c r="Q232" i="1"/>
  <c r="R232" i="1"/>
  <c r="M233" i="1"/>
  <c r="O233" i="1"/>
  <c r="P233" i="1"/>
  <c r="Q233" i="1"/>
  <c r="R233" i="1"/>
  <c r="M234" i="1"/>
  <c r="O234" i="1"/>
  <c r="P234" i="1"/>
  <c r="Q234" i="1"/>
  <c r="R234" i="1"/>
  <c r="M235" i="1"/>
  <c r="O235" i="1"/>
  <c r="P235" i="1"/>
  <c r="Q235" i="1"/>
  <c r="R235" i="1"/>
  <c r="M236" i="1"/>
  <c r="O236" i="1"/>
  <c r="P236" i="1"/>
  <c r="Q236" i="1"/>
  <c r="R236" i="1"/>
  <c r="M237" i="1"/>
  <c r="O237" i="1"/>
  <c r="P237" i="1"/>
  <c r="Q237" i="1"/>
  <c r="R237" i="1"/>
  <c r="M238" i="1"/>
  <c r="O238" i="1"/>
  <c r="P238" i="1"/>
  <c r="Q238" i="1"/>
  <c r="R238" i="1"/>
  <c r="M239" i="1"/>
  <c r="O239" i="1"/>
  <c r="P239" i="1"/>
  <c r="Q239" i="1"/>
  <c r="R239" i="1"/>
  <c r="M240" i="1"/>
  <c r="O240" i="1"/>
  <c r="P240" i="1"/>
  <c r="Q240" i="1"/>
  <c r="R240" i="1"/>
  <c r="M241" i="1"/>
  <c r="O241" i="1"/>
  <c r="P241" i="1"/>
  <c r="Q241" i="1"/>
  <c r="R241" i="1"/>
  <c r="M242" i="1"/>
  <c r="O242" i="1"/>
  <c r="P242" i="1"/>
  <c r="Q242" i="1"/>
  <c r="R242" i="1"/>
  <c r="M243" i="1"/>
  <c r="O243" i="1"/>
  <c r="P243" i="1"/>
  <c r="Q243" i="1"/>
  <c r="R243" i="1"/>
  <c r="M244" i="1"/>
  <c r="O244" i="1"/>
  <c r="P244" i="1"/>
  <c r="Q244" i="1"/>
  <c r="R244" i="1"/>
  <c r="M245" i="1"/>
  <c r="O245" i="1"/>
  <c r="P245" i="1"/>
  <c r="Q245" i="1"/>
  <c r="R245" i="1"/>
  <c r="M246" i="1"/>
  <c r="O246" i="1"/>
  <c r="P246" i="1"/>
  <c r="Q246" i="1"/>
  <c r="R246" i="1"/>
  <c r="M247" i="1"/>
  <c r="O247" i="1"/>
  <c r="P247" i="1"/>
  <c r="Q247" i="1"/>
  <c r="R247" i="1"/>
  <c r="M248" i="1"/>
  <c r="O248" i="1"/>
  <c r="P248" i="1"/>
  <c r="Q248" i="1"/>
  <c r="R248" i="1"/>
  <c r="M249" i="1"/>
  <c r="O249" i="1"/>
  <c r="P249" i="1"/>
  <c r="Q249" i="1"/>
  <c r="R249" i="1"/>
  <c r="M250" i="1"/>
  <c r="O250" i="1"/>
  <c r="P250" i="1"/>
  <c r="Q250" i="1"/>
  <c r="R250" i="1"/>
  <c r="M251" i="1"/>
  <c r="O251" i="1"/>
  <c r="P251" i="1"/>
  <c r="Q251" i="1"/>
  <c r="R251" i="1"/>
  <c r="M252" i="1"/>
  <c r="O252" i="1"/>
  <c r="P252" i="1"/>
  <c r="Q252" i="1"/>
  <c r="R252" i="1"/>
  <c r="M253" i="1"/>
  <c r="O253" i="1"/>
  <c r="P253" i="1"/>
  <c r="Q253" i="1"/>
  <c r="R253" i="1"/>
  <c r="M254" i="1"/>
  <c r="O254" i="1"/>
  <c r="P254" i="1"/>
  <c r="Q254" i="1"/>
  <c r="R254" i="1"/>
  <c r="M255" i="1"/>
  <c r="O255" i="1"/>
  <c r="P255" i="1"/>
  <c r="Q255" i="1"/>
  <c r="R255" i="1"/>
  <c r="M256" i="1"/>
  <c r="O256" i="1"/>
  <c r="P256" i="1"/>
  <c r="Q256" i="1"/>
  <c r="R256" i="1"/>
  <c r="M257" i="1"/>
  <c r="O257" i="1"/>
  <c r="P257" i="1"/>
  <c r="Q257" i="1"/>
  <c r="R257" i="1"/>
  <c r="M258" i="1"/>
  <c r="O258" i="1"/>
  <c r="P258" i="1"/>
  <c r="Q258" i="1"/>
  <c r="R258" i="1"/>
  <c r="M259" i="1"/>
  <c r="O259" i="1"/>
  <c r="P259" i="1"/>
  <c r="Q259" i="1"/>
  <c r="R259" i="1"/>
  <c r="M260" i="1"/>
  <c r="O260" i="1"/>
  <c r="P260" i="1"/>
  <c r="Q260" i="1"/>
  <c r="R260" i="1"/>
  <c r="M261" i="1"/>
  <c r="O261" i="1"/>
  <c r="P261" i="1"/>
  <c r="Q261" i="1"/>
  <c r="R261" i="1"/>
  <c r="M262" i="1"/>
  <c r="O262" i="1"/>
  <c r="P262" i="1"/>
  <c r="Q262" i="1"/>
  <c r="R262" i="1"/>
  <c r="M263" i="1"/>
  <c r="O263" i="1"/>
  <c r="P263" i="1"/>
  <c r="Q263" i="1"/>
  <c r="R263" i="1"/>
  <c r="M264" i="1"/>
  <c r="O264" i="1"/>
  <c r="P264" i="1"/>
  <c r="Q264" i="1"/>
  <c r="R264" i="1"/>
  <c r="M265" i="1"/>
  <c r="O265" i="1"/>
  <c r="P265" i="1"/>
  <c r="Q265" i="1"/>
  <c r="R265" i="1"/>
  <c r="M266" i="1"/>
  <c r="O266" i="1"/>
  <c r="P266" i="1"/>
  <c r="Q266" i="1"/>
  <c r="R266" i="1"/>
  <c r="M267" i="1"/>
  <c r="O267" i="1"/>
  <c r="P267" i="1"/>
  <c r="Q267" i="1"/>
  <c r="R267" i="1"/>
  <c r="M268" i="1"/>
  <c r="O268" i="1"/>
  <c r="P268" i="1"/>
  <c r="Q268" i="1"/>
  <c r="R268" i="1"/>
  <c r="M269" i="1"/>
  <c r="O269" i="1"/>
  <c r="P269" i="1"/>
  <c r="Q269" i="1"/>
  <c r="R269" i="1"/>
  <c r="M270" i="1"/>
  <c r="O270" i="1"/>
  <c r="P270" i="1"/>
  <c r="Q270" i="1"/>
  <c r="R270" i="1"/>
  <c r="M271" i="1"/>
  <c r="O271" i="1"/>
  <c r="P271" i="1"/>
  <c r="Q271" i="1"/>
  <c r="R271" i="1"/>
  <c r="M272" i="1"/>
  <c r="O272" i="1"/>
  <c r="P272" i="1"/>
  <c r="Q272" i="1"/>
  <c r="R272" i="1"/>
  <c r="M273" i="1"/>
  <c r="O273" i="1"/>
  <c r="P273" i="1"/>
  <c r="Q273" i="1"/>
  <c r="R273" i="1"/>
  <c r="M274" i="1"/>
  <c r="O274" i="1"/>
  <c r="P274" i="1"/>
  <c r="Q274" i="1"/>
  <c r="R274" i="1"/>
  <c r="M275" i="1"/>
  <c r="O275" i="1"/>
  <c r="P275" i="1"/>
  <c r="Q275" i="1"/>
  <c r="R275" i="1"/>
  <c r="M276" i="1"/>
  <c r="O276" i="1"/>
  <c r="P276" i="1"/>
  <c r="Q276" i="1"/>
  <c r="R276" i="1"/>
  <c r="M277" i="1"/>
  <c r="O277" i="1"/>
  <c r="P277" i="1"/>
  <c r="Q277" i="1"/>
  <c r="R277" i="1"/>
  <c r="M278" i="1"/>
  <c r="O278" i="1"/>
  <c r="P278" i="1"/>
  <c r="Q278" i="1"/>
  <c r="R278" i="1"/>
  <c r="M279" i="1"/>
  <c r="O279" i="1"/>
  <c r="P279" i="1"/>
  <c r="Q279" i="1"/>
  <c r="R279" i="1"/>
  <c r="M280" i="1"/>
  <c r="O280" i="1"/>
  <c r="P280" i="1"/>
  <c r="Q280" i="1"/>
  <c r="R280" i="1"/>
  <c r="M281" i="1"/>
  <c r="O281" i="1"/>
  <c r="P281" i="1"/>
  <c r="Q281" i="1"/>
  <c r="R281" i="1"/>
  <c r="M282" i="1"/>
  <c r="O282" i="1"/>
  <c r="P282" i="1"/>
  <c r="Q282" i="1"/>
  <c r="R282" i="1"/>
  <c r="M283" i="1"/>
  <c r="O283" i="1"/>
  <c r="P283" i="1"/>
  <c r="Q283" i="1"/>
  <c r="R283" i="1"/>
  <c r="M284" i="1"/>
  <c r="O284" i="1"/>
  <c r="P284" i="1"/>
  <c r="Q284" i="1"/>
  <c r="R284" i="1"/>
  <c r="M285" i="1"/>
  <c r="O285" i="1"/>
  <c r="P285" i="1"/>
  <c r="Q285" i="1"/>
  <c r="R285" i="1"/>
  <c r="M286" i="1"/>
  <c r="O286" i="1"/>
  <c r="P286" i="1"/>
  <c r="Q286" i="1"/>
  <c r="R286" i="1"/>
  <c r="M287" i="1"/>
  <c r="O287" i="1"/>
  <c r="P287" i="1"/>
  <c r="Q287" i="1"/>
  <c r="R287" i="1"/>
  <c r="M288" i="1"/>
  <c r="O288" i="1"/>
  <c r="P288" i="1"/>
  <c r="Q288" i="1"/>
  <c r="R288" i="1"/>
  <c r="M289" i="1"/>
  <c r="O289" i="1"/>
  <c r="P289" i="1"/>
  <c r="Q289" i="1"/>
  <c r="R289" i="1"/>
  <c r="M290" i="1"/>
  <c r="O290" i="1"/>
  <c r="P290" i="1"/>
  <c r="Q290" i="1"/>
  <c r="R290" i="1"/>
  <c r="M291" i="1"/>
  <c r="O291" i="1"/>
  <c r="P291" i="1"/>
  <c r="Q291" i="1"/>
  <c r="R291" i="1"/>
  <c r="M292" i="1"/>
  <c r="O292" i="1"/>
  <c r="P292" i="1"/>
  <c r="Q292" i="1"/>
  <c r="R292" i="1"/>
  <c r="M293" i="1"/>
  <c r="O293" i="1"/>
  <c r="P293" i="1"/>
  <c r="Q293" i="1"/>
  <c r="R293" i="1"/>
  <c r="M294" i="1"/>
  <c r="O294" i="1"/>
  <c r="P294" i="1"/>
  <c r="Q294" i="1"/>
  <c r="R294" i="1"/>
  <c r="M295" i="1"/>
  <c r="O295" i="1"/>
  <c r="P295" i="1"/>
  <c r="Q295" i="1"/>
  <c r="R295" i="1"/>
  <c r="M296" i="1"/>
  <c r="O296" i="1"/>
  <c r="P296" i="1"/>
  <c r="Q296" i="1"/>
  <c r="R296" i="1"/>
  <c r="M297" i="1"/>
  <c r="O297" i="1"/>
  <c r="P297" i="1"/>
  <c r="Q297" i="1"/>
  <c r="R297" i="1"/>
  <c r="M298" i="1"/>
  <c r="O298" i="1"/>
  <c r="P298" i="1"/>
  <c r="Q298" i="1"/>
  <c r="R298" i="1"/>
  <c r="M299" i="1"/>
  <c r="O299" i="1"/>
  <c r="P299" i="1"/>
  <c r="Q299" i="1"/>
  <c r="R299" i="1"/>
  <c r="M300" i="1"/>
  <c r="O300" i="1"/>
  <c r="P300" i="1"/>
  <c r="Q300" i="1"/>
  <c r="R300" i="1"/>
  <c r="M301" i="1"/>
  <c r="O301" i="1"/>
  <c r="P301" i="1"/>
  <c r="Q301" i="1"/>
  <c r="R301" i="1"/>
  <c r="M302" i="1"/>
  <c r="O302" i="1"/>
  <c r="P302" i="1"/>
  <c r="Q302" i="1"/>
  <c r="R302" i="1"/>
  <c r="M303" i="1"/>
  <c r="O303" i="1"/>
  <c r="P303" i="1"/>
  <c r="Q303" i="1"/>
  <c r="R303" i="1"/>
  <c r="M304" i="1"/>
  <c r="O304" i="1"/>
  <c r="P304" i="1"/>
  <c r="Q304" i="1"/>
  <c r="R304" i="1"/>
  <c r="M305" i="1"/>
  <c r="O305" i="1"/>
  <c r="P305" i="1"/>
  <c r="Q305" i="1"/>
  <c r="R305" i="1"/>
  <c r="M306" i="1"/>
  <c r="O306" i="1"/>
  <c r="P306" i="1"/>
  <c r="Q306" i="1"/>
  <c r="R306" i="1"/>
  <c r="M307" i="1"/>
  <c r="O307" i="1"/>
  <c r="P307" i="1"/>
  <c r="Q307" i="1"/>
  <c r="R307" i="1"/>
  <c r="M308" i="1"/>
  <c r="O308" i="1"/>
  <c r="P308" i="1"/>
  <c r="Q308" i="1"/>
  <c r="R308" i="1"/>
  <c r="M309" i="1"/>
  <c r="O309" i="1"/>
  <c r="P309" i="1"/>
  <c r="Q309" i="1"/>
  <c r="R309" i="1"/>
  <c r="M310" i="1"/>
  <c r="O310" i="1"/>
  <c r="P310" i="1"/>
  <c r="Q310" i="1"/>
  <c r="R310" i="1"/>
  <c r="M311" i="1"/>
  <c r="O311" i="1"/>
  <c r="P311" i="1"/>
  <c r="Q311" i="1"/>
  <c r="R311" i="1"/>
  <c r="M312" i="1"/>
  <c r="O312" i="1"/>
  <c r="P312" i="1"/>
  <c r="Q312" i="1"/>
  <c r="R312" i="1"/>
  <c r="M313" i="1"/>
  <c r="O313" i="1"/>
  <c r="P313" i="1"/>
  <c r="Q313" i="1"/>
  <c r="R313" i="1"/>
  <c r="M314" i="1"/>
  <c r="O314" i="1"/>
  <c r="P314" i="1"/>
  <c r="Q314" i="1"/>
  <c r="R314" i="1"/>
  <c r="M315" i="1"/>
  <c r="O315" i="1"/>
  <c r="P315" i="1"/>
  <c r="Q315" i="1"/>
  <c r="R315" i="1"/>
  <c r="M316" i="1"/>
  <c r="O316" i="1"/>
  <c r="P316" i="1"/>
  <c r="Q316" i="1"/>
  <c r="R316" i="1"/>
  <c r="M317" i="1"/>
  <c r="O317" i="1"/>
  <c r="P317" i="1"/>
  <c r="Q317" i="1"/>
  <c r="R317" i="1"/>
  <c r="M318" i="1"/>
  <c r="O318" i="1"/>
  <c r="P318" i="1"/>
  <c r="Q318" i="1"/>
  <c r="R318" i="1"/>
  <c r="M319" i="1"/>
  <c r="O319" i="1"/>
  <c r="P319" i="1"/>
  <c r="Q319" i="1"/>
  <c r="R319" i="1"/>
  <c r="M320" i="1"/>
  <c r="O320" i="1"/>
  <c r="P320" i="1"/>
  <c r="Q320" i="1"/>
  <c r="R320" i="1"/>
  <c r="M321" i="1"/>
  <c r="O321" i="1"/>
  <c r="P321" i="1"/>
  <c r="Q321" i="1"/>
  <c r="R321" i="1"/>
  <c r="M322" i="1"/>
  <c r="O322" i="1"/>
  <c r="P322" i="1"/>
  <c r="Q322" i="1"/>
  <c r="R322" i="1"/>
  <c r="M323" i="1"/>
  <c r="O323" i="1"/>
  <c r="P323" i="1"/>
  <c r="Q323" i="1"/>
  <c r="R323" i="1"/>
  <c r="M324" i="1"/>
  <c r="O324" i="1"/>
  <c r="P324" i="1"/>
  <c r="Q324" i="1"/>
  <c r="R324" i="1"/>
  <c r="M325" i="1"/>
  <c r="O325" i="1"/>
  <c r="P325" i="1"/>
  <c r="Q325" i="1"/>
  <c r="R325" i="1"/>
  <c r="M326" i="1"/>
  <c r="O326" i="1"/>
  <c r="P326" i="1"/>
  <c r="Q326" i="1"/>
  <c r="R326" i="1"/>
  <c r="M327" i="1"/>
  <c r="O327" i="1"/>
  <c r="P327" i="1"/>
  <c r="Q327" i="1"/>
  <c r="R327" i="1"/>
  <c r="M328" i="1"/>
  <c r="O328" i="1"/>
  <c r="P328" i="1"/>
  <c r="Q328" i="1"/>
  <c r="R328" i="1"/>
  <c r="M329" i="1"/>
  <c r="O329" i="1"/>
  <c r="P329" i="1"/>
  <c r="Q329" i="1"/>
  <c r="R329" i="1"/>
  <c r="M330" i="1"/>
  <c r="O330" i="1"/>
  <c r="P330" i="1"/>
  <c r="Q330" i="1"/>
  <c r="R330" i="1"/>
  <c r="M331" i="1"/>
  <c r="O331" i="1"/>
  <c r="P331" i="1"/>
  <c r="Q331" i="1"/>
  <c r="R331" i="1"/>
  <c r="M332" i="1"/>
  <c r="O332" i="1"/>
  <c r="P332" i="1"/>
  <c r="Q332" i="1"/>
  <c r="R332" i="1"/>
  <c r="M333" i="1"/>
  <c r="O333" i="1"/>
  <c r="P333" i="1"/>
  <c r="Q333" i="1"/>
  <c r="R333" i="1"/>
  <c r="M334" i="1"/>
  <c r="O334" i="1"/>
  <c r="P334" i="1"/>
  <c r="Q334" i="1"/>
  <c r="R334" i="1"/>
  <c r="M335" i="1"/>
  <c r="O335" i="1"/>
  <c r="P335" i="1"/>
  <c r="Q335" i="1"/>
  <c r="R335" i="1"/>
  <c r="M336" i="1"/>
  <c r="O336" i="1"/>
  <c r="P336" i="1"/>
  <c r="Q336" i="1"/>
  <c r="R336" i="1"/>
  <c r="M337" i="1"/>
  <c r="O337" i="1"/>
  <c r="P337" i="1"/>
  <c r="Q337" i="1"/>
  <c r="R337" i="1"/>
  <c r="M338" i="1"/>
  <c r="O338" i="1"/>
  <c r="P338" i="1"/>
  <c r="Q338" i="1"/>
  <c r="R338" i="1"/>
  <c r="M339" i="1"/>
  <c r="O339" i="1"/>
  <c r="P339" i="1"/>
  <c r="Q339" i="1"/>
  <c r="R339" i="1"/>
  <c r="M340" i="1"/>
  <c r="O340" i="1"/>
  <c r="P340" i="1"/>
  <c r="Q340" i="1"/>
  <c r="R340" i="1"/>
  <c r="M341" i="1"/>
  <c r="O341" i="1"/>
  <c r="P341" i="1"/>
  <c r="Q341" i="1"/>
  <c r="R341" i="1"/>
  <c r="M342" i="1"/>
  <c r="O342" i="1"/>
  <c r="P342" i="1"/>
  <c r="Q342" i="1"/>
  <c r="R342" i="1"/>
  <c r="M343" i="1"/>
  <c r="O343" i="1"/>
  <c r="P343" i="1"/>
  <c r="Q343" i="1"/>
  <c r="R343" i="1"/>
  <c r="M344" i="1"/>
  <c r="O344" i="1"/>
  <c r="P344" i="1"/>
  <c r="Q344" i="1"/>
  <c r="R344" i="1"/>
  <c r="M345" i="1"/>
  <c r="O345" i="1"/>
  <c r="P345" i="1"/>
  <c r="Q345" i="1"/>
  <c r="R345" i="1"/>
  <c r="M346" i="1"/>
  <c r="O346" i="1"/>
  <c r="P346" i="1"/>
  <c r="Q346" i="1"/>
  <c r="R346" i="1"/>
  <c r="M347" i="1"/>
  <c r="O347" i="1"/>
  <c r="P347" i="1"/>
  <c r="Q347" i="1"/>
  <c r="R347" i="1"/>
  <c r="M348" i="1"/>
  <c r="O348" i="1"/>
  <c r="P348" i="1"/>
  <c r="Q348" i="1"/>
  <c r="R348" i="1"/>
  <c r="M349" i="1"/>
  <c r="O349" i="1"/>
  <c r="P349" i="1"/>
  <c r="Q349" i="1"/>
  <c r="R349" i="1"/>
  <c r="M350" i="1"/>
  <c r="O350" i="1"/>
  <c r="P350" i="1"/>
  <c r="Q350" i="1"/>
  <c r="R350" i="1"/>
  <c r="M351" i="1"/>
  <c r="O351" i="1"/>
  <c r="P351" i="1"/>
  <c r="Q351" i="1"/>
  <c r="R351" i="1"/>
  <c r="M352" i="1"/>
  <c r="O352" i="1"/>
  <c r="P352" i="1"/>
  <c r="Q352" i="1"/>
  <c r="R352" i="1"/>
  <c r="M353" i="1"/>
  <c r="O353" i="1"/>
  <c r="P353" i="1"/>
  <c r="Q353" i="1"/>
  <c r="R353" i="1"/>
  <c r="M354" i="1"/>
  <c r="O354" i="1"/>
  <c r="P354" i="1"/>
  <c r="Q354" i="1"/>
  <c r="R354" i="1"/>
  <c r="M355" i="1"/>
  <c r="O355" i="1"/>
  <c r="P355" i="1"/>
  <c r="Q355" i="1"/>
  <c r="R355" i="1"/>
  <c r="M356" i="1"/>
  <c r="O356" i="1"/>
  <c r="P356" i="1"/>
  <c r="Q356" i="1"/>
  <c r="R356" i="1"/>
  <c r="M357" i="1"/>
  <c r="O357" i="1"/>
  <c r="P357" i="1"/>
  <c r="Q357" i="1"/>
  <c r="R357" i="1"/>
  <c r="M358" i="1"/>
  <c r="O358" i="1"/>
  <c r="P358" i="1"/>
  <c r="Q358" i="1"/>
  <c r="R358" i="1"/>
  <c r="M359" i="1"/>
  <c r="O359" i="1"/>
  <c r="P359" i="1"/>
  <c r="Q359" i="1"/>
  <c r="R359" i="1"/>
  <c r="M360" i="1"/>
  <c r="O360" i="1"/>
  <c r="P360" i="1"/>
  <c r="Q360" i="1"/>
  <c r="R360" i="1"/>
  <c r="M361" i="1"/>
  <c r="O361" i="1"/>
  <c r="P361" i="1"/>
  <c r="Q361" i="1"/>
  <c r="R361" i="1"/>
  <c r="M362" i="1"/>
  <c r="O362" i="1"/>
  <c r="P362" i="1"/>
  <c r="Q362" i="1"/>
  <c r="R362" i="1"/>
  <c r="M363" i="1"/>
  <c r="O363" i="1"/>
  <c r="P363" i="1"/>
  <c r="Q363" i="1"/>
  <c r="R363" i="1"/>
  <c r="M364" i="1"/>
  <c r="O364" i="1"/>
  <c r="P364" i="1"/>
  <c r="Q364" i="1"/>
  <c r="R364" i="1"/>
  <c r="M365" i="1"/>
  <c r="O365" i="1"/>
  <c r="P365" i="1"/>
  <c r="Q365" i="1"/>
  <c r="R365" i="1"/>
  <c r="M366" i="1"/>
  <c r="O366" i="1"/>
  <c r="P366" i="1"/>
  <c r="Q366" i="1"/>
  <c r="R366" i="1"/>
  <c r="M367" i="1"/>
  <c r="O367" i="1"/>
  <c r="P367" i="1"/>
  <c r="Q367" i="1"/>
  <c r="R367" i="1"/>
  <c r="M368" i="1"/>
  <c r="O368" i="1"/>
  <c r="P368" i="1"/>
  <c r="Q368" i="1"/>
  <c r="R368" i="1"/>
  <c r="M369" i="1"/>
  <c r="O369" i="1"/>
  <c r="P369" i="1"/>
  <c r="Q369" i="1"/>
  <c r="R369" i="1"/>
  <c r="M370" i="1"/>
  <c r="O370" i="1"/>
  <c r="P370" i="1"/>
  <c r="Q370" i="1"/>
  <c r="R370" i="1"/>
  <c r="M371" i="1"/>
  <c r="O371" i="1"/>
  <c r="P371" i="1"/>
  <c r="Q371" i="1"/>
  <c r="R371" i="1"/>
  <c r="M372" i="1"/>
  <c r="O372" i="1"/>
  <c r="P372" i="1"/>
  <c r="Q372" i="1"/>
  <c r="R372" i="1"/>
  <c r="M373" i="1"/>
  <c r="O373" i="1"/>
  <c r="P373" i="1"/>
  <c r="Q373" i="1"/>
  <c r="R373" i="1"/>
  <c r="M374" i="1"/>
  <c r="O374" i="1"/>
  <c r="P374" i="1"/>
  <c r="Q374" i="1"/>
  <c r="R374" i="1"/>
  <c r="M375" i="1"/>
  <c r="O375" i="1"/>
  <c r="P375" i="1"/>
  <c r="Q375" i="1"/>
  <c r="R375" i="1"/>
  <c r="M376" i="1"/>
  <c r="O376" i="1"/>
  <c r="P376" i="1"/>
  <c r="Q376" i="1"/>
  <c r="R376" i="1"/>
  <c r="M377" i="1"/>
  <c r="O377" i="1"/>
  <c r="P377" i="1"/>
  <c r="Q377" i="1"/>
  <c r="R377" i="1"/>
  <c r="M378" i="1"/>
  <c r="O378" i="1"/>
  <c r="P378" i="1"/>
  <c r="Q378" i="1"/>
  <c r="R378" i="1"/>
  <c r="M379" i="1"/>
  <c r="O379" i="1"/>
  <c r="P379" i="1"/>
  <c r="Q379" i="1"/>
  <c r="R379" i="1"/>
  <c r="M380" i="1"/>
  <c r="O380" i="1"/>
  <c r="P380" i="1"/>
  <c r="Q380" i="1"/>
  <c r="R380" i="1"/>
  <c r="M381" i="1"/>
  <c r="O381" i="1"/>
  <c r="P381" i="1"/>
  <c r="Q381" i="1"/>
  <c r="R381" i="1"/>
  <c r="M382" i="1"/>
  <c r="O382" i="1"/>
  <c r="P382" i="1"/>
  <c r="Q382" i="1"/>
  <c r="R382" i="1"/>
  <c r="M383" i="1"/>
  <c r="O383" i="1"/>
  <c r="P383" i="1"/>
  <c r="Q383" i="1"/>
  <c r="R383" i="1"/>
  <c r="M384" i="1"/>
  <c r="O384" i="1"/>
  <c r="P384" i="1"/>
  <c r="Q384" i="1"/>
  <c r="R384" i="1"/>
  <c r="M385" i="1"/>
  <c r="O385" i="1"/>
  <c r="P385" i="1"/>
  <c r="Q385" i="1"/>
  <c r="R385" i="1"/>
  <c r="M386" i="1"/>
  <c r="O386" i="1"/>
  <c r="P386" i="1"/>
  <c r="Q386" i="1"/>
  <c r="R386" i="1"/>
  <c r="M387" i="1"/>
  <c r="O387" i="1"/>
  <c r="P387" i="1"/>
  <c r="Q387" i="1"/>
  <c r="R387" i="1"/>
  <c r="M388" i="1"/>
  <c r="O388" i="1"/>
  <c r="P388" i="1"/>
  <c r="Q388" i="1"/>
  <c r="R388" i="1"/>
  <c r="M389" i="1"/>
  <c r="O389" i="1"/>
  <c r="P389" i="1"/>
  <c r="Q389" i="1"/>
  <c r="R389" i="1"/>
  <c r="M390" i="1"/>
  <c r="O390" i="1"/>
  <c r="P390" i="1"/>
  <c r="Q390" i="1"/>
  <c r="R390" i="1"/>
  <c r="M391" i="1"/>
  <c r="O391" i="1"/>
  <c r="P391" i="1"/>
  <c r="Q391" i="1"/>
  <c r="R391" i="1"/>
  <c r="M392" i="1"/>
  <c r="O392" i="1"/>
  <c r="P392" i="1"/>
  <c r="Q392" i="1"/>
  <c r="R392" i="1"/>
  <c r="M393" i="1"/>
  <c r="O393" i="1"/>
  <c r="P393" i="1"/>
  <c r="Q393" i="1"/>
  <c r="R393" i="1"/>
  <c r="M394" i="1"/>
  <c r="O394" i="1"/>
  <c r="P394" i="1"/>
  <c r="Q394" i="1"/>
  <c r="R394" i="1"/>
  <c r="M395" i="1"/>
  <c r="O395" i="1"/>
  <c r="P395" i="1"/>
  <c r="Q395" i="1"/>
  <c r="R395" i="1"/>
  <c r="M396" i="1"/>
  <c r="O396" i="1"/>
  <c r="P396" i="1"/>
  <c r="Q396" i="1"/>
  <c r="R396" i="1"/>
  <c r="M397" i="1"/>
  <c r="O397" i="1"/>
  <c r="P397" i="1"/>
  <c r="Q397" i="1"/>
  <c r="R397" i="1"/>
  <c r="M398" i="1"/>
  <c r="O398" i="1"/>
  <c r="P398" i="1"/>
  <c r="Q398" i="1"/>
  <c r="R398" i="1"/>
  <c r="M399" i="1"/>
  <c r="O399" i="1"/>
  <c r="P399" i="1"/>
  <c r="Q399" i="1"/>
  <c r="R399" i="1"/>
  <c r="M400" i="1"/>
  <c r="O400" i="1"/>
  <c r="P400" i="1"/>
  <c r="Q400" i="1"/>
  <c r="R400" i="1"/>
  <c r="M401" i="1"/>
  <c r="O401" i="1"/>
  <c r="P401" i="1"/>
  <c r="Q401" i="1"/>
  <c r="R401" i="1"/>
  <c r="M402" i="1"/>
  <c r="O402" i="1"/>
  <c r="P402" i="1"/>
  <c r="Q402" i="1"/>
  <c r="R402" i="1"/>
  <c r="M403" i="1"/>
  <c r="O403" i="1"/>
  <c r="P403" i="1"/>
  <c r="Q403" i="1"/>
  <c r="R403" i="1"/>
  <c r="M404" i="1"/>
  <c r="O404" i="1"/>
  <c r="P404" i="1"/>
  <c r="Q404" i="1"/>
  <c r="R404" i="1"/>
  <c r="M405" i="1"/>
  <c r="O405" i="1"/>
  <c r="P405" i="1"/>
  <c r="Q405" i="1"/>
  <c r="R405" i="1"/>
  <c r="M406" i="1"/>
  <c r="O406" i="1"/>
  <c r="P406" i="1"/>
  <c r="Q406" i="1"/>
  <c r="R406" i="1"/>
  <c r="M407" i="1"/>
  <c r="O407" i="1"/>
  <c r="P407" i="1"/>
  <c r="Q407" i="1"/>
  <c r="R407" i="1"/>
  <c r="M408" i="1"/>
  <c r="O408" i="1"/>
  <c r="P408" i="1"/>
  <c r="Q408" i="1"/>
  <c r="R408" i="1"/>
  <c r="M409" i="1"/>
  <c r="O409" i="1"/>
  <c r="P409" i="1"/>
  <c r="Q409" i="1"/>
  <c r="R409" i="1"/>
  <c r="M410" i="1"/>
  <c r="O410" i="1"/>
  <c r="P410" i="1"/>
  <c r="Q410" i="1"/>
  <c r="R410" i="1"/>
  <c r="M411" i="1"/>
  <c r="O411" i="1"/>
  <c r="P411" i="1"/>
  <c r="Q411" i="1"/>
  <c r="R411" i="1"/>
  <c r="M412" i="1"/>
  <c r="O412" i="1"/>
  <c r="P412" i="1"/>
  <c r="Q412" i="1"/>
  <c r="R412" i="1"/>
  <c r="M413" i="1"/>
  <c r="O413" i="1"/>
  <c r="P413" i="1"/>
  <c r="Q413" i="1"/>
  <c r="R413" i="1"/>
  <c r="M414" i="1"/>
  <c r="O414" i="1"/>
  <c r="P414" i="1"/>
  <c r="Q414" i="1"/>
  <c r="R414" i="1"/>
  <c r="M415" i="1"/>
  <c r="O415" i="1"/>
  <c r="P415" i="1"/>
  <c r="Q415" i="1"/>
  <c r="R415" i="1"/>
  <c r="M416" i="1"/>
  <c r="O416" i="1"/>
  <c r="P416" i="1"/>
  <c r="Q416" i="1"/>
  <c r="R416" i="1"/>
  <c r="M417" i="1"/>
  <c r="O417" i="1"/>
  <c r="P417" i="1"/>
  <c r="Q417" i="1"/>
  <c r="R417" i="1"/>
  <c r="M418" i="1"/>
  <c r="O418" i="1"/>
  <c r="P418" i="1"/>
  <c r="Q418" i="1"/>
  <c r="R418" i="1"/>
  <c r="M419" i="1"/>
  <c r="O419" i="1"/>
  <c r="P419" i="1"/>
  <c r="Q419" i="1"/>
  <c r="R419" i="1"/>
  <c r="M420" i="1"/>
  <c r="O420" i="1"/>
  <c r="P420" i="1"/>
  <c r="Q420" i="1"/>
  <c r="R420" i="1"/>
  <c r="M421" i="1"/>
  <c r="O421" i="1"/>
  <c r="P421" i="1"/>
  <c r="Q421" i="1"/>
  <c r="R421" i="1"/>
  <c r="M422" i="1"/>
  <c r="O422" i="1"/>
  <c r="P422" i="1"/>
  <c r="Q422" i="1"/>
  <c r="R422" i="1"/>
  <c r="M423" i="1"/>
  <c r="O423" i="1"/>
  <c r="P423" i="1"/>
  <c r="Q423" i="1"/>
  <c r="R423" i="1"/>
  <c r="M424" i="1"/>
  <c r="O424" i="1"/>
  <c r="P424" i="1"/>
  <c r="Q424" i="1"/>
  <c r="R424" i="1"/>
  <c r="M425" i="1"/>
  <c r="O425" i="1"/>
  <c r="P425" i="1"/>
  <c r="Q425" i="1"/>
  <c r="R425" i="1"/>
  <c r="M426" i="1"/>
  <c r="O426" i="1"/>
  <c r="P426" i="1"/>
  <c r="Q426" i="1"/>
  <c r="R426" i="1"/>
  <c r="M427" i="1"/>
  <c r="O427" i="1"/>
  <c r="P427" i="1"/>
  <c r="Q427" i="1"/>
  <c r="R427" i="1"/>
  <c r="M428" i="1"/>
  <c r="O428" i="1"/>
  <c r="P428" i="1"/>
  <c r="Q428" i="1"/>
  <c r="R428" i="1"/>
  <c r="M429" i="1"/>
  <c r="O429" i="1"/>
  <c r="P429" i="1"/>
  <c r="Q429" i="1"/>
  <c r="R429" i="1"/>
  <c r="M430" i="1"/>
  <c r="O430" i="1"/>
  <c r="P430" i="1"/>
  <c r="Q430" i="1"/>
  <c r="R430" i="1"/>
  <c r="M431" i="1"/>
  <c r="O431" i="1"/>
  <c r="P431" i="1"/>
  <c r="Q431" i="1"/>
  <c r="R431" i="1"/>
  <c r="M432" i="1"/>
  <c r="O432" i="1"/>
  <c r="P432" i="1"/>
  <c r="Q432" i="1"/>
  <c r="R432" i="1"/>
  <c r="M433" i="1"/>
  <c r="O433" i="1"/>
  <c r="P433" i="1"/>
  <c r="Q433" i="1"/>
  <c r="R433" i="1"/>
  <c r="M434" i="1"/>
  <c r="O434" i="1"/>
  <c r="P434" i="1"/>
  <c r="Q434" i="1"/>
  <c r="R434" i="1"/>
  <c r="M435" i="1"/>
  <c r="O435" i="1"/>
  <c r="P435" i="1"/>
  <c r="Q435" i="1"/>
  <c r="R435" i="1"/>
  <c r="M436" i="1"/>
  <c r="O436" i="1"/>
  <c r="P436" i="1"/>
  <c r="Q436" i="1"/>
  <c r="R436" i="1"/>
  <c r="M437" i="1"/>
  <c r="O437" i="1"/>
  <c r="P437" i="1"/>
  <c r="Q437" i="1"/>
  <c r="R437" i="1"/>
  <c r="M438" i="1"/>
  <c r="O438" i="1"/>
  <c r="P438" i="1"/>
  <c r="Q438" i="1"/>
  <c r="R438" i="1"/>
  <c r="M439" i="1"/>
  <c r="O439" i="1"/>
  <c r="P439" i="1"/>
  <c r="Q439" i="1"/>
  <c r="R439" i="1"/>
  <c r="M440" i="1"/>
  <c r="O440" i="1"/>
  <c r="P440" i="1"/>
  <c r="Q440" i="1"/>
  <c r="R440" i="1"/>
  <c r="M441" i="1"/>
  <c r="O441" i="1"/>
  <c r="P441" i="1"/>
  <c r="Q441" i="1"/>
  <c r="R441" i="1"/>
  <c r="M442" i="1"/>
  <c r="O442" i="1"/>
  <c r="P442" i="1"/>
  <c r="Q442" i="1"/>
  <c r="R442" i="1"/>
  <c r="M443" i="1"/>
  <c r="O443" i="1"/>
  <c r="P443" i="1"/>
  <c r="Q443" i="1"/>
  <c r="R443" i="1"/>
  <c r="M444" i="1"/>
  <c r="O444" i="1"/>
  <c r="P444" i="1"/>
  <c r="Q444" i="1"/>
  <c r="R444" i="1"/>
  <c r="M445" i="1"/>
  <c r="O445" i="1"/>
  <c r="P445" i="1"/>
  <c r="Q445" i="1"/>
  <c r="R445" i="1"/>
  <c r="M446" i="1"/>
  <c r="O446" i="1"/>
  <c r="P446" i="1"/>
  <c r="Q446" i="1"/>
  <c r="R446" i="1"/>
  <c r="M447" i="1"/>
  <c r="O447" i="1"/>
  <c r="P447" i="1"/>
  <c r="Q447" i="1"/>
  <c r="R447" i="1"/>
  <c r="M448" i="1"/>
  <c r="O448" i="1"/>
  <c r="P448" i="1"/>
  <c r="Q448" i="1"/>
  <c r="R448" i="1"/>
  <c r="M449" i="1"/>
  <c r="O449" i="1"/>
  <c r="P449" i="1"/>
  <c r="Q449" i="1"/>
  <c r="R449" i="1"/>
  <c r="M450" i="1"/>
  <c r="O450" i="1"/>
  <c r="P450" i="1"/>
  <c r="Q450" i="1"/>
  <c r="R450" i="1"/>
  <c r="M451" i="1"/>
  <c r="O451" i="1"/>
  <c r="P451" i="1"/>
  <c r="Q451" i="1"/>
  <c r="R451" i="1"/>
  <c r="M452" i="1"/>
  <c r="O452" i="1"/>
  <c r="P452" i="1"/>
  <c r="Q452" i="1"/>
  <c r="R452" i="1"/>
  <c r="M453" i="1"/>
  <c r="O453" i="1"/>
  <c r="P453" i="1"/>
  <c r="Q453" i="1"/>
  <c r="R453" i="1"/>
  <c r="M454" i="1"/>
  <c r="O454" i="1"/>
  <c r="P454" i="1"/>
  <c r="Q454" i="1"/>
  <c r="R454" i="1"/>
  <c r="M455" i="1"/>
  <c r="O455" i="1"/>
  <c r="P455" i="1"/>
  <c r="Q455" i="1"/>
  <c r="R455" i="1"/>
  <c r="M456" i="1"/>
  <c r="O456" i="1"/>
  <c r="P456" i="1"/>
  <c r="Q456" i="1"/>
  <c r="R456" i="1"/>
  <c r="M457" i="1"/>
  <c r="O457" i="1"/>
  <c r="P457" i="1"/>
  <c r="Q457" i="1"/>
  <c r="R457" i="1"/>
  <c r="M458" i="1"/>
  <c r="O458" i="1"/>
  <c r="P458" i="1"/>
  <c r="Q458" i="1"/>
  <c r="R458" i="1"/>
  <c r="M459" i="1"/>
  <c r="O459" i="1"/>
  <c r="P459" i="1"/>
  <c r="Q459" i="1"/>
  <c r="R459" i="1"/>
  <c r="M460" i="1"/>
  <c r="O460" i="1"/>
  <c r="P460" i="1"/>
  <c r="Q460" i="1"/>
  <c r="R460" i="1"/>
  <c r="M461" i="1"/>
  <c r="O461" i="1"/>
  <c r="P461" i="1"/>
  <c r="Q461" i="1"/>
  <c r="R461" i="1"/>
  <c r="M462" i="1"/>
  <c r="O462" i="1"/>
  <c r="P462" i="1"/>
  <c r="Q462" i="1"/>
  <c r="R462" i="1"/>
  <c r="M463" i="1"/>
  <c r="O463" i="1"/>
  <c r="P463" i="1"/>
  <c r="Q463" i="1"/>
  <c r="R463" i="1"/>
  <c r="M464" i="1"/>
  <c r="O464" i="1"/>
  <c r="P464" i="1"/>
  <c r="Q464" i="1"/>
  <c r="R464" i="1"/>
  <c r="M465" i="1"/>
  <c r="O465" i="1"/>
  <c r="P465" i="1"/>
  <c r="Q465" i="1"/>
  <c r="R465" i="1"/>
  <c r="M466" i="1"/>
  <c r="O466" i="1"/>
  <c r="P466" i="1"/>
  <c r="Q466" i="1"/>
  <c r="R466" i="1"/>
  <c r="M467" i="1"/>
  <c r="O467" i="1"/>
  <c r="P467" i="1"/>
  <c r="Q467" i="1"/>
  <c r="R467" i="1"/>
  <c r="M468" i="1"/>
  <c r="O468" i="1"/>
  <c r="P468" i="1"/>
  <c r="Q468" i="1"/>
  <c r="R468" i="1"/>
  <c r="M469" i="1"/>
  <c r="O469" i="1"/>
  <c r="P469" i="1"/>
  <c r="Q469" i="1"/>
  <c r="R469" i="1"/>
  <c r="M470" i="1"/>
  <c r="O470" i="1"/>
  <c r="P470" i="1"/>
  <c r="Q470" i="1"/>
  <c r="R470" i="1"/>
  <c r="M471" i="1"/>
  <c r="O471" i="1"/>
  <c r="P471" i="1"/>
  <c r="Q471" i="1"/>
  <c r="R471" i="1"/>
  <c r="M472" i="1"/>
  <c r="O472" i="1"/>
  <c r="P472" i="1"/>
  <c r="Q472" i="1"/>
  <c r="R472" i="1"/>
  <c r="M473" i="1"/>
  <c r="O473" i="1"/>
  <c r="P473" i="1"/>
  <c r="Q473" i="1"/>
  <c r="R473" i="1"/>
  <c r="M474" i="1"/>
  <c r="O474" i="1"/>
  <c r="P474" i="1"/>
  <c r="Q474" i="1"/>
  <c r="R474" i="1"/>
  <c r="M475" i="1"/>
  <c r="O475" i="1"/>
  <c r="P475" i="1"/>
  <c r="Q475" i="1"/>
  <c r="R475" i="1"/>
  <c r="M476" i="1"/>
  <c r="O476" i="1"/>
  <c r="P476" i="1"/>
  <c r="Q476" i="1"/>
  <c r="R476" i="1"/>
  <c r="M477" i="1"/>
  <c r="O477" i="1"/>
  <c r="P477" i="1"/>
  <c r="Q477" i="1"/>
  <c r="R477" i="1"/>
  <c r="M478" i="1"/>
  <c r="O478" i="1"/>
  <c r="P478" i="1"/>
  <c r="Q478" i="1"/>
  <c r="R478" i="1"/>
  <c r="M479" i="1"/>
  <c r="O479" i="1"/>
  <c r="P479" i="1"/>
  <c r="Q479" i="1"/>
  <c r="R479" i="1"/>
  <c r="M480" i="1"/>
  <c r="O480" i="1"/>
  <c r="P480" i="1"/>
  <c r="Q480" i="1"/>
  <c r="R480" i="1"/>
  <c r="M481" i="1"/>
  <c r="O481" i="1"/>
  <c r="P481" i="1"/>
  <c r="Q481" i="1"/>
  <c r="R481" i="1"/>
  <c r="M482" i="1"/>
  <c r="O482" i="1"/>
  <c r="P482" i="1"/>
  <c r="Q482" i="1"/>
  <c r="R482" i="1"/>
  <c r="M483" i="1"/>
  <c r="O483" i="1"/>
  <c r="P483" i="1"/>
  <c r="Q483" i="1"/>
  <c r="R483" i="1"/>
  <c r="M484" i="1"/>
  <c r="O484" i="1"/>
  <c r="P484" i="1"/>
  <c r="Q484" i="1"/>
  <c r="R484" i="1"/>
  <c r="M485" i="1"/>
  <c r="O485" i="1"/>
  <c r="P485" i="1"/>
  <c r="Q485" i="1"/>
  <c r="R485" i="1"/>
  <c r="M486" i="1"/>
  <c r="O486" i="1"/>
  <c r="P486" i="1"/>
  <c r="Q486" i="1"/>
  <c r="R486" i="1"/>
  <c r="M487" i="1"/>
  <c r="O487" i="1"/>
  <c r="P487" i="1"/>
  <c r="Q487" i="1"/>
  <c r="R487" i="1"/>
  <c r="M488" i="1"/>
  <c r="O488" i="1"/>
  <c r="P488" i="1"/>
  <c r="Q488" i="1"/>
  <c r="R488" i="1"/>
  <c r="M489" i="1"/>
  <c r="O489" i="1"/>
  <c r="P489" i="1"/>
  <c r="Q489" i="1"/>
  <c r="R489" i="1"/>
  <c r="M490" i="1"/>
  <c r="O490" i="1"/>
  <c r="P490" i="1"/>
  <c r="Q490" i="1"/>
  <c r="R490" i="1"/>
  <c r="M491" i="1"/>
  <c r="O491" i="1"/>
  <c r="P491" i="1"/>
  <c r="Q491" i="1"/>
  <c r="R491" i="1"/>
  <c r="M492" i="1"/>
  <c r="O492" i="1"/>
  <c r="P492" i="1"/>
  <c r="Q492" i="1"/>
  <c r="R492" i="1"/>
  <c r="M493" i="1"/>
  <c r="O493" i="1"/>
  <c r="P493" i="1"/>
  <c r="Q493" i="1"/>
  <c r="R493" i="1"/>
  <c r="M494" i="1"/>
  <c r="O494" i="1"/>
  <c r="P494" i="1"/>
  <c r="Q494" i="1"/>
  <c r="R494" i="1"/>
  <c r="M495" i="1"/>
  <c r="O495" i="1"/>
  <c r="P495" i="1"/>
  <c r="Q495" i="1"/>
  <c r="R495" i="1"/>
  <c r="M496" i="1"/>
  <c r="O496" i="1"/>
  <c r="P496" i="1"/>
  <c r="Q496" i="1"/>
  <c r="R496" i="1"/>
  <c r="M497" i="1"/>
  <c r="O497" i="1"/>
  <c r="P497" i="1"/>
  <c r="Q497" i="1"/>
  <c r="R497" i="1"/>
  <c r="M498" i="1"/>
  <c r="O498" i="1"/>
  <c r="P498" i="1"/>
  <c r="Q498" i="1"/>
  <c r="R498" i="1"/>
  <c r="M499" i="1"/>
  <c r="O499" i="1"/>
  <c r="P499" i="1"/>
  <c r="Q499" i="1"/>
  <c r="R499" i="1"/>
  <c r="M500" i="1"/>
  <c r="O500" i="1"/>
  <c r="P500" i="1"/>
  <c r="Q500" i="1"/>
  <c r="R500" i="1"/>
  <c r="M501" i="1"/>
  <c r="O501" i="1"/>
  <c r="P501" i="1"/>
  <c r="Q501" i="1"/>
  <c r="R501" i="1"/>
  <c r="M502" i="1"/>
  <c r="O502" i="1"/>
  <c r="P502" i="1"/>
  <c r="Q502" i="1"/>
  <c r="R502" i="1"/>
  <c r="M503" i="1"/>
  <c r="O503" i="1"/>
  <c r="P503" i="1"/>
  <c r="Q503" i="1"/>
  <c r="R503" i="1"/>
  <c r="M504" i="1"/>
  <c r="O504" i="1"/>
  <c r="P504" i="1"/>
  <c r="Q504" i="1"/>
  <c r="R504" i="1"/>
  <c r="M505" i="1"/>
  <c r="O505" i="1"/>
  <c r="P505" i="1"/>
  <c r="Q505" i="1"/>
  <c r="R505" i="1"/>
  <c r="M506" i="1"/>
  <c r="O506" i="1"/>
  <c r="P506" i="1"/>
  <c r="Q506" i="1"/>
  <c r="R506" i="1"/>
  <c r="M507" i="1"/>
  <c r="O507" i="1"/>
  <c r="P507" i="1"/>
  <c r="Q507" i="1"/>
  <c r="R507" i="1"/>
  <c r="M508" i="1"/>
  <c r="O508" i="1"/>
  <c r="P508" i="1"/>
  <c r="Q508" i="1"/>
  <c r="R508" i="1"/>
  <c r="M509" i="1"/>
  <c r="O509" i="1"/>
  <c r="P509" i="1"/>
  <c r="Q509" i="1"/>
  <c r="R509" i="1"/>
  <c r="M510" i="1"/>
  <c r="O510" i="1"/>
  <c r="P510" i="1"/>
  <c r="Q510" i="1"/>
  <c r="R510" i="1"/>
  <c r="M511" i="1"/>
  <c r="O511" i="1"/>
  <c r="P511" i="1"/>
  <c r="Q511" i="1"/>
  <c r="R511" i="1"/>
  <c r="M512" i="1"/>
  <c r="O512" i="1"/>
  <c r="P512" i="1"/>
  <c r="Q512" i="1"/>
  <c r="R512" i="1"/>
  <c r="M513" i="1"/>
  <c r="O513" i="1"/>
  <c r="P513" i="1"/>
  <c r="Q513" i="1"/>
  <c r="R513" i="1"/>
  <c r="M514" i="1"/>
  <c r="O514" i="1"/>
  <c r="P514" i="1"/>
  <c r="Q514" i="1"/>
  <c r="R514" i="1"/>
  <c r="M515" i="1"/>
  <c r="O515" i="1"/>
  <c r="P515" i="1"/>
  <c r="Q515" i="1"/>
  <c r="R515" i="1"/>
  <c r="M516" i="1"/>
  <c r="O516" i="1"/>
  <c r="P516" i="1"/>
  <c r="Q516" i="1"/>
  <c r="R516" i="1"/>
  <c r="M517" i="1"/>
  <c r="O517" i="1"/>
  <c r="P517" i="1"/>
  <c r="Q517" i="1"/>
  <c r="R517" i="1"/>
  <c r="M518" i="1"/>
  <c r="O518" i="1"/>
  <c r="P518" i="1"/>
  <c r="Q518" i="1"/>
  <c r="R518" i="1"/>
  <c r="M519" i="1"/>
  <c r="O519" i="1"/>
  <c r="P519" i="1"/>
  <c r="Q519" i="1"/>
  <c r="R519" i="1"/>
  <c r="M520" i="1"/>
  <c r="O520" i="1"/>
  <c r="P520" i="1"/>
  <c r="Q520" i="1"/>
  <c r="R520" i="1"/>
  <c r="M521" i="1"/>
  <c r="O521" i="1"/>
  <c r="P521" i="1"/>
  <c r="Q521" i="1"/>
  <c r="R521" i="1"/>
  <c r="M522" i="1"/>
  <c r="O522" i="1"/>
  <c r="P522" i="1"/>
  <c r="Q522" i="1"/>
  <c r="R522" i="1"/>
  <c r="M523" i="1"/>
  <c r="O523" i="1"/>
  <c r="P523" i="1"/>
  <c r="Q523" i="1"/>
  <c r="R523" i="1"/>
  <c r="M524" i="1"/>
  <c r="O524" i="1"/>
  <c r="P524" i="1"/>
  <c r="Q524" i="1"/>
  <c r="R524" i="1"/>
  <c r="M525" i="1"/>
  <c r="O525" i="1"/>
  <c r="P525" i="1"/>
  <c r="Q525" i="1"/>
  <c r="R525" i="1"/>
  <c r="M526" i="1"/>
  <c r="O526" i="1"/>
  <c r="P526" i="1"/>
  <c r="Q526" i="1"/>
  <c r="R526" i="1"/>
  <c r="M527" i="1"/>
  <c r="O527" i="1"/>
  <c r="P527" i="1"/>
  <c r="Q527" i="1"/>
  <c r="R527" i="1"/>
  <c r="M528" i="1"/>
  <c r="O528" i="1"/>
  <c r="P528" i="1"/>
  <c r="Q528" i="1"/>
  <c r="R528" i="1"/>
  <c r="M529" i="1"/>
  <c r="O529" i="1"/>
  <c r="P529" i="1"/>
  <c r="Q529" i="1"/>
  <c r="R529" i="1"/>
  <c r="M530" i="1"/>
  <c r="O530" i="1"/>
  <c r="P530" i="1"/>
  <c r="Q530" i="1"/>
  <c r="R530" i="1"/>
  <c r="M531" i="1"/>
  <c r="O531" i="1"/>
  <c r="P531" i="1"/>
  <c r="Q531" i="1"/>
  <c r="R531" i="1"/>
  <c r="M532" i="1"/>
  <c r="O532" i="1"/>
  <c r="P532" i="1"/>
  <c r="Q532" i="1"/>
  <c r="R532" i="1"/>
  <c r="M533" i="1"/>
  <c r="O533" i="1"/>
  <c r="P533" i="1"/>
  <c r="Q533" i="1"/>
  <c r="R533" i="1"/>
  <c r="M534" i="1"/>
  <c r="O534" i="1"/>
  <c r="P534" i="1"/>
  <c r="Q534" i="1"/>
  <c r="R534" i="1"/>
  <c r="M535" i="1"/>
  <c r="O535" i="1"/>
  <c r="P535" i="1"/>
  <c r="Q535" i="1"/>
  <c r="R535" i="1"/>
  <c r="M536" i="1"/>
  <c r="O536" i="1"/>
  <c r="P536" i="1"/>
  <c r="Q536" i="1"/>
  <c r="R536" i="1"/>
  <c r="M537" i="1"/>
  <c r="O537" i="1"/>
  <c r="P537" i="1"/>
  <c r="Q537" i="1"/>
  <c r="R537" i="1"/>
  <c r="M538" i="1"/>
  <c r="O538" i="1"/>
  <c r="P538" i="1"/>
  <c r="Q538" i="1"/>
  <c r="R538" i="1"/>
  <c r="M539" i="1"/>
  <c r="O539" i="1"/>
  <c r="P539" i="1"/>
  <c r="Q539" i="1"/>
  <c r="R539" i="1"/>
  <c r="M540" i="1"/>
  <c r="O540" i="1"/>
  <c r="P540" i="1"/>
  <c r="Q540" i="1"/>
  <c r="R540" i="1"/>
  <c r="M541" i="1"/>
  <c r="O541" i="1"/>
  <c r="P541" i="1"/>
  <c r="Q541" i="1"/>
  <c r="R541" i="1"/>
  <c r="M542" i="1"/>
  <c r="O542" i="1"/>
  <c r="P542" i="1"/>
  <c r="Q542" i="1"/>
  <c r="R542" i="1"/>
  <c r="M543" i="1"/>
  <c r="O543" i="1"/>
  <c r="P543" i="1"/>
  <c r="Q543" i="1"/>
  <c r="R543" i="1"/>
  <c r="M544" i="1"/>
  <c r="O544" i="1"/>
  <c r="P544" i="1"/>
  <c r="Q544" i="1"/>
  <c r="R544" i="1"/>
  <c r="M545" i="1"/>
  <c r="O545" i="1"/>
  <c r="P545" i="1"/>
  <c r="Q545" i="1"/>
  <c r="R545" i="1"/>
  <c r="M546" i="1"/>
  <c r="O546" i="1"/>
  <c r="P546" i="1"/>
  <c r="Q546" i="1"/>
  <c r="R546" i="1"/>
  <c r="M547" i="1"/>
  <c r="O547" i="1"/>
  <c r="P547" i="1"/>
  <c r="Q547" i="1"/>
  <c r="R547" i="1"/>
  <c r="M548" i="1"/>
  <c r="O548" i="1"/>
  <c r="P548" i="1"/>
  <c r="Q548" i="1"/>
  <c r="R548" i="1"/>
  <c r="M549" i="1"/>
  <c r="O549" i="1"/>
  <c r="P549" i="1"/>
  <c r="Q549" i="1"/>
  <c r="R549" i="1"/>
  <c r="M550" i="1"/>
  <c r="O550" i="1"/>
  <c r="P550" i="1"/>
  <c r="Q550" i="1"/>
  <c r="R550" i="1"/>
  <c r="M551" i="1"/>
  <c r="O551" i="1"/>
  <c r="P551" i="1"/>
  <c r="Q551" i="1"/>
  <c r="R551" i="1"/>
  <c r="M552" i="1"/>
  <c r="O552" i="1"/>
  <c r="P552" i="1"/>
  <c r="Q552" i="1"/>
  <c r="R552" i="1"/>
  <c r="M553" i="1"/>
  <c r="O553" i="1"/>
  <c r="P553" i="1"/>
  <c r="Q553" i="1"/>
  <c r="R553" i="1"/>
  <c r="M554" i="1"/>
  <c r="O554" i="1"/>
  <c r="P554" i="1"/>
  <c r="Q554" i="1"/>
  <c r="R554" i="1"/>
  <c r="M555" i="1"/>
  <c r="O555" i="1"/>
  <c r="P555" i="1"/>
  <c r="Q555" i="1"/>
  <c r="R555" i="1"/>
  <c r="M556" i="1"/>
  <c r="O556" i="1"/>
  <c r="P556" i="1"/>
  <c r="Q556" i="1"/>
  <c r="R556" i="1"/>
  <c r="M557" i="1"/>
  <c r="O557" i="1"/>
  <c r="P557" i="1"/>
  <c r="Q557" i="1"/>
  <c r="R557" i="1"/>
  <c r="M558" i="1"/>
  <c r="O558" i="1"/>
  <c r="P558" i="1"/>
  <c r="Q558" i="1"/>
  <c r="R558" i="1"/>
  <c r="M559" i="1"/>
  <c r="O559" i="1"/>
  <c r="P559" i="1"/>
  <c r="Q559" i="1"/>
  <c r="R559" i="1"/>
  <c r="M560" i="1"/>
  <c r="O560" i="1"/>
  <c r="P560" i="1"/>
  <c r="Q560" i="1"/>
  <c r="R560" i="1"/>
  <c r="M561" i="1"/>
  <c r="O561" i="1"/>
  <c r="P561" i="1"/>
  <c r="Q561" i="1"/>
  <c r="R561" i="1"/>
  <c r="M562" i="1"/>
  <c r="O562" i="1"/>
  <c r="P562" i="1"/>
  <c r="Q562" i="1"/>
  <c r="R562" i="1"/>
  <c r="M563" i="1"/>
  <c r="O563" i="1"/>
  <c r="P563" i="1"/>
  <c r="Q563" i="1"/>
  <c r="R563" i="1"/>
  <c r="M564" i="1"/>
  <c r="O564" i="1"/>
  <c r="P564" i="1"/>
  <c r="Q564" i="1"/>
  <c r="R564" i="1"/>
  <c r="M565" i="1"/>
  <c r="O565" i="1"/>
  <c r="P565" i="1"/>
  <c r="Q565" i="1"/>
  <c r="R565" i="1"/>
  <c r="M566" i="1"/>
  <c r="O566" i="1"/>
  <c r="P566" i="1"/>
  <c r="Q566" i="1"/>
  <c r="R566" i="1"/>
  <c r="M567" i="1"/>
  <c r="O567" i="1"/>
  <c r="P567" i="1"/>
  <c r="Q567" i="1"/>
  <c r="R567" i="1"/>
  <c r="M568" i="1"/>
  <c r="O568" i="1"/>
  <c r="P568" i="1"/>
  <c r="Q568" i="1"/>
  <c r="R568" i="1"/>
  <c r="M569" i="1"/>
  <c r="O569" i="1"/>
  <c r="P569" i="1"/>
  <c r="Q569" i="1"/>
  <c r="R569" i="1"/>
  <c r="M570" i="1"/>
  <c r="O570" i="1"/>
  <c r="P570" i="1"/>
  <c r="Q570" i="1"/>
  <c r="R570" i="1"/>
  <c r="M571" i="1"/>
  <c r="O571" i="1"/>
  <c r="P571" i="1"/>
  <c r="Q571" i="1"/>
  <c r="R571" i="1"/>
  <c r="M572" i="1"/>
  <c r="O572" i="1"/>
  <c r="P572" i="1"/>
  <c r="Q572" i="1"/>
  <c r="R572" i="1"/>
  <c r="M573" i="1"/>
  <c r="O573" i="1"/>
  <c r="P573" i="1"/>
  <c r="Q573" i="1"/>
  <c r="R573" i="1"/>
  <c r="M574" i="1"/>
  <c r="O574" i="1"/>
  <c r="P574" i="1"/>
  <c r="Q574" i="1"/>
  <c r="R574" i="1"/>
  <c r="M575" i="1"/>
  <c r="O575" i="1"/>
  <c r="P575" i="1"/>
  <c r="Q575" i="1"/>
  <c r="R575" i="1"/>
  <c r="M576" i="1"/>
  <c r="O576" i="1"/>
  <c r="P576" i="1"/>
  <c r="Q576" i="1"/>
  <c r="R576" i="1"/>
  <c r="M577" i="1"/>
  <c r="O577" i="1"/>
  <c r="P577" i="1"/>
  <c r="Q577" i="1"/>
  <c r="R577" i="1"/>
  <c r="M578" i="1"/>
  <c r="O578" i="1"/>
  <c r="P578" i="1"/>
  <c r="Q578" i="1"/>
  <c r="R578" i="1"/>
  <c r="M579" i="1"/>
  <c r="O579" i="1"/>
  <c r="P579" i="1"/>
  <c r="Q579" i="1"/>
  <c r="R579" i="1"/>
  <c r="M580" i="1"/>
  <c r="O580" i="1"/>
  <c r="P580" i="1"/>
  <c r="Q580" i="1"/>
  <c r="R580" i="1"/>
  <c r="M581" i="1"/>
  <c r="O581" i="1"/>
  <c r="P581" i="1"/>
  <c r="Q581" i="1"/>
  <c r="R581" i="1"/>
  <c r="M582" i="1"/>
  <c r="O582" i="1"/>
  <c r="P582" i="1"/>
  <c r="Q582" i="1"/>
  <c r="R582" i="1"/>
  <c r="M583" i="1"/>
  <c r="O583" i="1"/>
  <c r="P583" i="1"/>
  <c r="Q583" i="1"/>
  <c r="R583" i="1"/>
  <c r="M584" i="1"/>
  <c r="O584" i="1"/>
  <c r="P584" i="1"/>
  <c r="Q584" i="1"/>
  <c r="R584" i="1"/>
  <c r="M585" i="1"/>
  <c r="O585" i="1"/>
  <c r="P585" i="1"/>
  <c r="Q585" i="1"/>
  <c r="R585" i="1"/>
  <c r="M586" i="1"/>
  <c r="O586" i="1"/>
  <c r="P586" i="1"/>
  <c r="Q586" i="1"/>
  <c r="R586" i="1"/>
  <c r="M587" i="1"/>
  <c r="O587" i="1"/>
  <c r="P587" i="1"/>
  <c r="Q587" i="1"/>
  <c r="R587" i="1"/>
  <c r="M588" i="1"/>
  <c r="O588" i="1"/>
  <c r="P588" i="1"/>
  <c r="Q588" i="1"/>
  <c r="R588" i="1"/>
  <c r="M589" i="1"/>
  <c r="O589" i="1"/>
  <c r="P589" i="1"/>
  <c r="Q589" i="1"/>
  <c r="R589" i="1"/>
  <c r="M590" i="1"/>
  <c r="O590" i="1"/>
  <c r="P590" i="1"/>
  <c r="Q590" i="1"/>
  <c r="R590" i="1"/>
  <c r="M591" i="1"/>
  <c r="O591" i="1"/>
  <c r="P591" i="1"/>
  <c r="Q591" i="1"/>
  <c r="R591" i="1"/>
  <c r="M592" i="1"/>
  <c r="O592" i="1"/>
  <c r="P592" i="1"/>
  <c r="Q592" i="1"/>
  <c r="R592" i="1"/>
  <c r="M593" i="1"/>
  <c r="O593" i="1"/>
  <c r="P593" i="1"/>
  <c r="Q593" i="1"/>
  <c r="R593" i="1"/>
  <c r="M594" i="1"/>
  <c r="O594" i="1"/>
  <c r="P594" i="1"/>
  <c r="Q594" i="1"/>
  <c r="R594" i="1"/>
  <c r="M595" i="1"/>
  <c r="O595" i="1"/>
  <c r="P595" i="1"/>
  <c r="Q595" i="1"/>
  <c r="R595" i="1"/>
  <c r="M596" i="1"/>
  <c r="O596" i="1"/>
  <c r="P596" i="1"/>
  <c r="Q596" i="1"/>
  <c r="R596" i="1"/>
  <c r="M597" i="1"/>
  <c r="O597" i="1"/>
  <c r="P597" i="1"/>
  <c r="Q597" i="1"/>
  <c r="R597" i="1"/>
  <c r="M598" i="1"/>
  <c r="O598" i="1"/>
  <c r="P598" i="1"/>
  <c r="Q598" i="1"/>
  <c r="R598" i="1"/>
  <c r="M599" i="1"/>
  <c r="O599" i="1"/>
  <c r="P599" i="1"/>
  <c r="Q599" i="1"/>
  <c r="R599" i="1"/>
  <c r="M600" i="1"/>
  <c r="O600" i="1"/>
  <c r="P600" i="1"/>
  <c r="Q600" i="1"/>
  <c r="R600" i="1"/>
  <c r="M601" i="1"/>
  <c r="O601" i="1"/>
  <c r="P601" i="1"/>
  <c r="Q601" i="1"/>
  <c r="R601" i="1"/>
  <c r="M602" i="1"/>
  <c r="O602" i="1"/>
  <c r="P602" i="1"/>
  <c r="Q602" i="1"/>
  <c r="R602" i="1"/>
  <c r="M603" i="1"/>
  <c r="O603" i="1"/>
  <c r="P603" i="1"/>
  <c r="Q603" i="1"/>
  <c r="R603" i="1"/>
  <c r="M604" i="1"/>
  <c r="O604" i="1"/>
  <c r="P604" i="1"/>
  <c r="Q604" i="1"/>
  <c r="R604" i="1"/>
  <c r="M605" i="1"/>
  <c r="O605" i="1"/>
  <c r="P605" i="1"/>
  <c r="Q605" i="1"/>
  <c r="R605" i="1"/>
  <c r="M606" i="1"/>
  <c r="O606" i="1"/>
  <c r="P606" i="1"/>
  <c r="Q606" i="1"/>
  <c r="R606" i="1"/>
  <c r="M607" i="1"/>
  <c r="O607" i="1"/>
  <c r="P607" i="1"/>
  <c r="Q607" i="1"/>
  <c r="R607" i="1"/>
  <c r="M608" i="1"/>
  <c r="O608" i="1"/>
  <c r="P608" i="1"/>
  <c r="Q608" i="1"/>
  <c r="R608" i="1"/>
  <c r="M609" i="1"/>
  <c r="O609" i="1"/>
  <c r="P609" i="1"/>
  <c r="Q609" i="1"/>
  <c r="R609" i="1"/>
  <c r="M610" i="1"/>
  <c r="O610" i="1"/>
  <c r="P610" i="1"/>
  <c r="Q610" i="1"/>
  <c r="R610" i="1"/>
  <c r="M611" i="1"/>
  <c r="O611" i="1"/>
  <c r="P611" i="1"/>
  <c r="Q611" i="1"/>
  <c r="R611" i="1"/>
  <c r="M612" i="1"/>
  <c r="O612" i="1"/>
  <c r="P612" i="1"/>
  <c r="Q612" i="1"/>
  <c r="R612" i="1"/>
  <c r="M613" i="1"/>
  <c r="O613" i="1"/>
  <c r="P613" i="1"/>
  <c r="Q613" i="1"/>
  <c r="R613" i="1"/>
  <c r="M614" i="1"/>
  <c r="O614" i="1"/>
  <c r="P614" i="1"/>
  <c r="Q614" i="1"/>
  <c r="R614" i="1"/>
  <c r="M615" i="1"/>
  <c r="O615" i="1"/>
  <c r="P615" i="1"/>
  <c r="Q615" i="1"/>
  <c r="R615" i="1"/>
  <c r="M616" i="1"/>
  <c r="O616" i="1"/>
  <c r="P616" i="1"/>
  <c r="Q616" i="1"/>
  <c r="R616" i="1"/>
  <c r="M617" i="1"/>
  <c r="O617" i="1"/>
  <c r="P617" i="1"/>
  <c r="Q617" i="1"/>
  <c r="R617" i="1"/>
  <c r="M618" i="1"/>
  <c r="O618" i="1"/>
  <c r="P618" i="1"/>
  <c r="Q618" i="1"/>
  <c r="R618" i="1"/>
  <c r="M619" i="1"/>
  <c r="O619" i="1"/>
  <c r="P619" i="1"/>
  <c r="Q619" i="1"/>
  <c r="R619" i="1"/>
  <c r="M620" i="1"/>
  <c r="O620" i="1"/>
  <c r="P620" i="1"/>
  <c r="Q620" i="1"/>
  <c r="R620" i="1"/>
  <c r="M621" i="1"/>
  <c r="O621" i="1"/>
  <c r="P621" i="1"/>
  <c r="Q621" i="1"/>
  <c r="R621" i="1"/>
  <c r="M622" i="1"/>
  <c r="O622" i="1"/>
  <c r="P622" i="1"/>
  <c r="Q622" i="1"/>
  <c r="R622" i="1"/>
  <c r="M623" i="1"/>
  <c r="O623" i="1"/>
  <c r="P623" i="1"/>
  <c r="Q623" i="1"/>
  <c r="R623" i="1"/>
  <c r="M624" i="1"/>
  <c r="O624" i="1"/>
  <c r="P624" i="1"/>
  <c r="Q624" i="1"/>
  <c r="R624" i="1"/>
  <c r="M625" i="1"/>
  <c r="O625" i="1"/>
  <c r="P625" i="1"/>
  <c r="Q625" i="1"/>
  <c r="R625" i="1"/>
  <c r="M626" i="1"/>
  <c r="O626" i="1"/>
  <c r="P626" i="1"/>
  <c r="Q626" i="1"/>
  <c r="R626" i="1"/>
  <c r="M627" i="1"/>
  <c r="O627" i="1"/>
  <c r="P627" i="1"/>
  <c r="Q627" i="1"/>
  <c r="R627" i="1"/>
  <c r="M628" i="1"/>
  <c r="O628" i="1"/>
  <c r="P628" i="1"/>
  <c r="Q628" i="1"/>
  <c r="R628" i="1"/>
  <c r="M629" i="1"/>
  <c r="O629" i="1"/>
  <c r="P629" i="1"/>
  <c r="Q629" i="1"/>
  <c r="R629" i="1"/>
  <c r="M630" i="1"/>
  <c r="O630" i="1"/>
  <c r="P630" i="1"/>
  <c r="Q630" i="1"/>
  <c r="R630" i="1"/>
  <c r="M631" i="1"/>
  <c r="O631" i="1"/>
  <c r="P631" i="1"/>
  <c r="Q631" i="1"/>
  <c r="R631" i="1"/>
  <c r="M632" i="1"/>
  <c r="O632" i="1"/>
  <c r="P632" i="1"/>
  <c r="Q632" i="1"/>
  <c r="R632" i="1"/>
  <c r="M633" i="1"/>
  <c r="O633" i="1"/>
  <c r="P633" i="1"/>
  <c r="Q633" i="1"/>
  <c r="R633" i="1"/>
  <c r="M634" i="1"/>
  <c r="O634" i="1"/>
  <c r="P634" i="1"/>
  <c r="Q634" i="1"/>
  <c r="R634" i="1"/>
  <c r="M635" i="1"/>
  <c r="O635" i="1"/>
  <c r="P635" i="1"/>
  <c r="Q635" i="1"/>
  <c r="R635" i="1"/>
  <c r="M636" i="1"/>
  <c r="O636" i="1"/>
  <c r="P636" i="1"/>
  <c r="Q636" i="1"/>
  <c r="R636" i="1"/>
  <c r="M637" i="1"/>
  <c r="O637" i="1"/>
  <c r="P637" i="1"/>
  <c r="Q637" i="1"/>
  <c r="R637" i="1"/>
  <c r="M638" i="1"/>
  <c r="O638" i="1"/>
  <c r="P638" i="1"/>
  <c r="Q638" i="1"/>
  <c r="R638" i="1"/>
  <c r="M639" i="1"/>
  <c r="O639" i="1"/>
  <c r="P639" i="1"/>
  <c r="Q639" i="1"/>
  <c r="R639" i="1"/>
  <c r="M640" i="1"/>
  <c r="O640" i="1"/>
  <c r="P640" i="1"/>
  <c r="Q640" i="1"/>
  <c r="R640" i="1"/>
  <c r="M641" i="1"/>
  <c r="O641" i="1"/>
  <c r="P641" i="1"/>
  <c r="Q641" i="1"/>
  <c r="R641" i="1"/>
  <c r="M642" i="1"/>
  <c r="O642" i="1"/>
  <c r="P642" i="1"/>
  <c r="Q642" i="1"/>
  <c r="R642" i="1"/>
  <c r="M643" i="1"/>
  <c r="O643" i="1"/>
  <c r="P643" i="1"/>
  <c r="Q643" i="1"/>
  <c r="R643" i="1"/>
  <c r="M644" i="1"/>
  <c r="O644" i="1"/>
  <c r="P644" i="1"/>
  <c r="Q644" i="1"/>
  <c r="R644" i="1"/>
  <c r="M645" i="1"/>
  <c r="O645" i="1"/>
  <c r="P645" i="1"/>
  <c r="Q645" i="1"/>
  <c r="R645" i="1"/>
  <c r="M646" i="1"/>
  <c r="O646" i="1"/>
  <c r="P646" i="1"/>
  <c r="Q646" i="1"/>
  <c r="R646" i="1"/>
  <c r="M647" i="1"/>
  <c r="O647" i="1"/>
  <c r="P647" i="1"/>
  <c r="Q647" i="1"/>
  <c r="R647" i="1"/>
  <c r="M648" i="1"/>
  <c r="O648" i="1"/>
  <c r="P648" i="1"/>
  <c r="Q648" i="1"/>
  <c r="R648" i="1"/>
  <c r="M649" i="1"/>
  <c r="O649" i="1"/>
  <c r="P649" i="1"/>
  <c r="Q649" i="1"/>
  <c r="R649" i="1"/>
  <c r="M650" i="1"/>
  <c r="O650" i="1"/>
  <c r="P650" i="1"/>
  <c r="Q650" i="1"/>
  <c r="R650" i="1"/>
  <c r="M651" i="1"/>
  <c r="O651" i="1"/>
  <c r="P651" i="1"/>
  <c r="Q651" i="1"/>
  <c r="R651" i="1"/>
  <c r="M652" i="1"/>
  <c r="O652" i="1"/>
  <c r="P652" i="1"/>
  <c r="Q652" i="1"/>
  <c r="R652" i="1"/>
  <c r="M653" i="1"/>
  <c r="O653" i="1"/>
  <c r="P653" i="1"/>
  <c r="Q653" i="1"/>
  <c r="R653" i="1"/>
  <c r="M654" i="1"/>
  <c r="O654" i="1"/>
  <c r="P654" i="1"/>
  <c r="Q654" i="1"/>
  <c r="R654" i="1"/>
  <c r="M655" i="1"/>
  <c r="O655" i="1"/>
  <c r="P655" i="1"/>
  <c r="Q655" i="1"/>
  <c r="R655" i="1"/>
  <c r="M656" i="1"/>
  <c r="O656" i="1"/>
  <c r="P656" i="1"/>
  <c r="Q656" i="1"/>
  <c r="R656" i="1"/>
  <c r="M657" i="1"/>
  <c r="O657" i="1"/>
  <c r="P657" i="1"/>
  <c r="Q657" i="1"/>
  <c r="R657" i="1"/>
  <c r="M658" i="1"/>
  <c r="O658" i="1"/>
  <c r="P658" i="1"/>
  <c r="Q658" i="1"/>
  <c r="R658" i="1"/>
  <c r="M659" i="1"/>
  <c r="O659" i="1"/>
  <c r="P659" i="1"/>
  <c r="Q659" i="1"/>
  <c r="R659" i="1"/>
  <c r="M660" i="1"/>
  <c r="O660" i="1"/>
  <c r="P660" i="1"/>
  <c r="Q660" i="1"/>
  <c r="R660" i="1"/>
  <c r="M661" i="1"/>
  <c r="O661" i="1"/>
  <c r="P661" i="1"/>
  <c r="Q661" i="1"/>
  <c r="R661" i="1"/>
  <c r="M662" i="1"/>
  <c r="O662" i="1"/>
  <c r="P662" i="1"/>
  <c r="Q662" i="1"/>
  <c r="R662" i="1"/>
  <c r="M663" i="1"/>
  <c r="O663" i="1"/>
  <c r="P663" i="1"/>
  <c r="Q663" i="1"/>
  <c r="R663" i="1"/>
  <c r="M664" i="1"/>
  <c r="O664" i="1"/>
  <c r="P664" i="1"/>
  <c r="Q664" i="1"/>
  <c r="R664" i="1"/>
  <c r="M665" i="1"/>
  <c r="O665" i="1"/>
  <c r="P665" i="1"/>
  <c r="Q665" i="1"/>
  <c r="R665" i="1"/>
  <c r="M666" i="1"/>
  <c r="O666" i="1"/>
  <c r="P666" i="1"/>
  <c r="Q666" i="1"/>
  <c r="R666" i="1"/>
  <c r="M667" i="1"/>
  <c r="O667" i="1"/>
  <c r="P667" i="1"/>
  <c r="Q667" i="1"/>
  <c r="R667" i="1"/>
  <c r="M668" i="1"/>
  <c r="O668" i="1"/>
  <c r="P668" i="1"/>
  <c r="Q668" i="1"/>
  <c r="R668" i="1"/>
  <c r="M669" i="1"/>
  <c r="O669" i="1"/>
  <c r="P669" i="1"/>
  <c r="Q669" i="1"/>
  <c r="R669" i="1"/>
  <c r="M670" i="1"/>
  <c r="O670" i="1"/>
  <c r="P670" i="1"/>
  <c r="Q670" i="1"/>
  <c r="R670" i="1"/>
  <c r="M671" i="1"/>
  <c r="O671" i="1"/>
  <c r="P671" i="1"/>
  <c r="Q671" i="1"/>
  <c r="R671" i="1"/>
  <c r="M672" i="1"/>
  <c r="O672" i="1"/>
  <c r="P672" i="1"/>
  <c r="Q672" i="1"/>
  <c r="R672" i="1"/>
  <c r="M673" i="1"/>
  <c r="O673" i="1"/>
  <c r="P673" i="1"/>
  <c r="Q673" i="1"/>
  <c r="R673" i="1"/>
  <c r="M674" i="1"/>
  <c r="O674" i="1"/>
  <c r="P674" i="1"/>
  <c r="Q674" i="1"/>
  <c r="R674" i="1"/>
  <c r="M675" i="1"/>
  <c r="O675" i="1"/>
  <c r="P675" i="1"/>
  <c r="Q675" i="1"/>
  <c r="R675" i="1"/>
  <c r="M676" i="1"/>
  <c r="O676" i="1"/>
  <c r="P676" i="1"/>
  <c r="Q676" i="1"/>
  <c r="R676" i="1"/>
  <c r="M677" i="1"/>
  <c r="O677" i="1"/>
  <c r="P677" i="1"/>
  <c r="Q677" i="1"/>
  <c r="R677" i="1"/>
  <c r="M678" i="1"/>
  <c r="O678" i="1"/>
  <c r="P678" i="1"/>
  <c r="Q678" i="1"/>
  <c r="R678" i="1"/>
  <c r="M679" i="1"/>
  <c r="O679" i="1"/>
  <c r="P679" i="1"/>
  <c r="Q679" i="1"/>
  <c r="R679" i="1"/>
  <c r="M680" i="1"/>
  <c r="O680" i="1"/>
  <c r="P680" i="1"/>
  <c r="Q680" i="1"/>
  <c r="R680" i="1"/>
  <c r="M681" i="1"/>
  <c r="O681" i="1"/>
  <c r="P681" i="1"/>
  <c r="Q681" i="1"/>
  <c r="R681" i="1"/>
  <c r="M682" i="1"/>
  <c r="O682" i="1"/>
  <c r="P682" i="1"/>
  <c r="Q682" i="1"/>
  <c r="R682" i="1"/>
  <c r="M683" i="1"/>
  <c r="O683" i="1"/>
  <c r="P683" i="1"/>
  <c r="Q683" i="1"/>
  <c r="R683" i="1"/>
  <c r="M684" i="1"/>
  <c r="O684" i="1"/>
  <c r="P684" i="1"/>
  <c r="Q684" i="1"/>
  <c r="R684" i="1"/>
  <c r="M685" i="1"/>
  <c r="O685" i="1"/>
  <c r="P685" i="1"/>
  <c r="Q685" i="1"/>
  <c r="R685" i="1"/>
  <c r="M686" i="1"/>
  <c r="O686" i="1"/>
  <c r="P686" i="1"/>
  <c r="Q686" i="1"/>
  <c r="R686" i="1"/>
  <c r="M687" i="1"/>
  <c r="O687" i="1"/>
  <c r="P687" i="1"/>
  <c r="Q687" i="1"/>
  <c r="R687" i="1"/>
  <c r="M688" i="1"/>
  <c r="O688" i="1"/>
  <c r="P688" i="1"/>
  <c r="Q688" i="1"/>
  <c r="R688" i="1"/>
  <c r="M689" i="1"/>
  <c r="O689" i="1"/>
  <c r="P689" i="1"/>
  <c r="Q689" i="1"/>
  <c r="R689" i="1"/>
  <c r="M690" i="1"/>
  <c r="O690" i="1"/>
  <c r="P690" i="1"/>
  <c r="Q690" i="1"/>
  <c r="R690" i="1"/>
  <c r="M691" i="1"/>
  <c r="O691" i="1"/>
  <c r="P691" i="1"/>
  <c r="Q691" i="1"/>
  <c r="R691" i="1"/>
  <c r="M692" i="1"/>
  <c r="O692" i="1"/>
  <c r="P692" i="1"/>
  <c r="Q692" i="1"/>
  <c r="R692" i="1"/>
  <c r="M693" i="1"/>
  <c r="O693" i="1"/>
  <c r="P693" i="1"/>
  <c r="Q693" i="1"/>
  <c r="R693" i="1"/>
  <c r="M694" i="1"/>
  <c r="O694" i="1"/>
  <c r="P694" i="1"/>
  <c r="Q694" i="1"/>
  <c r="R694" i="1"/>
  <c r="M695" i="1"/>
  <c r="O695" i="1"/>
  <c r="P695" i="1"/>
  <c r="Q695" i="1"/>
  <c r="R695" i="1"/>
  <c r="M696" i="1"/>
  <c r="O696" i="1"/>
  <c r="P696" i="1"/>
  <c r="Q696" i="1"/>
  <c r="R696" i="1"/>
  <c r="M697" i="1"/>
  <c r="O697" i="1"/>
  <c r="P697" i="1"/>
  <c r="Q697" i="1"/>
  <c r="R697" i="1"/>
  <c r="M698" i="1"/>
  <c r="O698" i="1"/>
  <c r="P698" i="1"/>
  <c r="Q698" i="1"/>
  <c r="R698" i="1"/>
  <c r="M699" i="1"/>
  <c r="O699" i="1"/>
  <c r="P699" i="1"/>
  <c r="Q699" i="1"/>
  <c r="R699" i="1"/>
  <c r="M700" i="1"/>
  <c r="O700" i="1"/>
  <c r="P700" i="1"/>
  <c r="Q700" i="1"/>
  <c r="R700" i="1"/>
  <c r="M701" i="1"/>
  <c r="O701" i="1"/>
  <c r="P701" i="1"/>
  <c r="Q701" i="1"/>
  <c r="R701" i="1"/>
  <c r="M702" i="1"/>
  <c r="O702" i="1"/>
  <c r="P702" i="1"/>
  <c r="Q702" i="1"/>
  <c r="R702" i="1"/>
  <c r="M703" i="1"/>
  <c r="O703" i="1"/>
  <c r="P703" i="1"/>
  <c r="Q703" i="1"/>
  <c r="R703" i="1"/>
  <c r="M704" i="1"/>
  <c r="O704" i="1"/>
  <c r="P704" i="1"/>
  <c r="Q704" i="1"/>
  <c r="R704" i="1"/>
  <c r="M705" i="1"/>
  <c r="O705" i="1"/>
  <c r="P705" i="1"/>
  <c r="Q705" i="1"/>
  <c r="R705" i="1"/>
  <c r="M706" i="1"/>
  <c r="O706" i="1"/>
  <c r="P706" i="1"/>
  <c r="Q706" i="1"/>
  <c r="R706" i="1"/>
  <c r="M707" i="1"/>
  <c r="O707" i="1"/>
  <c r="P707" i="1"/>
  <c r="Q707" i="1"/>
  <c r="R707" i="1"/>
  <c r="M708" i="1"/>
  <c r="O708" i="1"/>
  <c r="P708" i="1"/>
  <c r="Q708" i="1"/>
  <c r="R708" i="1"/>
  <c r="M709" i="1"/>
  <c r="O709" i="1"/>
  <c r="P709" i="1"/>
  <c r="Q709" i="1"/>
  <c r="R709" i="1"/>
  <c r="M710" i="1"/>
  <c r="O710" i="1"/>
  <c r="P710" i="1"/>
  <c r="Q710" i="1"/>
  <c r="R710" i="1"/>
  <c r="M711" i="1"/>
  <c r="O711" i="1"/>
  <c r="P711" i="1"/>
  <c r="Q711" i="1"/>
  <c r="R711" i="1"/>
  <c r="M712" i="1"/>
  <c r="O712" i="1"/>
  <c r="P712" i="1"/>
  <c r="Q712" i="1"/>
  <c r="R712" i="1"/>
  <c r="M713" i="1"/>
  <c r="O713" i="1"/>
  <c r="P713" i="1"/>
  <c r="Q713" i="1"/>
  <c r="R713" i="1"/>
  <c r="M714" i="1"/>
  <c r="O714" i="1"/>
  <c r="P714" i="1"/>
  <c r="Q714" i="1"/>
  <c r="R714" i="1"/>
  <c r="M715" i="1"/>
  <c r="O715" i="1"/>
  <c r="P715" i="1"/>
  <c r="Q715" i="1"/>
  <c r="R715" i="1"/>
  <c r="M716" i="1"/>
  <c r="O716" i="1"/>
  <c r="P716" i="1"/>
  <c r="Q716" i="1"/>
  <c r="R716" i="1"/>
  <c r="M717" i="1"/>
  <c r="O717" i="1"/>
  <c r="P717" i="1"/>
  <c r="Q717" i="1"/>
  <c r="R717" i="1"/>
  <c r="M718" i="1"/>
  <c r="O718" i="1"/>
  <c r="P718" i="1"/>
  <c r="Q718" i="1"/>
  <c r="R718" i="1"/>
  <c r="M719" i="1"/>
  <c r="O719" i="1"/>
  <c r="P719" i="1"/>
  <c r="Q719" i="1"/>
  <c r="R719" i="1"/>
  <c r="M720" i="1"/>
  <c r="O720" i="1"/>
  <c r="P720" i="1"/>
  <c r="Q720" i="1"/>
  <c r="R720" i="1"/>
  <c r="M721" i="1"/>
  <c r="O721" i="1"/>
  <c r="P721" i="1"/>
  <c r="Q721" i="1"/>
  <c r="R721" i="1"/>
  <c r="M722" i="1"/>
  <c r="O722" i="1"/>
  <c r="P722" i="1"/>
  <c r="Q722" i="1"/>
  <c r="R722" i="1"/>
  <c r="M723" i="1"/>
  <c r="O723" i="1"/>
  <c r="P723" i="1"/>
  <c r="Q723" i="1"/>
  <c r="R723" i="1"/>
  <c r="M724" i="1"/>
  <c r="O724" i="1"/>
  <c r="P724" i="1"/>
  <c r="Q724" i="1"/>
  <c r="R724" i="1"/>
  <c r="M725" i="1"/>
  <c r="O725" i="1"/>
  <c r="P725" i="1"/>
  <c r="Q725" i="1"/>
  <c r="R725" i="1"/>
  <c r="M726" i="1"/>
  <c r="O726" i="1"/>
  <c r="P726" i="1"/>
  <c r="Q726" i="1"/>
  <c r="R726" i="1"/>
  <c r="M727" i="1"/>
  <c r="O727" i="1"/>
  <c r="P727" i="1"/>
  <c r="Q727" i="1"/>
  <c r="R727" i="1"/>
  <c r="M728" i="1"/>
  <c r="O728" i="1"/>
  <c r="P728" i="1"/>
  <c r="Q728" i="1"/>
  <c r="R728" i="1"/>
  <c r="M729" i="1"/>
  <c r="O729" i="1"/>
  <c r="P729" i="1"/>
  <c r="Q729" i="1"/>
  <c r="R729" i="1"/>
  <c r="M730" i="1"/>
  <c r="O730" i="1"/>
  <c r="P730" i="1"/>
  <c r="Q730" i="1"/>
  <c r="R730" i="1"/>
  <c r="M731" i="1"/>
  <c r="O731" i="1"/>
  <c r="P731" i="1"/>
  <c r="Q731" i="1"/>
  <c r="R731" i="1"/>
  <c r="M732" i="1"/>
  <c r="O732" i="1"/>
  <c r="P732" i="1"/>
  <c r="Q732" i="1"/>
  <c r="R732" i="1"/>
  <c r="M733" i="1"/>
  <c r="O733" i="1"/>
  <c r="P733" i="1"/>
  <c r="Q733" i="1"/>
  <c r="R733" i="1"/>
  <c r="M734" i="1"/>
  <c r="O734" i="1"/>
  <c r="P734" i="1"/>
  <c r="Q734" i="1"/>
  <c r="R734" i="1"/>
  <c r="M735" i="1"/>
  <c r="O735" i="1"/>
  <c r="P735" i="1"/>
  <c r="Q735" i="1"/>
  <c r="R735" i="1"/>
  <c r="M736" i="1"/>
  <c r="O736" i="1"/>
  <c r="P736" i="1"/>
  <c r="Q736" i="1"/>
  <c r="R736" i="1"/>
  <c r="M737" i="1"/>
  <c r="O737" i="1"/>
  <c r="P737" i="1"/>
  <c r="Q737" i="1"/>
  <c r="R737" i="1"/>
  <c r="M738" i="1"/>
  <c r="O738" i="1"/>
  <c r="P738" i="1"/>
  <c r="Q738" i="1"/>
  <c r="R738" i="1"/>
  <c r="M739" i="1"/>
  <c r="O739" i="1"/>
  <c r="P739" i="1"/>
  <c r="Q739" i="1"/>
  <c r="R739" i="1"/>
  <c r="M740" i="1"/>
  <c r="O740" i="1"/>
  <c r="P740" i="1"/>
  <c r="Q740" i="1"/>
  <c r="R740" i="1"/>
  <c r="M741" i="1"/>
  <c r="O741" i="1"/>
  <c r="P741" i="1"/>
  <c r="Q741" i="1"/>
  <c r="R741" i="1"/>
  <c r="M742" i="1"/>
  <c r="O742" i="1"/>
  <c r="P742" i="1"/>
  <c r="Q742" i="1"/>
  <c r="R742" i="1"/>
  <c r="M743" i="1"/>
  <c r="O743" i="1"/>
  <c r="P743" i="1"/>
  <c r="Q743" i="1"/>
  <c r="R743" i="1"/>
  <c r="M744" i="1"/>
  <c r="O744" i="1"/>
  <c r="P744" i="1"/>
  <c r="Q744" i="1"/>
  <c r="R744" i="1"/>
  <c r="M745" i="1"/>
  <c r="O745" i="1"/>
  <c r="P745" i="1"/>
  <c r="Q745" i="1"/>
  <c r="R745" i="1"/>
  <c r="M746" i="1"/>
  <c r="O746" i="1"/>
  <c r="P746" i="1"/>
  <c r="Q746" i="1"/>
  <c r="R746" i="1"/>
  <c r="M747" i="1"/>
  <c r="O747" i="1"/>
  <c r="P747" i="1"/>
  <c r="Q747" i="1"/>
  <c r="R747" i="1"/>
  <c r="M748" i="1"/>
  <c r="O748" i="1"/>
  <c r="P748" i="1"/>
  <c r="Q748" i="1"/>
  <c r="R748" i="1"/>
  <c r="M749" i="1"/>
  <c r="O749" i="1"/>
  <c r="P749" i="1"/>
  <c r="Q749" i="1"/>
  <c r="R749" i="1"/>
  <c r="M750" i="1"/>
  <c r="O750" i="1"/>
  <c r="P750" i="1"/>
  <c r="Q750" i="1"/>
  <c r="R750" i="1"/>
  <c r="M751" i="1"/>
  <c r="O751" i="1"/>
  <c r="P751" i="1"/>
  <c r="Q751" i="1"/>
  <c r="R751" i="1"/>
  <c r="M752" i="1"/>
  <c r="O752" i="1"/>
  <c r="P752" i="1"/>
  <c r="Q752" i="1"/>
  <c r="R752" i="1"/>
  <c r="M753" i="1"/>
  <c r="O753" i="1"/>
  <c r="P753" i="1"/>
  <c r="Q753" i="1"/>
  <c r="R753" i="1"/>
  <c r="M754" i="1"/>
  <c r="O754" i="1"/>
  <c r="P754" i="1"/>
  <c r="Q754" i="1"/>
  <c r="R754" i="1"/>
  <c r="M755" i="1"/>
  <c r="O755" i="1"/>
  <c r="P755" i="1"/>
  <c r="Q755" i="1"/>
  <c r="R755" i="1"/>
  <c r="M756" i="1"/>
  <c r="O756" i="1"/>
  <c r="P756" i="1"/>
  <c r="Q756" i="1"/>
  <c r="R756" i="1"/>
  <c r="M757" i="1"/>
  <c r="O757" i="1"/>
  <c r="P757" i="1"/>
  <c r="Q757" i="1"/>
  <c r="R757" i="1"/>
  <c r="M758" i="1"/>
  <c r="O758" i="1"/>
  <c r="P758" i="1"/>
  <c r="Q758" i="1"/>
  <c r="R758" i="1"/>
  <c r="M759" i="1"/>
  <c r="O759" i="1"/>
  <c r="P759" i="1"/>
  <c r="Q759" i="1"/>
  <c r="R759" i="1"/>
  <c r="M760" i="1"/>
  <c r="O760" i="1"/>
  <c r="P760" i="1"/>
  <c r="Q760" i="1"/>
  <c r="R760" i="1"/>
  <c r="M761" i="1"/>
  <c r="O761" i="1"/>
  <c r="P761" i="1"/>
  <c r="Q761" i="1"/>
  <c r="R761" i="1"/>
  <c r="M762" i="1"/>
  <c r="O762" i="1"/>
  <c r="P762" i="1"/>
  <c r="Q762" i="1"/>
  <c r="R762" i="1"/>
  <c r="M763" i="1"/>
  <c r="O763" i="1"/>
  <c r="P763" i="1"/>
  <c r="Q763" i="1"/>
  <c r="R763" i="1"/>
  <c r="M764" i="1"/>
  <c r="O764" i="1"/>
  <c r="P764" i="1"/>
  <c r="Q764" i="1"/>
  <c r="R764" i="1"/>
  <c r="M765" i="1"/>
  <c r="O765" i="1"/>
  <c r="P765" i="1"/>
  <c r="Q765" i="1"/>
  <c r="R765" i="1"/>
  <c r="M766" i="1"/>
  <c r="O766" i="1"/>
  <c r="P766" i="1"/>
  <c r="Q766" i="1"/>
  <c r="R766" i="1"/>
  <c r="M767" i="1"/>
  <c r="O767" i="1"/>
  <c r="P767" i="1"/>
  <c r="Q767" i="1"/>
  <c r="R767" i="1"/>
  <c r="M768" i="1"/>
  <c r="O768" i="1"/>
  <c r="P768" i="1"/>
  <c r="Q768" i="1"/>
  <c r="R768" i="1"/>
  <c r="M769" i="1"/>
  <c r="O769" i="1"/>
  <c r="P769" i="1"/>
  <c r="Q769" i="1"/>
  <c r="R769" i="1"/>
  <c r="M770" i="1"/>
  <c r="O770" i="1"/>
  <c r="P770" i="1"/>
  <c r="Q770" i="1"/>
  <c r="R770" i="1"/>
  <c r="M771" i="1"/>
  <c r="O771" i="1"/>
  <c r="P771" i="1"/>
  <c r="Q771" i="1"/>
  <c r="R771" i="1"/>
  <c r="M772" i="1"/>
  <c r="O772" i="1"/>
  <c r="P772" i="1"/>
  <c r="Q772" i="1"/>
  <c r="R772" i="1"/>
  <c r="M773" i="1"/>
  <c r="O773" i="1"/>
  <c r="P773" i="1"/>
  <c r="Q773" i="1"/>
  <c r="R773" i="1"/>
  <c r="M774" i="1"/>
  <c r="O774" i="1"/>
  <c r="P774" i="1"/>
  <c r="Q774" i="1"/>
  <c r="R774" i="1"/>
  <c r="M775" i="1"/>
  <c r="O775" i="1"/>
  <c r="P775" i="1"/>
  <c r="Q775" i="1"/>
  <c r="R775" i="1"/>
  <c r="M776" i="1"/>
  <c r="O776" i="1"/>
  <c r="P776" i="1"/>
  <c r="Q776" i="1"/>
  <c r="R776" i="1"/>
  <c r="M777" i="1"/>
  <c r="O777" i="1"/>
  <c r="P777" i="1"/>
  <c r="Q777" i="1"/>
  <c r="R777" i="1"/>
  <c r="M778" i="1"/>
  <c r="O778" i="1"/>
  <c r="P778" i="1"/>
  <c r="Q778" i="1"/>
  <c r="R778" i="1"/>
  <c r="M779" i="1"/>
  <c r="O779" i="1"/>
  <c r="P779" i="1"/>
  <c r="Q779" i="1"/>
  <c r="R779" i="1"/>
  <c r="M780" i="1"/>
  <c r="O780" i="1"/>
  <c r="P780" i="1"/>
  <c r="Q780" i="1"/>
  <c r="R780" i="1"/>
  <c r="M781" i="1"/>
  <c r="O781" i="1"/>
  <c r="P781" i="1"/>
  <c r="Q781" i="1"/>
  <c r="R781" i="1"/>
  <c r="M782" i="1"/>
  <c r="O782" i="1"/>
  <c r="P782" i="1"/>
  <c r="Q782" i="1"/>
  <c r="R782" i="1"/>
  <c r="M783" i="1"/>
  <c r="O783" i="1"/>
  <c r="P783" i="1"/>
  <c r="Q783" i="1"/>
  <c r="R783" i="1"/>
  <c r="M784" i="1"/>
  <c r="O784" i="1"/>
  <c r="P784" i="1"/>
  <c r="Q784" i="1"/>
  <c r="R784" i="1"/>
  <c r="M785" i="1"/>
  <c r="O785" i="1"/>
  <c r="P785" i="1"/>
  <c r="Q785" i="1"/>
  <c r="R785" i="1"/>
  <c r="M786" i="1"/>
  <c r="O786" i="1"/>
  <c r="P786" i="1"/>
  <c r="Q786" i="1"/>
  <c r="R786" i="1"/>
  <c r="M787" i="1"/>
  <c r="O787" i="1"/>
  <c r="P787" i="1"/>
  <c r="Q787" i="1"/>
  <c r="R787" i="1"/>
  <c r="M788" i="1"/>
  <c r="O788" i="1"/>
  <c r="P788" i="1"/>
  <c r="Q788" i="1"/>
  <c r="R788" i="1"/>
  <c r="M789" i="1"/>
  <c r="O789" i="1"/>
  <c r="P789" i="1"/>
  <c r="Q789" i="1"/>
  <c r="R789" i="1"/>
  <c r="M790" i="1"/>
  <c r="O790" i="1"/>
  <c r="P790" i="1"/>
  <c r="Q790" i="1"/>
  <c r="R790" i="1"/>
  <c r="M791" i="1"/>
  <c r="O791" i="1"/>
  <c r="P791" i="1"/>
  <c r="Q791" i="1"/>
  <c r="R791" i="1"/>
  <c r="M792" i="1"/>
  <c r="O792" i="1"/>
  <c r="P792" i="1"/>
  <c r="Q792" i="1"/>
  <c r="R792" i="1"/>
  <c r="M793" i="1"/>
  <c r="O793" i="1"/>
  <c r="P793" i="1"/>
  <c r="Q793" i="1"/>
  <c r="R793" i="1"/>
  <c r="M794" i="1"/>
  <c r="O794" i="1"/>
  <c r="P794" i="1"/>
  <c r="Q794" i="1"/>
  <c r="R794" i="1"/>
  <c r="M795" i="1"/>
  <c r="O795" i="1"/>
  <c r="P795" i="1"/>
  <c r="Q795" i="1"/>
  <c r="R795" i="1"/>
  <c r="M796" i="1"/>
  <c r="O796" i="1"/>
  <c r="P796" i="1"/>
  <c r="Q796" i="1"/>
  <c r="R796" i="1"/>
  <c r="M797" i="1"/>
  <c r="O797" i="1"/>
  <c r="P797" i="1"/>
  <c r="Q797" i="1"/>
  <c r="R797" i="1"/>
  <c r="M798" i="1"/>
  <c r="O798" i="1"/>
  <c r="P798" i="1"/>
  <c r="Q798" i="1"/>
  <c r="R798" i="1"/>
  <c r="M799" i="1"/>
  <c r="O799" i="1"/>
  <c r="P799" i="1"/>
  <c r="Q799" i="1"/>
  <c r="R799" i="1"/>
  <c r="M800" i="1"/>
  <c r="O800" i="1"/>
  <c r="P800" i="1"/>
  <c r="Q800" i="1"/>
  <c r="R800" i="1"/>
  <c r="M801" i="1"/>
  <c r="O801" i="1"/>
  <c r="P801" i="1"/>
  <c r="Q801" i="1"/>
  <c r="R801" i="1"/>
  <c r="M802" i="1"/>
  <c r="O802" i="1"/>
  <c r="P802" i="1"/>
  <c r="Q802" i="1"/>
  <c r="R802" i="1"/>
  <c r="E803" i="1"/>
  <c r="R803" i="1" s="1"/>
  <c r="M803" i="1"/>
  <c r="O803" i="1"/>
  <c r="P803" i="1"/>
  <c r="Q803" i="1"/>
  <c r="M804" i="1"/>
  <c r="O804" i="1"/>
  <c r="P804" i="1"/>
  <c r="Q804" i="1"/>
  <c r="R804" i="1"/>
  <c r="M805" i="1"/>
  <c r="O805" i="1"/>
  <c r="P805" i="1"/>
  <c r="Q805" i="1"/>
  <c r="R805" i="1"/>
  <c r="M806" i="1"/>
  <c r="O806" i="1"/>
  <c r="P806" i="1"/>
  <c r="Q806" i="1"/>
  <c r="R806" i="1"/>
  <c r="M807" i="1"/>
  <c r="O807" i="1"/>
  <c r="P807" i="1"/>
  <c r="Q807" i="1"/>
  <c r="R807" i="1"/>
  <c r="M808" i="1"/>
  <c r="O808" i="1"/>
  <c r="P808" i="1"/>
  <c r="Q808" i="1"/>
  <c r="R808" i="1"/>
  <c r="M809" i="1"/>
  <c r="O809" i="1"/>
  <c r="P809" i="1"/>
  <c r="Q809" i="1"/>
  <c r="R809" i="1"/>
  <c r="M810" i="1"/>
  <c r="O810" i="1"/>
  <c r="P810" i="1"/>
  <c r="Q810" i="1"/>
  <c r="R810" i="1"/>
  <c r="M811" i="1"/>
  <c r="O811" i="1"/>
  <c r="P811" i="1"/>
  <c r="Q811" i="1"/>
  <c r="R811" i="1"/>
  <c r="M812" i="1"/>
  <c r="O812" i="1"/>
  <c r="P812" i="1"/>
  <c r="Q812" i="1"/>
  <c r="R812" i="1"/>
  <c r="M813" i="1"/>
  <c r="O813" i="1"/>
  <c r="P813" i="1"/>
  <c r="Q813" i="1"/>
  <c r="R813" i="1"/>
  <c r="M814" i="1"/>
  <c r="O814" i="1"/>
  <c r="P814" i="1"/>
  <c r="Q814" i="1"/>
  <c r="R814" i="1"/>
  <c r="M815" i="1"/>
  <c r="O815" i="1"/>
  <c r="P815" i="1"/>
  <c r="Q815" i="1"/>
  <c r="R815" i="1"/>
  <c r="M816" i="1"/>
  <c r="O816" i="1"/>
  <c r="P816" i="1"/>
  <c r="Q816" i="1"/>
  <c r="R816" i="1"/>
  <c r="M817" i="1"/>
  <c r="O817" i="1"/>
  <c r="P817" i="1"/>
  <c r="Q817" i="1"/>
  <c r="R817" i="1"/>
  <c r="M818" i="1"/>
  <c r="O818" i="1"/>
  <c r="P818" i="1"/>
  <c r="Q818" i="1"/>
  <c r="R818" i="1"/>
  <c r="M819" i="1"/>
  <c r="O819" i="1"/>
  <c r="P819" i="1"/>
  <c r="Q819" i="1"/>
  <c r="R819" i="1"/>
  <c r="M820" i="1"/>
  <c r="O820" i="1"/>
  <c r="P820" i="1"/>
  <c r="Q820" i="1"/>
  <c r="R820" i="1"/>
  <c r="M821" i="1"/>
  <c r="O821" i="1"/>
  <c r="P821" i="1"/>
  <c r="Q821" i="1"/>
  <c r="R821" i="1"/>
  <c r="M822" i="1"/>
  <c r="O822" i="1"/>
  <c r="P822" i="1"/>
  <c r="Q822" i="1"/>
  <c r="R822" i="1"/>
  <c r="M823" i="1"/>
  <c r="O823" i="1"/>
  <c r="P823" i="1"/>
  <c r="Q823" i="1"/>
  <c r="R823" i="1"/>
  <c r="M824" i="1"/>
  <c r="O824" i="1"/>
  <c r="P824" i="1"/>
  <c r="Q824" i="1"/>
  <c r="R824" i="1"/>
  <c r="M825" i="1"/>
  <c r="O825" i="1"/>
  <c r="P825" i="1"/>
  <c r="Q825" i="1"/>
  <c r="R825" i="1"/>
  <c r="M826" i="1"/>
  <c r="O826" i="1"/>
  <c r="P826" i="1"/>
  <c r="Q826" i="1"/>
  <c r="R826" i="1"/>
  <c r="M827" i="1"/>
  <c r="O827" i="1"/>
  <c r="P827" i="1"/>
  <c r="Q827" i="1"/>
  <c r="R827" i="1"/>
  <c r="M828" i="1"/>
  <c r="O828" i="1"/>
  <c r="P828" i="1"/>
  <c r="Q828" i="1"/>
  <c r="R828" i="1"/>
  <c r="M829" i="1"/>
  <c r="O829" i="1"/>
  <c r="P829" i="1"/>
  <c r="Q829" i="1"/>
  <c r="R829" i="1"/>
  <c r="M830" i="1"/>
  <c r="O830" i="1"/>
  <c r="P830" i="1"/>
  <c r="Q830" i="1"/>
  <c r="R830" i="1"/>
  <c r="M831" i="1"/>
  <c r="O831" i="1"/>
  <c r="P831" i="1"/>
  <c r="Q831" i="1"/>
  <c r="R831" i="1"/>
  <c r="M832" i="1"/>
  <c r="O832" i="1"/>
  <c r="P832" i="1"/>
  <c r="Q832" i="1"/>
  <c r="R832" i="1"/>
  <c r="M833" i="1"/>
  <c r="O833" i="1"/>
  <c r="P833" i="1"/>
  <c r="Q833" i="1"/>
  <c r="R833" i="1"/>
  <c r="M834" i="1"/>
  <c r="O834" i="1"/>
  <c r="P834" i="1"/>
  <c r="Q834" i="1"/>
  <c r="R834" i="1"/>
  <c r="M835" i="1"/>
  <c r="O835" i="1"/>
  <c r="P835" i="1"/>
  <c r="Q835" i="1"/>
  <c r="R835" i="1"/>
  <c r="M836" i="1"/>
  <c r="O836" i="1"/>
  <c r="P836" i="1"/>
  <c r="Q836" i="1"/>
  <c r="R836" i="1"/>
  <c r="M837" i="1"/>
  <c r="O837" i="1"/>
  <c r="P837" i="1"/>
  <c r="Q837" i="1"/>
  <c r="R837" i="1"/>
  <c r="M838" i="1"/>
  <c r="O838" i="1"/>
  <c r="P838" i="1"/>
  <c r="Q838" i="1"/>
  <c r="R838" i="1"/>
  <c r="M839" i="1"/>
  <c r="O839" i="1"/>
  <c r="P839" i="1"/>
  <c r="Q839" i="1"/>
  <c r="R839" i="1"/>
  <c r="M840" i="1"/>
  <c r="O840" i="1"/>
  <c r="P840" i="1"/>
  <c r="Q840" i="1"/>
  <c r="R840" i="1"/>
  <c r="M841" i="1"/>
  <c r="O841" i="1"/>
  <c r="P841" i="1"/>
  <c r="Q841" i="1"/>
  <c r="R841" i="1"/>
  <c r="M842" i="1"/>
  <c r="O842" i="1"/>
  <c r="P842" i="1"/>
  <c r="Q842" i="1"/>
  <c r="R842" i="1"/>
  <c r="M843" i="1"/>
  <c r="O843" i="1"/>
  <c r="P843" i="1"/>
  <c r="Q843" i="1"/>
  <c r="R843" i="1"/>
  <c r="M844" i="1"/>
  <c r="O844" i="1"/>
  <c r="P844" i="1"/>
  <c r="Q844" i="1"/>
  <c r="R844" i="1"/>
  <c r="M845" i="1"/>
  <c r="O845" i="1"/>
  <c r="P845" i="1"/>
  <c r="Q845" i="1"/>
  <c r="R845" i="1"/>
  <c r="M846" i="1"/>
  <c r="O846" i="1"/>
  <c r="P846" i="1"/>
  <c r="Q846" i="1"/>
  <c r="R846" i="1"/>
  <c r="M847" i="1"/>
  <c r="O847" i="1"/>
  <c r="P847" i="1"/>
  <c r="Q847" i="1"/>
  <c r="R847" i="1"/>
  <c r="M848" i="1"/>
  <c r="O848" i="1"/>
  <c r="P848" i="1"/>
  <c r="Q848" i="1"/>
  <c r="R848" i="1"/>
  <c r="M849" i="1"/>
  <c r="O849" i="1"/>
  <c r="P849" i="1"/>
  <c r="Q849" i="1"/>
  <c r="R849" i="1"/>
  <c r="M850" i="1"/>
  <c r="O850" i="1"/>
  <c r="P850" i="1"/>
  <c r="Q850" i="1"/>
  <c r="R850" i="1"/>
  <c r="M851" i="1"/>
  <c r="O851" i="1"/>
  <c r="P851" i="1"/>
  <c r="Q851" i="1"/>
  <c r="R851" i="1"/>
  <c r="M852" i="1"/>
  <c r="O852" i="1"/>
  <c r="P852" i="1"/>
  <c r="Q852" i="1"/>
  <c r="R852" i="1"/>
  <c r="M853" i="1"/>
  <c r="O853" i="1"/>
  <c r="P853" i="1"/>
  <c r="Q853" i="1"/>
  <c r="R853" i="1"/>
  <c r="M854" i="1"/>
  <c r="O854" i="1"/>
  <c r="P854" i="1"/>
  <c r="Q854" i="1"/>
  <c r="R854" i="1"/>
  <c r="M855" i="1"/>
  <c r="O855" i="1"/>
  <c r="P855" i="1"/>
  <c r="Q855" i="1"/>
  <c r="R855" i="1"/>
  <c r="M856" i="1"/>
  <c r="O856" i="1"/>
  <c r="P856" i="1"/>
  <c r="Q856" i="1"/>
  <c r="R856" i="1"/>
  <c r="M857" i="1"/>
  <c r="O857" i="1"/>
  <c r="P857" i="1"/>
  <c r="Q857" i="1"/>
  <c r="R857" i="1"/>
  <c r="M858" i="1"/>
  <c r="O858" i="1"/>
  <c r="P858" i="1"/>
  <c r="Q858" i="1"/>
  <c r="R858" i="1"/>
  <c r="M859" i="1"/>
  <c r="O859" i="1"/>
  <c r="P859" i="1"/>
  <c r="Q859" i="1"/>
  <c r="R859" i="1"/>
  <c r="M860" i="1"/>
  <c r="O860" i="1"/>
  <c r="P860" i="1"/>
  <c r="Q860" i="1"/>
  <c r="R860" i="1"/>
  <c r="M861" i="1"/>
  <c r="O861" i="1"/>
  <c r="P861" i="1"/>
  <c r="Q861" i="1"/>
  <c r="R861" i="1"/>
  <c r="M862" i="1"/>
  <c r="O862" i="1"/>
  <c r="P862" i="1"/>
  <c r="Q862" i="1"/>
  <c r="R862" i="1"/>
  <c r="M863" i="1"/>
  <c r="O863" i="1"/>
  <c r="P863" i="1"/>
  <c r="Q863" i="1"/>
  <c r="R863" i="1"/>
  <c r="M864" i="1"/>
  <c r="O864" i="1"/>
  <c r="P864" i="1"/>
  <c r="Q864" i="1"/>
  <c r="R864" i="1"/>
  <c r="M865" i="1"/>
  <c r="O865" i="1"/>
  <c r="P865" i="1"/>
  <c r="Q865" i="1"/>
  <c r="R865" i="1"/>
  <c r="M866" i="1"/>
  <c r="O866" i="1"/>
  <c r="P866" i="1"/>
  <c r="Q866" i="1"/>
  <c r="R866" i="1"/>
  <c r="M867" i="1"/>
  <c r="O867" i="1"/>
  <c r="P867" i="1"/>
  <c r="Q867" i="1"/>
  <c r="R867" i="1"/>
  <c r="M868" i="1"/>
  <c r="O868" i="1"/>
  <c r="P868" i="1"/>
  <c r="Q868" i="1"/>
  <c r="R868" i="1"/>
  <c r="M869" i="1"/>
  <c r="O869" i="1"/>
  <c r="P869" i="1"/>
  <c r="Q869" i="1"/>
  <c r="R869" i="1"/>
  <c r="M870" i="1"/>
  <c r="O870" i="1"/>
  <c r="P870" i="1"/>
  <c r="Q870" i="1"/>
  <c r="R870" i="1"/>
  <c r="M871" i="1"/>
  <c r="O871" i="1"/>
  <c r="P871" i="1"/>
  <c r="Q871" i="1"/>
  <c r="R871" i="1"/>
  <c r="M872" i="1"/>
  <c r="O872" i="1"/>
  <c r="P872" i="1"/>
  <c r="Q872" i="1"/>
  <c r="R872" i="1"/>
  <c r="M873" i="1"/>
  <c r="O873" i="1"/>
  <c r="P873" i="1"/>
  <c r="Q873" i="1"/>
  <c r="R873" i="1"/>
  <c r="M874" i="1"/>
  <c r="O874" i="1"/>
  <c r="P874" i="1"/>
  <c r="Q874" i="1"/>
  <c r="R874" i="1"/>
  <c r="M875" i="1"/>
  <c r="O875" i="1"/>
  <c r="P875" i="1"/>
  <c r="Q875" i="1"/>
  <c r="R875" i="1"/>
  <c r="M876" i="1"/>
  <c r="O876" i="1"/>
  <c r="P876" i="1"/>
  <c r="Q876" i="1"/>
  <c r="R876" i="1"/>
  <c r="M877" i="1"/>
  <c r="O877" i="1"/>
  <c r="P877" i="1"/>
  <c r="Q877" i="1"/>
  <c r="R877" i="1"/>
  <c r="M878" i="1"/>
  <c r="O878" i="1"/>
  <c r="P878" i="1"/>
  <c r="Q878" i="1"/>
  <c r="R878" i="1"/>
  <c r="M879" i="1"/>
  <c r="O879" i="1"/>
  <c r="P879" i="1"/>
  <c r="Q879" i="1"/>
  <c r="R879" i="1"/>
  <c r="M880" i="1"/>
  <c r="O880" i="1"/>
  <c r="P880" i="1"/>
  <c r="Q880" i="1"/>
  <c r="R880" i="1"/>
  <c r="M881" i="1"/>
  <c r="O881" i="1"/>
  <c r="P881" i="1"/>
  <c r="Q881" i="1"/>
  <c r="R881" i="1"/>
  <c r="M882" i="1"/>
  <c r="O882" i="1"/>
  <c r="P882" i="1"/>
  <c r="Q882" i="1"/>
  <c r="R882" i="1"/>
  <c r="M883" i="1"/>
  <c r="O883" i="1"/>
  <c r="P883" i="1"/>
  <c r="Q883" i="1"/>
  <c r="R883" i="1"/>
  <c r="M884" i="1"/>
  <c r="O884" i="1"/>
  <c r="P884" i="1"/>
  <c r="Q884" i="1"/>
  <c r="R884" i="1"/>
  <c r="M885" i="1"/>
  <c r="O885" i="1"/>
  <c r="P885" i="1"/>
  <c r="Q885" i="1"/>
  <c r="R885" i="1"/>
  <c r="M886" i="1"/>
  <c r="O886" i="1"/>
  <c r="P886" i="1"/>
  <c r="Q886" i="1"/>
  <c r="R886" i="1"/>
  <c r="M887" i="1"/>
  <c r="O887" i="1"/>
  <c r="P887" i="1"/>
  <c r="Q887" i="1"/>
  <c r="R887" i="1"/>
  <c r="M888" i="1"/>
  <c r="O888" i="1"/>
  <c r="P888" i="1"/>
  <c r="Q888" i="1"/>
  <c r="R888" i="1"/>
  <c r="M889" i="1"/>
  <c r="O889" i="1"/>
  <c r="P889" i="1"/>
  <c r="Q889" i="1"/>
  <c r="R889" i="1"/>
  <c r="M890" i="1"/>
  <c r="O890" i="1"/>
  <c r="P890" i="1"/>
  <c r="Q890" i="1"/>
  <c r="R890" i="1"/>
  <c r="M891" i="1"/>
  <c r="O891" i="1"/>
  <c r="P891" i="1"/>
  <c r="Q891" i="1"/>
  <c r="R891" i="1"/>
  <c r="M892" i="1"/>
  <c r="O892" i="1"/>
  <c r="P892" i="1"/>
  <c r="Q892" i="1"/>
  <c r="R892" i="1"/>
  <c r="M893" i="1"/>
  <c r="O893" i="1"/>
  <c r="P893" i="1"/>
  <c r="Q893" i="1"/>
  <c r="R893" i="1"/>
  <c r="M894" i="1"/>
  <c r="O894" i="1"/>
  <c r="P894" i="1"/>
  <c r="Q894" i="1"/>
  <c r="R894" i="1"/>
  <c r="M895" i="1"/>
  <c r="O895" i="1"/>
  <c r="P895" i="1"/>
  <c r="Q895" i="1"/>
  <c r="R895" i="1"/>
  <c r="M896" i="1"/>
  <c r="O896" i="1"/>
  <c r="P896" i="1"/>
  <c r="Q896" i="1"/>
  <c r="R896" i="1"/>
  <c r="M897" i="1"/>
  <c r="O897" i="1"/>
  <c r="P897" i="1"/>
  <c r="Q897" i="1"/>
  <c r="R897" i="1"/>
  <c r="M898" i="1"/>
  <c r="O898" i="1"/>
  <c r="P898" i="1"/>
  <c r="Q898" i="1"/>
  <c r="R898" i="1"/>
  <c r="M899" i="1"/>
  <c r="O899" i="1"/>
  <c r="P899" i="1"/>
  <c r="Q899" i="1"/>
  <c r="R899" i="1"/>
  <c r="M900" i="1"/>
  <c r="O900" i="1"/>
  <c r="P900" i="1"/>
  <c r="Q900" i="1"/>
  <c r="R900" i="1"/>
  <c r="M901" i="1"/>
  <c r="O901" i="1"/>
  <c r="P901" i="1"/>
  <c r="Q901" i="1"/>
  <c r="R901" i="1"/>
  <c r="M902" i="1"/>
  <c r="O902" i="1"/>
  <c r="P902" i="1"/>
  <c r="Q902" i="1"/>
  <c r="R902" i="1"/>
  <c r="M903" i="1"/>
  <c r="O903" i="1"/>
  <c r="P903" i="1"/>
  <c r="Q903" i="1"/>
  <c r="R903" i="1"/>
  <c r="M904" i="1"/>
  <c r="O904" i="1"/>
  <c r="P904" i="1"/>
  <c r="Q904" i="1"/>
  <c r="R904" i="1"/>
  <c r="M905" i="1"/>
  <c r="O905" i="1"/>
  <c r="P905" i="1"/>
  <c r="Q905" i="1"/>
  <c r="R905" i="1"/>
  <c r="M906" i="1"/>
  <c r="O906" i="1"/>
  <c r="P906" i="1"/>
  <c r="Q906" i="1"/>
  <c r="R906" i="1"/>
  <c r="M907" i="1"/>
  <c r="O907" i="1"/>
  <c r="P907" i="1"/>
  <c r="Q907" i="1"/>
  <c r="R907" i="1"/>
  <c r="M908" i="1"/>
  <c r="O908" i="1"/>
  <c r="P908" i="1"/>
  <c r="Q908" i="1"/>
  <c r="R908" i="1"/>
  <c r="M909" i="1"/>
  <c r="O909" i="1"/>
  <c r="P909" i="1"/>
  <c r="Q909" i="1"/>
  <c r="R909" i="1"/>
  <c r="M910" i="1"/>
  <c r="O910" i="1"/>
  <c r="P910" i="1"/>
  <c r="Q910" i="1"/>
  <c r="R910" i="1"/>
  <c r="M911" i="1"/>
  <c r="O911" i="1"/>
  <c r="P911" i="1"/>
  <c r="Q911" i="1"/>
  <c r="R911" i="1"/>
  <c r="M912" i="1"/>
  <c r="O912" i="1"/>
  <c r="P912" i="1"/>
  <c r="Q912" i="1"/>
  <c r="R912" i="1"/>
  <c r="M913" i="1"/>
  <c r="O913" i="1"/>
  <c r="P913" i="1"/>
  <c r="Q913" i="1"/>
  <c r="R913" i="1"/>
  <c r="M914" i="1"/>
  <c r="O914" i="1"/>
  <c r="P914" i="1"/>
  <c r="Q914" i="1"/>
  <c r="R914" i="1"/>
  <c r="M915" i="1"/>
  <c r="O915" i="1"/>
  <c r="P915" i="1"/>
  <c r="Q915" i="1"/>
  <c r="R915" i="1"/>
  <c r="M916" i="1"/>
  <c r="O916" i="1"/>
  <c r="P916" i="1"/>
  <c r="Q916" i="1"/>
  <c r="R916" i="1"/>
  <c r="M917" i="1"/>
  <c r="O917" i="1"/>
  <c r="P917" i="1"/>
  <c r="Q917" i="1"/>
  <c r="R917" i="1"/>
  <c r="M918" i="1"/>
  <c r="O918" i="1"/>
  <c r="P918" i="1"/>
  <c r="Q918" i="1"/>
  <c r="R918" i="1"/>
  <c r="M919" i="1"/>
  <c r="O919" i="1"/>
  <c r="P919" i="1"/>
  <c r="Q919" i="1"/>
  <c r="R919" i="1"/>
  <c r="M920" i="1"/>
  <c r="O920" i="1"/>
  <c r="P920" i="1"/>
  <c r="Q920" i="1"/>
  <c r="R920" i="1"/>
  <c r="M921" i="1"/>
  <c r="O921" i="1"/>
  <c r="P921" i="1"/>
  <c r="Q921" i="1"/>
  <c r="R921" i="1"/>
  <c r="M922" i="1"/>
  <c r="O922" i="1"/>
  <c r="P922" i="1"/>
  <c r="Q922" i="1"/>
  <c r="R922" i="1"/>
  <c r="M923" i="1"/>
  <c r="O923" i="1"/>
  <c r="P923" i="1"/>
  <c r="Q923" i="1"/>
  <c r="R923" i="1"/>
  <c r="M924" i="1"/>
  <c r="O924" i="1"/>
  <c r="P924" i="1"/>
  <c r="Q924" i="1"/>
  <c r="R924" i="1"/>
  <c r="M925" i="1"/>
  <c r="O925" i="1"/>
  <c r="P925" i="1"/>
  <c r="Q925" i="1"/>
  <c r="R925" i="1"/>
  <c r="M926" i="1"/>
  <c r="O926" i="1"/>
  <c r="P926" i="1"/>
  <c r="Q926" i="1"/>
  <c r="R926" i="1"/>
  <c r="M927" i="1"/>
  <c r="O927" i="1"/>
  <c r="P927" i="1"/>
  <c r="Q927" i="1"/>
  <c r="R927" i="1"/>
  <c r="M928" i="1"/>
  <c r="O928" i="1"/>
  <c r="P928" i="1"/>
  <c r="Q928" i="1"/>
  <c r="R928" i="1"/>
  <c r="M929" i="1"/>
  <c r="O929" i="1"/>
  <c r="P929" i="1"/>
  <c r="Q929" i="1"/>
  <c r="R929" i="1"/>
  <c r="M930" i="1"/>
  <c r="O930" i="1"/>
  <c r="P930" i="1"/>
  <c r="Q930" i="1"/>
  <c r="R930" i="1"/>
  <c r="M931" i="1"/>
  <c r="O931" i="1"/>
  <c r="P931" i="1"/>
  <c r="Q931" i="1"/>
  <c r="R931" i="1"/>
  <c r="M932" i="1"/>
  <c r="O932" i="1"/>
  <c r="P932" i="1"/>
  <c r="Q932" i="1"/>
  <c r="R932" i="1"/>
  <c r="M933" i="1"/>
  <c r="O933" i="1"/>
  <c r="P933" i="1"/>
  <c r="Q933" i="1"/>
  <c r="R933" i="1"/>
  <c r="M934" i="1"/>
  <c r="O934" i="1"/>
  <c r="P934" i="1"/>
  <c r="Q934" i="1"/>
  <c r="R934" i="1"/>
  <c r="M935" i="1"/>
  <c r="O935" i="1"/>
  <c r="P935" i="1"/>
  <c r="Q935" i="1"/>
  <c r="R935" i="1"/>
  <c r="M936" i="1"/>
  <c r="O936" i="1"/>
  <c r="P936" i="1"/>
  <c r="Q936" i="1"/>
  <c r="R936" i="1"/>
  <c r="M937" i="1"/>
  <c r="O937" i="1"/>
  <c r="P937" i="1"/>
  <c r="Q937" i="1"/>
  <c r="R937" i="1"/>
  <c r="M938" i="1"/>
  <c r="O938" i="1"/>
  <c r="P938" i="1"/>
  <c r="Q938" i="1"/>
  <c r="R938" i="1"/>
  <c r="M939" i="1"/>
  <c r="O939" i="1"/>
  <c r="P939" i="1"/>
  <c r="Q939" i="1"/>
  <c r="R939" i="1"/>
  <c r="M940" i="1"/>
  <c r="O940" i="1"/>
  <c r="P940" i="1"/>
  <c r="Q940" i="1"/>
  <c r="R940" i="1"/>
  <c r="M941" i="1"/>
  <c r="O941" i="1"/>
  <c r="P941" i="1"/>
  <c r="Q941" i="1"/>
  <c r="R941" i="1"/>
  <c r="M942" i="1"/>
  <c r="O942" i="1"/>
  <c r="P942" i="1"/>
  <c r="Q942" i="1"/>
  <c r="R942" i="1"/>
  <c r="M943" i="1"/>
  <c r="O943" i="1"/>
  <c r="P943" i="1"/>
  <c r="Q943" i="1"/>
  <c r="R943" i="1"/>
  <c r="M944" i="1"/>
  <c r="O944" i="1"/>
  <c r="P944" i="1"/>
  <c r="Q944" i="1"/>
  <c r="R944" i="1"/>
  <c r="M945" i="1"/>
  <c r="O945" i="1"/>
  <c r="P945" i="1"/>
  <c r="Q945" i="1"/>
  <c r="R945" i="1"/>
  <c r="M946" i="1"/>
  <c r="O946" i="1"/>
  <c r="P946" i="1"/>
  <c r="Q946" i="1"/>
  <c r="R946" i="1"/>
  <c r="M947" i="1"/>
  <c r="O947" i="1"/>
  <c r="P947" i="1"/>
  <c r="Q947" i="1"/>
  <c r="R947" i="1"/>
  <c r="M948" i="1"/>
  <c r="O948" i="1"/>
  <c r="P948" i="1"/>
  <c r="Q948" i="1"/>
  <c r="R948" i="1"/>
  <c r="M949" i="1"/>
  <c r="O949" i="1"/>
  <c r="P949" i="1"/>
  <c r="Q949" i="1"/>
  <c r="R949" i="1"/>
  <c r="M950" i="1"/>
  <c r="O950" i="1"/>
  <c r="P950" i="1"/>
  <c r="Q950" i="1"/>
  <c r="R950" i="1"/>
  <c r="M951" i="1"/>
  <c r="O951" i="1"/>
  <c r="P951" i="1"/>
  <c r="Q951" i="1"/>
  <c r="R951" i="1"/>
  <c r="M952" i="1"/>
  <c r="O952" i="1"/>
  <c r="P952" i="1"/>
  <c r="Q952" i="1"/>
  <c r="R952" i="1"/>
  <c r="M953" i="1"/>
  <c r="O953" i="1"/>
  <c r="P953" i="1"/>
  <c r="Q953" i="1"/>
  <c r="R953" i="1"/>
  <c r="M954" i="1"/>
  <c r="O954" i="1"/>
  <c r="P954" i="1"/>
  <c r="Q954" i="1"/>
  <c r="R954" i="1"/>
  <c r="M955" i="1"/>
  <c r="O955" i="1"/>
  <c r="P955" i="1"/>
  <c r="Q955" i="1"/>
  <c r="R955" i="1"/>
  <c r="M956" i="1"/>
  <c r="O956" i="1"/>
  <c r="P956" i="1"/>
  <c r="Q956" i="1"/>
  <c r="R956" i="1"/>
  <c r="M957" i="1"/>
  <c r="O957" i="1"/>
  <c r="P957" i="1"/>
  <c r="Q957" i="1"/>
  <c r="R957" i="1"/>
  <c r="M958" i="1"/>
  <c r="O958" i="1"/>
  <c r="P958" i="1"/>
  <c r="Q958" i="1"/>
  <c r="R958" i="1"/>
  <c r="M959" i="1"/>
  <c r="O959" i="1"/>
  <c r="P959" i="1"/>
  <c r="Q959" i="1"/>
  <c r="R959" i="1"/>
  <c r="M960" i="1"/>
  <c r="O960" i="1"/>
  <c r="P960" i="1"/>
  <c r="Q960" i="1"/>
  <c r="R960" i="1"/>
  <c r="M961" i="1"/>
  <c r="O961" i="1"/>
  <c r="P961" i="1"/>
  <c r="Q961" i="1"/>
  <c r="R961" i="1"/>
  <c r="M962" i="1"/>
  <c r="O962" i="1"/>
  <c r="P962" i="1"/>
  <c r="Q962" i="1"/>
  <c r="R962" i="1"/>
  <c r="M963" i="1"/>
  <c r="O963" i="1"/>
  <c r="P963" i="1"/>
  <c r="Q963" i="1"/>
  <c r="R963" i="1"/>
  <c r="M964" i="1"/>
  <c r="O964" i="1"/>
  <c r="P964" i="1"/>
  <c r="Q964" i="1"/>
  <c r="R964" i="1"/>
  <c r="M965" i="1"/>
  <c r="O965" i="1"/>
  <c r="P965" i="1"/>
  <c r="Q965" i="1"/>
  <c r="R965" i="1"/>
  <c r="M966" i="1"/>
  <c r="O966" i="1"/>
  <c r="P966" i="1"/>
  <c r="Q966" i="1"/>
  <c r="R966" i="1"/>
  <c r="M967" i="1"/>
  <c r="O967" i="1"/>
  <c r="P967" i="1"/>
  <c r="Q967" i="1"/>
  <c r="R967" i="1"/>
  <c r="M968" i="1"/>
  <c r="O968" i="1"/>
  <c r="P968" i="1"/>
  <c r="Q968" i="1"/>
  <c r="R968" i="1"/>
  <c r="M969" i="1"/>
  <c r="O969" i="1"/>
  <c r="P969" i="1"/>
  <c r="Q969" i="1"/>
  <c r="R969" i="1"/>
  <c r="M970" i="1"/>
  <c r="O970" i="1"/>
  <c r="P970" i="1"/>
  <c r="Q970" i="1"/>
  <c r="R970" i="1"/>
  <c r="M971" i="1"/>
  <c r="O971" i="1"/>
  <c r="P971" i="1"/>
  <c r="Q971" i="1"/>
  <c r="R971" i="1"/>
  <c r="M972" i="1"/>
  <c r="O972" i="1"/>
  <c r="P972" i="1"/>
  <c r="Q972" i="1"/>
  <c r="R972" i="1"/>
  <c r="M973" i="1"/>
  <c r="O973" i="1"/>
  <c r="P973" i="1"/>
  <c r="Q973" i="1"/>
  <c r="R973" i="1"/>
  <c r="M974" i="1"/>
  <c r="O974" i="1"/>
  <c r="P974" i="1"/>
  <c r="Q974" i="1"/>
  <c r="R974" i="1"/>
  <c r="M975" i="1"/>
  <c r="O975" i="1"/>
  <c r="P975" i="1"/>
  <c r="Q975" i="1"/>
  <c r="R975" i="1"/>
  <c r="M976" i="1"/>
  <c r="O976" i="1"/>
  <c r="P976" i="1"/>
  <c r="Q976" i="1"/>
  <c r="R976" i="1"/>
  <c r="M977" i="1"/>
  <c r="O977" i="1"/>
  <c r="P977" i="1"/>
  <c r="Q977" i="1"/>
  <c r="R977" i="1"/>
  <c r="M978" i="1"/>
  <c r="O978" i="1"/>
  <c r="P978" i="1"/>
  <c r="Q978" i="1"/>
  <c r="R978" i="1"/>
  <c r="M979" i="1"/>
  <c r="O979" i="1"/>
  <c r="P979" i="1"/>
  <c r="Q979" i="1"/>
  <c r="R979" i="1"/>
  <c r="M980" i="1"/>
  <c r="O980" i="1"/>
  <c r="P980" i="1"/>
  <c r="Q980" i="1"/>
  <c r="R980" i="1"/>
  <c r="M981" i="1"/>
  <c r="O981" i="1"/>
  <c r="P981" i="1"/>
  <c r="Q981" i="1"/>
  <c r="R981" i="1"/>
  <c r="M982" i="1"/>
  <c r="O982" i="1"/>
  <c r="P982" i="1"/>
  <c r="Q982" i="1"/>
  <c r="R982" i="1"/>
  <c r="M983" i="1"/>
  <c r="O983" i="1"/>
  <c r="P983" i="1"/>
  <c r="Q983" i="1"/>
  <c r="R983" i="1"/>
  <c r="M984" i="1"/>
  <c r="O984" i="1"/>
  <c r="P984" i="1"/>
  <c r="Q984" i="1"/>
  <c r="R984" i="1"/>
  <c r="M985" i="1"/>
  <c r="O985" i="1"/>
  <c r="P985" i="1"/>
  <c r="Q985" i="1"/>
  <c r="R985" i="1"/>
  <c r="M986" i="1"/>
  <c r="O986" i="1"/>
  <c r="P986" i="1"/>
  <c r="Q986" i="1"/>
  <c r="R986" i="1"/>
  <c r="M987" i="1"/>
  <c r="O987" i="1"/>
  <c r="P987" i="1"/>
  <c r="Q987" i="1"/>
  <c r="R987" i="1"/>
  <c r="M988" i="1"/>
  <c r="O988" i="1"/>
  <c r="P988" i="1"/>
  <c r="Q988" i="1"/>
  <c r="R988" i="1"/>
  <c r="M989" i="1"/>
  <c r="O989" i="1"/>
  <c r="P989" i="1"/>
  <c r="Q989" i="1"/>
  <c r="R989" i="1"/>
  <c r="M990" i="1"/>
  <c r="O990" i="1"/>
  <c r="P990" i="1"/>
  <c r="Q990" i="1"/>
  <c r="R990" i="1"/>
  <c r="M991" i="1"/>
  <c r="O991" i="1"/>
  <c r="P991" i="1"/>
  <c r="Q991" i="1"/>
  <c r="R991" i="1"/>
  <c r="M992" i="1"/>
  <c r="O992" i="1"/>
  <c r="P992" i="1"/>
  <c r="Q992" i="1"/>
  <c r="R992" i="1"/>
  <c r="M993" i="1"/>
  <c r="O993" i="1"/>
  <c r="P993" i="1"/>
  <c r="Q993" i="1"/>
  <c r="R993" i="1"/>
  <c r="M994" i="1"/>
  <c r="O994" i="1"/>
  <c r="P994" i="1"/>
  <c r="Q994" i="1"/>
  <c r="R994" i="1"/>
  <c r="M995" i="1"/>
  <c r="O995" i="1"/>
  <c r="P995" i="1"/>
  <c r="Q995" i="1"/>
  <c r="R995" i="1"/>
  <c r="M996" i="1"/>
  <c r="O996" i="1"/>
  <c r="P996" i="1"/>
  <c r="Q996" i="1"/>
  <c r="R996" i="1"/>
  <c r="M997" i="1"/>
  <c r="O997" i="1"/>
  <c r="P997" i="1"/>
  <c r="Q997" i="1"/>
  <c r="R997" i="1"/>
  <c r="M998" i="1"/>
  <c r="O998" i="1"/>
  <c r="P998" i="1"/>
  <c r="Q998" i="1"/>
  <c r="R998" i="1"/>
  <c r="M999" i="1"/>
  <c r="O999" i="1"/>
  <c r="P999" i="1"/>
  <c r="Q999" i="1"/>
  <c r="R999" i="1"/>
  <c r="M1000" i="1"/>
  <c r="O1000" i="1"/>
  <c r="P1000" i="1"/>
  <c r="Q1000" i="1"/>
  <c r="R1000" i="1"/>
  <c r="M1001" i="1"/>
  <c r="O1001" i="1"/>
  <c r="P1001" i="1"/>
  <c r="Q1001" i="1"/>
  <c r="R1001" i="1"/>
  <c r="M1002" i="1"/>
  <c r="O1002" i="1"/>
  <c r="P1002" i="1"/>
  <c r="Q1002" i="1"/>
  <c r="R1002" i="1"/>
  <c r="M1003" i="1"/>
  <c r="O1003" i="1"/>
  <c r="P1003" i="1"/>
  <c r="Q1003" i="1"/>
  <c r="R1003" i="1"/>
  <c r="M1004" i="1"/>
  <c r="O1004" i="1"/>
  <c r="P1004" i="1"/>
  <c r="Q1004" i="1"/>
  <c r="R1004" i="1"/>
  <c r="M1005" i="1"/>
  <c r="O1005" i="1"/>
  <c r="P1005" i="1"/>
  <c r="Q1005" i="1"/>
  <c r="R1005" i="1"/>
  <c r="M1006" i="1"/>
  <c r="O1006" i="1"/>
  <c r="P1006" i="1"/>
  <c r="Q1006" i="1"/>
  <c r="R1006" i="1"/>
  <c r="M1007" i="1"/>
  <c r="O1007" i="1"/>
  <c r="P1007" i="1"/>
  <c r="Q1007" i="1"/>
  <c r="R1007" i="1"/>
  <c r="M1008" i="1"/>
  <c r="O1008" i="1"/>
  <c r="P1008" i="1"/>
  <c r="Q1008" i="1"/>
  <c r="R1008" i="1"/>
  <c r="M1009" i="1"/>
  <c r="O1009" i="1"/>
  <c r="P1009" i="1"/>
  <c r="Q1009" i="1"/>
  <c r="R1009" i="1"/>
  <c r="M1010" i="1"/>
  <c r="O1010" i="1"/>
  <c r="P1010" i="1"/>
  <c r="Q1010" i="1"/>
  <c r="R1010" i="1"/>
  <c r="M1011" i="1"/>
  <c r="O1011" i="1"/>
  <c r="P1011" i="1"/>
  <c r="Q1011" i="1"/>
  <c r="R1011" i="1"/>
  <c r="M1012" i="1"/>
  <c r="O1012" i="1"/>
  <c r="P1012" i="1"/>
  <c r="Q1012" i="1"/>
  <c r="R1012" i="1"/>
  <c r="M1013" i="1"/>
  <c r="O1013" i="1"/>
  <c r="P1013" i="1"/>
  <c r="Q1013" i="1"/>
  <c r="R1013" i="1"/>
  <c r="M1014" i="1"/>
  <c r="O1014" i="1"/>
  <c r="P1014" i="1"/>
  <c r="Q1014" i="1"/>
  <c r="R1014" i="1"/>
  <c r="M1015" i="1"/>
  <c r="O1015" i="1"/>
  <c r="P1015" i="1"/>
  <c r="Q1015" i="1"/>
  <c r="R1015" i="1"/>
  <c r="M1016" i="1"/>
  <c r="O1016" i="1"/>
  <c r="P1016" i="1"/>
  <c r="Q1016" i="1"/>
  <c r="R1016" i="1"/>
  <c r="M1017" i="1"/>
  <c r="O1017" i="1"/>
  <c r="P1017" i="1"/>
  <c r="Q1017" i="1"/>
  <c r="R1017" i="1"/>
  <c r="M1018" i="1"/>
  <c r="O1018" i="1"/>
  <c r="P1018" i="1"/>
  <c r="Q1018" i="1"/>
  <c r="R1018" i="1"/>
  <c r="M1019" i="1"/>
  <c r="O1019" i="1"/>
  <c r="P1019" i="1"/>
  <c r="Q1019" i="1"/>
  <c r="R1019" i="1"/>
  <c r="M1020" i="1"/>
  <c r="O1020" i="1"/>
  <c r="P1020" i="1"/>
  <c r="Q1020" i="1"/>
  <c r="R1020" i="1"/>
  <c r="M1021" i="1"/>
  <c r="O1021" i="1"/>
  <c r="P1021" i="1"/>
  <c r="Q1021" i="1"/>
  <c r="R1021" i="1"/>
  <c r="M1022" i="1"/>
  <c r="O1022" i="1"/>
  <c r="P1022" i="1"/>
  <c r="Q1022" i="1"/>
  <c r="R1022" i="1"/>
  <c r="M1023" i="1"/>
  <c r="O1023" i="1"/>
  <c r="P1023" i="1"/>
  <c r="Q1023" i="1"/>
  <c r="R1023" i="1"/>
  <c r="M1024" i="1"/>
  <c r="O1024" i="1"/>
  <c r="P1024" i="1"/>
  <c r="Q1024" i="1"/>
  <c r="R1024" i="1"/>
  <c r="M1025" i="1"/>
  <c r="O1025" i="1"/>
  <c r="P1025" i="1"/>
  <c r="Q1025" i="1"/>
  <c r="R1025" i="1"/>
  <c r="M1026" i="1"/>
  <c r="O1026" i="1"/>
  <c r="P1026" i="1"/>
  <c r="Q1026" i="1"/>
  <c r="R1026" i="1"/>
  <c r="M1027" i="1"/>
  <c r="O1027" i="1"/>
  <c r="P1027" i="1"/>
  <c r="Q1027" i="1"/>
  <c r="R1027" i="1"/>
  <c r="M1028" i="1"/>
  <c r="O1028" i="1"/>
  <c r="P1028" i="1"/>
  <c r="Q1028" i="1"/>
  <c r="R1028" i="1"/>
  <c r="M1029" i="1"/>
  <c r="O1029" i="1"/>
  <c r="P1029" i="1"/>
  <c r="Q1029" i="1"/>
  <c r="R1029" i="1"/>
  <c r="M1030" i="1"/>
  <c r="O1030" i="1"/>
  <c r="P1030" i="1"/>
  <c r="Q1030" i="1"/>
  <c r="R1030" i="1"/>
  <c r="M1031" i="1"/>
  <c r="O1031" i="1"/>
  <c r="P1031" i="1"/>
  <c r="Q1031" i="1"/>
  <c r="R1031" i="1"/>
  <c r="M1032" i="1"/>
  <c r="O1032" i="1"/>
  <c r="P1032" i="1"/>
  <c r="Q1032" i="1"/>
  <c r="R1032" i="1"/>
  <c r="M1033" i="1"/>
  <c r="O1033" i="1"/>
  <c r="P1033" i="1"/>
  <c r="Q1033" i="1"/>
  <c r="R1033" i="1"/>
  <c r="M1034" i="1"/>
  <c r="O1034" i="1"/>
  <c r="P1034" i="1"/>
  <c r="Q1034" i="1"/>
  <c r="R1034" i="1"/>
  <c r="M1035" i="1"/>
  <c r="O1035" i="1"/>
  <c r="P1035" i="1"/>
  <c r="Q1035" i="1"/>
  <c r="R1035" i="1"/>
  <c r="M1036" i="1"/>
  <c r="O1036" i="1"/>
  <c r="P1036" i="1"/>
  <c r="Q1036" i="1"/>
  <c r="R1036" i="1"/>
  <c r="M1037" i="1"/>
  <c r="O1037" i="1"/>
  <c r="P1037" i="1"/>
  <c r="Q1037" i="1"/>
  <c r="R1037" i="1"/>
  <c r="M1038" i="1"/>
  <c r="O1038" i="1"/>
  <c r="P1038" i="1"/>
  <c r="Q1038" i="1"/>
  <c r="R1038" i="1"/>
  <c r="M1039" i="1"/>
  <c r="O1039" i="1"/>
  <c r="P1039" i="1"/>
  <c r="Q1039" i="1"/>
  <c r="R1039" i="1"/>
  <c r="M1040" i="1"/>
  <c r="O1040" i="1"/>
  <c r="P1040" i="1"/>
  <c r="Q1040" i="1"/>
  <c r="R1040" i="1"/>
  <c r="M1041" i="1"/>
  <c r="O1041" i="1"/>
  <c r="P1041" i="1"/>
  <c r="Q1041" i="1"/>
  <c r="R1041" i="1"/>
  <c r="M1042" i="1"/>
  <c r="O1042" i="1"/>
  <c r="P1042" i="1"/>
  <c r="Q1042" i="1"/>
  <c r="R1042" i="1"/>
  <c r="M1043" i="1"/>
  <c r="O1043" i="1"/>
  <c r="P1043" i="1"/>
  <c r="Q1043" i="1"/>
  <c r="R1043" i="1"/>
  <c r="M1044" i="1"/>
  <c r="O1044" i="1"/>
  <c r="P1044" i="1"/>
  <c r="Q1044" i="1"/>
  <c r="R1044" i="1"/>
  <c r="M1045" i="1"/>
  <c r="O1045" i="1"/>
  <c r="P1045" i="1"/>
  <c r="Q1045" i="1"/>
  <c r="R1045" i="1"/>
  <c r="M1046" i="1"/>
  <c r="O1046" i="1"/>
  <c r="P1046" i="1"/>
  <c r="Q1046" i="1"/>
  <c r="R1046" i="1"/>
  <c r="M1047" i="1"/>
  <c r="O1047" i="1"/>
  <c r="P1047" i="1"/>
  <c r="Q1047" i="1"/>
  <c r="R1047" i="1"/>
  <c r="M1048" i="1"/>
  <c r="O1048" i="1"/>
  <c r="P1048" i="1"/>
  <c r="Q1048" i="1"/>
  <c r="R1048" i="1"/>
  <c r="M1049" i="1"/>
  <c r="O1049" i="1"/>
  <c r="P1049" i="1"/>
  <c r="Q1049" i="1"/>
  <c r="R1049" i="1"/>
  <c r="M1050" i="1"/>
  <c r="O1050" i="1"/>
  <c r="P1050" i="1"/>
  <c r="Q1050" i="1"/>
  <c r="R1050" i="1"/>
  <c r="M1051" i="1"/>
  <c r="O1051" i="1"/>
  <c r="P1051" i="1"/>
  <c r="Q1051" i="1"/>
  <c r="R1051" i="1"/>
  <c r="M1052" i="1"/>
  <c r="O1052" i="1"/>
  <c r="P1052" i="1"/>
  <c r="Q1052" i="1"/>
  <c r="R1052" i="1"/>
  <c r="M1053" i="1"/>
  <c r="O1053" i="1"/>
  <c r="P1053" i="1"/>
  <c r="Q1053" i="1"/>
  <c r="R1053" i="1"/>
  <c r="M1054" i="1"/>
  <c r="O1054" i="1"/>
  <c r="P1054" i="1"/>
  <c r="Q1054" i="1"/>
  <c r="R1054" i="1"/>
  <c r="M1055" i="1"/>
  <c r="O1055" i="1"/>
  <c r="P1055" i="1"/>
  <c r="Q1055" i="1"/>
  <c r="R1055" i="1"/>
  <c r="M1056" i="1"/>
  <c r="O1056" i="1"/>
  <c r="P1056" i="1"/>
  <c r="Q1056" i="1"/>
  <c r="R1056" i="1"/>
  <c r="M1057" i="1"/>
  <c r="O1057" i="1"/>
  <c r="P1057" i="1"/>
  <c r="Q1057" i="1"/>
  <c r="R1057" i="1"/>
  <c r="M1058" i="1"/>
  <c r="O1058" i="1"/>
  <c r="P1058" i="1"/>
  <c r="Q1058" i="1"/>
  <c r="R1058" i="1"/>
  <c r="M1059" i="1"/>
  <c r="O1059" i="1"/>
  <c r="P1059" i="1"/>
  <c r="Q1059" i="1"/>
  <c r="R1059" i="1"/>
  <c r="M1060" i="1"/>
  <c r="O1060" i="1"/>
  <c r="P1060" i="1"/>
  <c r="Q1060" i="1"/>
  <c r="R1060" i="1"/>
  <c r="M1061" i="1"/>
  <c r="O1061" i="1"/>
  <c r="P1061" i="1"/>
  <c r="Q1061" i="1"/>
  <c r="R1061" i="1"/>
  <c r="M1062" i="1"/>
  <c r="O1062" i="1"/>
  <c r="P1062" i="1"/>
  <c r="Q1062" i="1"/>
  <c r="R1062" i="1"/>
  <c r="M1063" i="1"/>
  <c r="O1063" i="1"/>
  <c r="P1063" i="1"/>
  <c r="Q1063" i="1"/>
  <c r="R1063" i="1"/>
  <c r="M1064" i="1"/>
  <c r="O1064" i="1"/>
  <c r="P1064" i="1"/>
  <c r="Q1064" i="1"/>
  <c r="R1064" i="1"/>
  <c r="M1065" i="1"/>
  <c r="O1065" i="1"/>
  <c r="P1065" i="1"/>
  <c r="Q1065" i="1"/>
  <c r="R1065" i="1"/>
  <c r="M1066" i="1"/>
  <c r="O1066" i="1"/>
  <c r="P1066" i="1"/>
  <c r="Q1066" i="1"/>
  <c r="R1066" i="1"/>
  <c r="M1067" i="1"/>
  <c r="O1067" i="1"/>
  <c r="P1067" i="1"/>
  <c r="Q1067" i="1"/>
  <c r="R1067" i="1"/>
  <c r="M1068" i="1"/>
  <c r="O1068" i="1"/>
  <c r="P1068" i="1"/>
  <c r="Q1068" i="1"/>
  <c r="R1068" i="1"/>
  <c r="M1069" i="1"/>
  <c r="O1069" i="1"/>
  <c r="P1069" i="1"/>
  <c r="Q1069" i="1"/>
  <c r="R1069" i="1"/>
  <c r="M1070" i="1"/>
  <c r="O1070" i="1"/>
  <c r="P1070" i="1"/>
  <c r="Q1070" i="1"/>
  <c r="R1070" i="1"/>
  <c r="M1071" i="1"/>
  <c r="O1071" i="1"/>
  <c r="P1071" i="1"/>
  <c r="Q1071" i="1"/>
  <c r="R1071" i="1"/>
  <c r="M1072" i="1"/>
  <c r="O1072" i="1"/>
  <c r="P1072" i="1"/>
  <c r="Q1072" i="1"/>
  <c r="R1072" i="1"/>
  <c r="M1073" i="1"/>
  <c r="O1073" i="1"/>
  <c r="P1073" i="1"/>
  <c r="Q1073" i="1"/>
  <c r="R1073" i="1"/>
  <c r="M1074" i="1"/>
  <c r="O1074" i="1"/>
  <c r="P1074" i="1"/>
  <c r="Q1074" i="1"/>
  <c r="R1074" i="1"/>
  <c r="M1075" i="1"/>
  <c r="O1075" i="1"/>
  <c r="P1075" i="1"/>
  <c r="Q1075" i="1"/>
  <c r="R1075" i="1"/>
  <c r="M1076" i="1"/>
  <c r="O1076" i="1"/>
  <c r="P1076" i="1"/>
  <c r="Q1076" i="1"/>
  <c r="R1076" i="1"/>
  <c r="M1077" i="1"/>
  <c r="O1077" i="1"/>
  <c r="P1077" i="1"/>
  <c r="Q1077" i="1"/>
  <c r="R1077" i="1"/>
  <c r="M1078" i="1"/>
  <c r="O1078" i="1"/>
  <c r="P1078" i="1"/>
  <c r="Q1078" i="1"/>
  <c r="R1078" i="1"/>
  <c r="M1079" i="1"/>
  <c r="O1079" i="1"/>
  <c r="P1079" i="1"/>
  <c r="Q1079" i="1"/>
  <c r="R1079" i="1"/>
  <c r="M1080" i="1"/>
  <c r="O1080" i="1"/>
  <c r="P1080" i="1"/>
  <c r="Q1080" i="1"/>
  <c r="R1080" i="1"/>
  <c r="M1081" i="1"/>
  <c r="O1081" i="1"/>
  <c r="P1081" i="1"/>
  <c r="Q1081" i="1"/>
  <c r="R1081" i="1"/>
  <c r="M1082" i="1"/>
  <c r="O1082" i="1"/>
  <c r="P1082" i="1"/>
  <c r="Q1082" i="1"/>
  <c r="R1082" i="1"/>
  <c r="M1083" i="1"/>
  <c r="O1083" i="1"/>
  <c r="P1083" i="1"/>
  <c r="Q1083" i="1"/>
  <c r="R1083" i="1"/>
  <c r="M1084" i="1"/>
  <c r="O1084" i="1"/>
  <c r="P1084" i="1"/>
  <c r="Q1084" i="1"/>
  <c r="R1084" i="1"/>
  <c r="M1085" i="1"/>
  <c r="O1085" i="1"/>
  <c r="P1085" i="1"/>
  <c r="Q1085" i="1"/>
  <c r="R1085" i="1"/>
  <c r="M1086" i="1"/>
  <c r="O1086" i="1"/>
  <c r="P1086" i="1"/>
  <c r="Q1086" i="1"/>
  <c r="R1086" i="1"/>
  <c r="M1087" i="1"/>
  <c r="O1087" i="1"/>
  <c r="P1087" i="1"/>
  <c r="Q1087" i="1"/>
  <c r="R1087" i="1"/>
  <c r="M1088" i="1"/>
  <c r="O1088" i="1"/>
  <c r="P1088" i="1"/>
  <c r="Q1088" i="1"/>
  <c r="R1088" i="1"/>
  <c r="M1089" i="1"/>
  <c r="O1089" i="1"/>
  <c r="P1089" i="1"/>
  <c r="Q1089" i="1"/>
  <c r="R1089" i="1"/>
  <c r="M1090" i="1"/>
  <c r="O1090" i="1"/>
  <c r="P1090" i="1"/>
  <c r="Q1090" i="1"/>
  <c r="R1090" i="1"/>
  <c r="M1091" i="1"/>
  <c r="O1091" i="1"/>
  <c r="P1091" i="1"/>
  <c r="Q1091" i="1"/>
  <c r="R1091" i="1"/>
  <c r="M1092" i="1"/>
  <c r="O1092" i="1"/>
  <c r="P1092" i="1"/>
  <c r="Q1092" i="1"/>
  <c r="R1092" i="1"/>
  <c r="M1093" i="1"/>
  <c r="O1093" i="1"/>
  <c r="P1093" i="1"/>
  <c r="Q1093" i="1"/>
  <c r="R1093" i="1"/>
  <c r="M1094" i="1"/>
  <c r="O1094" i="1"/>
  <c r="P1094" i="1"/>
  <c r="Q1094" i="1"/>
  <c r="R1094" i="1"/>
  <c r="M1095" i="1"/>
  <c r="O1095" i="1"/>
  <c r="P1095" i="1"/>
  <c r="Q1095" i="1"/>
  <c r="R1095" i="1"/>
  <c r="M1096" i="1"/>
  <c r="O1096" i="1"/>
  <c r="P1096" i="1"/>
  <c r="Q1096" i="1"/>
  <c r="R1096" i="1"/>
  <c r="M1097" i="1"/>
  <c r="O1097" i="1"/>
  <c r="P1097" i="1"/>
  <c r="Q1097" i="1"/>
  <c r="R1097" i="1"/>
  <c r="M1098" i="1"/>
  <c r="O1098" i="1"/>
  <c r="P1098" i="1"/>
  <c r="Q1098" i="1"/>
  <c r="R1098" i="1"/>
  <c r="M1099" i="1"/>
  <c r="O1099" i="1"/>
  <c r="P1099" i="1"/>
  <c r="Q1099" i="1"/>
  <c r="R1099" i="1"/>
  <c r="M1100" i="1"/>
  <c r="O1100" i="1"/>
  <c r="P1100" i="1"/>
  <c r="Q1100" i="1"/>
  <c r="R1100" i="1"/>
  <c r="M1101" i="1"/>
  <c r="O1101" i="1"/>
  <c r="P1101" i="1"/>
  <c r="Q1101" i="1"/>
  <c r="R1101" i="1"/>
  <c r="M1102" i="1"/>
  <c r="O1102" i="1"/>
  <c r="P1102" i="1"/>
  <c r="Q1102" i="1"/>
  <c r="R1102" i="1"/>
  <c r="M1103" i="1"/>
  <c r="O1103" i="1"/>
  <c r="P1103" i="1"/>
  <c r="Q1103" i="1"/>
  <c r="R1103" i="1"/>
  <c r="M1104" i="1"/>
  <c r="O1104" i="1"/>
  <c r="P1104" i="1"/>
  <c r="Q1104" i="1"/>
  <c r="R1104" i="1"/>
  <c r="M1105" i="1"/>
  <c r="O1105" i="1"/>
  <c r="P1105" i="1"/>
  <c r="Q1105" i="1"/>
  <c r="R1105" i="1"/>
  <c r="M1106" i="1"/>
  <c r="O1106" i="1"/>
  <c r="P1106" i="1"/>
  <c r="Q1106" i="1"/>
  <c r="R1106" i="1"/>
  <c r="M1107" i="1"/>
  <c r="O1107" i="1"/>
  <c r="P1107" i="1"/>
  <c r="Q1107" i="1"/>
  <c r="R1107" i="1"/>
  <c r="M1108" i="1"/>
  <c r="O1108" i="1"/>
  <c r="P1108" i="1"/>
  <c r="Q1108" i="1"/>
  <c r="R1108" i="1"/>
  <c r="M1109" i="1"/>
  <c r="O1109" i="1"/>
  <c r="P1109" i="1"/>
  <c r="Q1109" i="1"/>
  <c r="R1109" i="1"/>
  <c r="M1110" i="1"/>
  <c r="O1110" i="1"/>
  <c r="P1110" i="1"/>
  <c r="Q1110" i="1"/>
  <c r="R1110" i="1"/>
  <c r="M1111" i="1"/>
  <c r="O1111" i="1"/>
  <c r="P1111" i="1"/>
  <c r="Q1111" i="1"/>
  <c r="R1111" i="1"/>
  <c r="M1112" i="1"/>
  <c r="O1112" i="1"/>
  <c r="P1112" i="1"/>
  <c r="Q1112" i="1"/>
  <c r="R1112" i="1"/>
  <c r="M1113" i="1"/>
  <c r="O1113" i="1"/>
  <c r="P1113" i="1"/>
  <c r="Q1113" i="1"/>
  <c r="R1113" i="1"/>
  <c r="M1114" i="1"/>
  <c r="O1114" i="1"/>
  <c r="P1114" i="1"/>
  <c r="Q1114" i="1"/>
  <c r="R1114" i="1"/>
  <c r="M1115" i="1"/>
  <c r="O1115" i="1"/>
  <c r="P1115" i="1"/>
  <c r="Q1115" i="1"/>
  <c r="R1115" i="1"/>
  <c r="M1116" i="1"/>
  <c r="O1116" i="1"/>
  <c r="P1116" i="1"/>
  <c r="Q1116" i="1"/>
  <c r="R1116" i="1"/>
  <c r="M1117" i="1"/>
  <c r="O1117" i="1"/>
  <c r="P1117" i="1"/>
  <c r="Q1117" i="1"/>
  <c r="R1117" i="1"/>
  <c r="M1118" i="1"/>
  <c r="O1118" i="1"/>
  <c r="P1118" i="1"/>
  <c r="Q1118" i="1"/>
  <c r="R1118" i="1"/>
  <c r="M1119" i="1"/>
  <c r="O1119" i="1"/>
  <c r="P1119" i="1"/>
  <c r="Q1119" i="1"/>
  <c r="R1119" i="1"/>
  <c r="M1120" i="1"/>
  <c r="O1120" i="1"/>
  <c r="P1120" i="1"/>
  <c r="Q1120" i="1"/>
  <c r="R1120" i="1"/>
  <c r="M1121" i="1"/>
  <c r="O1121" i="1"/>
  <c r="P1121" i="1"/>
  <c r="Q1121" i="1"/>
  <c r="R1121" i="1"/>
  <c r="M1122" i="1"/>
  <c r="O1122" i="1"/>
  <c r="P1122" i="1"/>
  <c r="Q1122" i="1"/>
  <c r="R1122" i="1"/>
  <c r="M1123" i="1"/>
  <c r="O1123" i="1"/>
  <c r="P1123" i="1"/>
  <c r="Q1123" i="1"/>
  <c r="R1123" i="1"/>
  <c r="M1124" i="1"/>
  <c r="O1124" i="1"/>
  <c r="P1124" i="1"/>
  <c r="Q1124" i="1"/>
  <c r="R1124" i="1"/>
  <c r="M1125" i="1"/>
  <c r="O1125" i="1"/>
  <c r="P1125" i="1"/>
  <c r="Q1125" i="1"/>
  <c r="R1125" i="1"/>
  <c r="M1126" i="1"/>
  <c r="O1126" i="1"/>
  <c r="P1126" i="1"/>
  <c r="Q1126" i="1"/>
  <c r="R1126" i="1"/>
  <c r="M1127" i="1"/>
  <c r="O1127" i="1"/>
  <c r="P1127" i="1"/>
  <c r="Q1127" i="1"/>
  <c r="R1127" i="1"/>
  <c r="M1128" i="1"/>
  <c r="O1128" i="1"/>
  <c r="P1128" i="1"/>
  <c r="Q1128" i="1"/>
  <c r="R1128" i="1"/>
  <c r="M1129" i="1"/>
  <c r="O1129" i="1"/>
  <c r="P1129" i="1"/>
  <c r="Q1129" i="1"/>
  <c r="R1129" i="1"/>
  <c r="M1130" i="1"/>
  <c r="O1130" i="1"/>
  <c r="P1130" i="1"/>
  <c r="Q1130" i="1"/>
  <c r="R1130" i="1"/>
  <c r="M1131" i="1"/>
  <c r="O1131" i="1"/>
  <c r="P1131" i="1"/>
  <c r="Q1131" i="1"/>
  <c r="R1131" i="1"/>
  <c r="M1132" i="1"/>
  <c r="O1132" i="1"/>
  <c r="P1132" i="1"/>
  <c r="Q1132" i="1"/>
  <c r="R1132" i="1"/>
  <c r="M1133" i="1"/>
  <c r="O1133" i="1"/>
  <c r="P1133" i="1"/>
  <c r="Q1133" i="1"/>
  <c r="R1133" i="1"/>
  <c r="M1134" i="1"/>
  <c r="O1134" i="1"/>
  <c r="P1134" i="1"/>
  <c r="Q1134" i="1"/>
  <c r="R1134" i="1"/>
  <c r="M1135" i="1"/>
  <c r="O1135" i="1"/>
  <c r="P1135" i="1"/>
  <c r="Q1135" i="1"/>
  <c r="R1135" i="1"/>
  <c r="M1136" i="1"/>
  <c r="O1136" i="1"/>
  <c r="P1136" i="1"/>
  <c r="Q1136" i="1"/>
  <c r="R1136" i="1"/>
  <c r="M1137" i="1"/>
  <c r="O1137" i="1"/>
  <c r="P1137" i="1"/>
  <c r="Q1137" i="1"/>
  <c r="R1137" i="1"/>
  <c r="M1138" i="1"/>
  <c r="O1138" i="1"/>
  <c r="P1138" i="1"/>
  <c r="Q1138" i="1"/>
  <c r="R1138" i="1"/>
  <c r="M1139" i="1"/>
  <c r="O1139" i="1"/>
  <c r="P1139" i="1"/>
  <c r="Q1139" i="1"/>
  <c r="R1139" i="1"/>
  <c r="M1140" i="1"/>
  <c r="O1140" i="1"/>
  <c r="P1140" i="1"/>
  <c r="Q1140" i="1"/>
  <c r="R1140" i="1"/>
  <c r="M1141" i="1"/>
  <c r="O1141" i="1"/>
  <c r="P1141" i="1"/>
  <c r="Q1141" i="1"/>
  <c r="R1141" i="1"/>
  <c r="M1142" i="1"/>
  <c r="O1142" i="1"/>
  <c r="P1142" i="1"/>
  <c r="Q1142" i="1"/>
  <c r="R1142" i="1"/>
  <c r="M1143" i="1"/>
  <c r="O1143" i="1"/>
  <c r="P1143" i="1"/>
  <c r="Q1143" i="1"/>
  <c r="R1143" i="1"/>
  <c r="M1144" i="1"/>
  <c r="O1144" i="1"/>
  <c r="P1144" i="1"/>
  <c r="Q1144" i="1"/>
  <c r="R1144" i="1"/>
  <c r="M1145" i="1"/>
  <c r="O1145" i="1"/>
  <c r="P1145" i="1"/>
  <c r="Q1145" i="1"/>
  <c r="R1145" i="1"/>
  <c r="M1146" i="1"/>
  <c r="O1146" i="1"/>
  <c r="P1146" i="1"/>
  <c r="Q1146" i="1"/>
  <c r="R1146" i="1"/>
  <c r="M1147" i="1"/>
  <c r="O1147" i="1"/>
  <c r="P1147" i="1"/>
  <c r="Q1147" i="1"/>
  <c r="R1147" i="1"/>
  <c r="M1148" i="1"/>
  <c r="O1148" i="1"/>
  <c r="P1148" i="1"/>
  <c r="Q1148" i="1"/>
  <c r="R1148" i="1"/>
  <c r="M1149" i="1"/>
  <c r="O1149" i="1"/>
  <c r="P1149" i="1"/>
  <c r="Q1149" i="1"/>
  <c r="R1149" i="1"/>
  <c r="M1150" i="1"/>
  <c r="O1150" i="1"/>
  <c r="P1150" i="1"/>
  <c r="Q1150" i="1"/>
  <c r="R1150" i="1"/>
  <c r="M1151" i="1"/>
  <c r="O1151" i="1"/>
  <c r="P1151" i="1"/>
  <c r="Q1151" i="1"/>
  <c r="R1151" i="1"/>
  <c r="M1152" i="1"/>
  <c r="O1152" i="1"/>
  <c r="P1152" i="1"/>
  <c r="Q1152" i="1"/>
  <c r="R1152" i="1"/>
  <c r="M1153" i="1"/>
  <c r="O1153" i="1"/>
  <c r="P1153" i="1"/>
  <c r="Q1153" i="1"/>
  <c r="R1153" i="1"/>
  <c r="M1154" i="1"/>
  <c r="O1154" i="1"/>
  <c r="P1154" i="1"/>
  <c r="Q1154" i="1"/>
  <c r="R1154" i="1"/>
  <c r="M1155" i="1"/>
  <c r="O1155" i="1"/>
  <c r="P1155" i="1"/>
  <c r="Q1155" i="1"/>
  <c r="R1155" i="1"/>
  <c r="M1156" i="1"/>
  <c r="O1156" i="1"/>
  <c r="P1156" i="1"/>
  <c r="Q1156" i="1"/>
  <c r="R1156" i="1"/>
  <c r="M1157" i="1"/>
  <c r="O1157" i="1"/>
  <c r="P1157" i="1"/>
  <c r="Q1157" i="1"/>
  <c r="R1157" i="1"/>
  <c r="M1158" i="1"/>
  <c r="O1158" i="1"/>
  <c r="P1158" i="1"/>
  <c r="Q1158" i="1"/>
  <c r="R1158" i="1"/>
  <c r="M1159" i="1"/>
  <c r="O1159" i="1"/>
  <c r="P1159" i="1"/>
  <c r="Q1159" i="1"/>
  <c r="R1159" i="1"/>
  <c r="M1160" i="1"/>
  <c r="O1160" i="1"/>
  <c r="P1160" i="1"/>
  <c r="Q1160" i="1"/>
  <c r="R1160" i="1"/>
  <c r="M1161" i="1"/>
  <c r="O1161" i="1"/>
  <c r="P1161" i="1"/>
  <c r="Q1161" i="1"/>
  <c r="R1161" i="1"/>
  <c r="M1162" i="1"/>
  <c r="O1162" i="1"/>
  <c r="P1162" i="1"/>
  <c r="Q1162" i="1"/>
  <c r="R1162" i="1"/>
  <c r="M1163" i="1"/>
  <c r="O1163" i="1"/>
  <c r="P1163" i="1"/>
  <c r="Q1163" i="1"/>
  <c r="R1163" i="1"/>
  <c r="M1164" i="1"/>
  <c r="O1164" i="1"/>
  <c r="P1164" i="1"/>
  <c r="Q1164" i="1"/>
  <c r="R1164" i="1"/>
  <c r="M1165" i="1"/>
  <c r="O1165" i="1"/>
  <c r="P1165" i="1"/>
  <c r="Q1165" i="1"/>
  <c r="R1165" i="1"/>
  <c r="M1166" i="1"/>
  <c r="O1166" i="1"/>
  <c r="P1166" i="1"/>
  <c r="Q1166" i="1"/>
  <c r="R1166" i="1"/>
  <c r="M1167" i="1"/>
  <c r="O1167" i="1"/>
  <c r="P1167" i="1"/>
  <c r="Q1167" i="1"/>
  <c r="R1167" i="1"/>
  <c r="M1168" i="1"/>
  <c r="O1168" i="1"/>
  <c r="P1168" i="1"/>
  <c r="Q1168" i="1"/>
  <c r="R1168" i="1"/>
  <c r="M1169" i="1"/>
  <c r="O1169" i="1"/>
  <c r="P1169" i="1"/>
  <c r="Q1169" i="1"/>
  <c r="R1169" i="1"/>
  <c r="M1170" i="1"/>
  <c r="O1170" i="1"/>
  <c r="P1170" i="1"/>
  <c r="Q1170" i="1"/>
  <c r="R1170" i="1"/>
  <c r="M1171" i="1"/>
  <c r="O1171" i="1"/>
  <c r="P1171" i="1"/>
  <c r="Q1171" i="1"/>
  <c r="R1171" i="1"/>
  <c r="M1172" i="1"/>
  <c r="O1172" i="1"/>
  <c r="P1172" i="1"/>
  <c r="Q1172" i="1"/>
  <c r="R1172" i="1"/>
  <c r="M1173" i="1"/>
  <c r="O1173" i="1"/>
  <c r="P1173" i="1"/>
  <c r="Q1173" i="1"/>
  <c r="R1173" i="1"/>
  <c r="M1174" i="1"/>
  <c r="O1174" i="1"/>
  <c r="P1174" i="1"/>
  <c r="Q1174" i="1"/>
  <c r="R1174" i="1"/>
  <c r="M1175" i="1"/>
  <c r="O1175" i="1"/>
  <c r="P1175" i="1"/>
  <c r="Q1175" i="1"/>
  <c r="R1175" i="1"/>
  <c r="M1176" i="1"/>
  <c r="O1176" i="1"/>
  <c r="P1176" i="1"/>
  <c r="Q1176" i="1"/>
  <c r="R1176" i="1"/>
  <c r="M1177" i="1"/>
  <c r="O1177" i="1"/>
  <c r="P1177" i="1"/>
  <c r="Q1177" i="1"/>
  <c r="R1177" i="1"/>
  <c r="M1178" i="1"/>
  <c r="O1178" i="1"/>
  <c r="P1178" i="1"/>
  <c r="Q1178" i="1"/>
  <c r="R1178" i="1"/>
  <c r="M1179" i="1"/>
  <c r="O1179" i="1"/>
  <c r="P1179" i="1"/>
  <c r="Q1179" i="1"/>
  <c r="R1179" i="1"/>
  <c r="M1180" i="1"/>
  <c r="O1180" i="1"/>
  <c r="P1180" i="1"/>
  <c r="Q1180" i="1"/>
  <c r="R1180" i="1"/>
  <c r="M1181" i="1"/>
  <c r="O1181" i="1"/>
  <c r="P1181" i="1"/>
  <c r="Q1181" i="1"/>
  <c r="R1181" i="1"/>
  <c r="M1182" i="1"/>
  <c r="O1182" i="1"/>
  <c r="P1182" i="1"/>
  <c r="Q1182" i="1"/>
  <c r="R1182" i="1"/>
  <c r="M1183" i="1"/>
  <c r="O1183" i="1"/>
  <c r="P1183" i="1"/>
  <c r="Q1183" i="1"/>
  <c r="R1183" i="1"/>
  <c r="M1184" i="1"/>
  <c r="O1184" i="1"/>
  <c r="P1184" i="1"/>
  <c r="Q1184" i="1"/>
  <c r="R1184" i="1"/>
  <c r="M1185" i="1"/>
  <c r="O1185" i="1"/>
  <c r="P1185" i="1"/>
  <c r="Q1185" i="1"/>
  <c r="R1185" i="1"/>
  <c r="M1186" i="1"/>
  <c r="O1186" i="1"/>
  <c r="P1186" i="1"/>
  <c r="Q1186" i="1"/>
  <c r="R1186" i="1"/>
  <c r="M1187" i="1"/>
  <c r="O1187" i="1"/>
  <c r="P1187" i="1"/>
  <c r="Q1187" i="1"/>
  <c r="R1187" i="1"/>
  <c r="M1188" i="1"/>
  <c r="O1188" i="1"/>
  <c r="P1188" i="1"/>
  <c r="Q1188" i="1"/>
  <c r="R1188" i="1"/>
  <c r="M1189" i="1"/>
  <c r="O1189" i="1"/>
  <c r="P1189" i="1"/>
  <c r="Q1189" i="1"/>
  <c r="R1189" i="1"/>
  <c r="M1190" i="1"/>
  <c r="O1190" i="1"/>
  <c r="P1190" i="1"/>
  <c r="Q1190" i="1"/>
  <c r="R1190" i="1"/>
  <c r="M1191" i="1"/>
  <c r="O1191" i="1"/>
  <c r="P1191" i="1"/>
  <c r="Q1191" i="1"/>
  <c r="R1191" i="1"/>
  <c r="M1192" i="1"/>
  <c r="O1192" i="1"/>
  <c r="P1192" i="1"/>
  <c r="Q1192" i="1"/>
  <c r="R1192" i="1"/>
  <c r="M1193" i="1"/>
  <c r="O1193" i="1"/>
  <c r="P1193" i="1"/>
  <c r="Q1193" i="1"/>
  <c r="R1193" i="1"/>
  <c r="M1194" i="1"/>
  <c r="O1194" i="1"/>
  <c r="P1194" i="1"/>
  <c r="Q1194" i="1"/>
  <c r="R1194" i="1"/>
  <c r="M1195" i="1"/>
  <c r="O1195" i="1"/>
  <c r="P1195" i="1"/>
  <c r="Q1195" i="1"/>
  <c r="R1195" i="1"/>
  <c r="M1196" i="1"/>
  <c r="O1196" i="1"/>
  <c r="P1196" i="1"/>
  <c r="Q1196" i="1"/>
  <c r="R1196" i="1"/>
  <c r="M1197" i="1"/>
  <c r="O1197" i="1"/>
  <c r="P1197" i="1"/>
  <c r="Q1197" i="1"/>
  <c r="R1197" i="1"/>
  <c r="M1198" i="1"/>
  <c r="O1198" i="1"/>
  <c r="P1198" i="1"/>
  <c r="Q1198" i="1"/>
  <c r="R1198" i="1"/>
  <c r="M1199" i="1"/>
  <c r="O1199" i="1"/>
  <c r="P1199" i="1"/>
  <c r="Q1199" i="1"/>
  <c r="R1199" i="1"/>
  <c r="M1200" i="1"/>
  <c r="O1200" i="1"/>
  <c r="P1200" i="1"/>
  <c r="Q1200" i="1"/>
  <c r="R1200" i="1"/>
  <c r="M1201" i="1"/>
  <c r="O1201" i="1"/>
  <c r="P1201" i="1"/>
  <c r="Q1201" i="1"/>
  <c r="R1201" i="1"/>
  <c r="M1202" i="1"/>
  <c r="O1202" i="1"/>
  <c r="P1202" i="1"/>
  <c r="Q1202" i="1"/>
  <c r="R1202" i="1"/>
  <c r="M1203" i="1"/>
  <c r="O1203" i="1"/>
  <c r="P1203" i="1"/>
  <c r="Q1203" i="1"/>
  <c r="R1203" i="1"/>
  <c r="M1204" i="1"/>
  <c r="O1204" i="1"/>
  <c r="P1204" i="1"/>
  <c r="Q1204" i="1"/>
  <c r="R1204" i="1"/>
  <c r="M1205" i="1"/>
  <c r="O1205" i="1"/>
  <c r="P1205" i="1"/>
  <c r="Q1205" i="1"/>
  <c r="R1205" i="1"/>
  <c r="M1206" i="1"/>
  <c r="O1206" i="1"/>
  <c r="P1206" i="1"/>
  <c r="Q1206" i="1"/>
  <c r="R1206" i="1"/>
  <c r="M1207" i="1"/>
  <c r="O1207" i="1"/>
  <c r="P1207" i="1"/>
  <c r="Q1207" i="1"/>
  <c r="R1207" i="1"/>
  <c r="M1208" i="1"/>
  <c r="O1208" i="1"/>
  <c r="P1208" i="1"/>
  <c r="Q1208" i="1"/>
  <c r="R1208" i="1"/>
  <c r="M1209" i="1"/>
  <c r="O1209" i="1"/>
  <c r="P1209" i="1"/>
  <c r="Q1209" i="1"/>
  <c r="R1209" i="1"/>
  <c r="M1210" i="1"/>
  <c r="O1210" i="1"/>
  <c r="P1210" i="1"/>
  <c r="Q1210" i="1"/>
  <c r="R1210" i="1"/>
  <c r="M1211" i="1"/>
  <c r="O1211" i="1"/>
  <c r="P1211" i="1"/>
  <c r="Q1211" i="1"/>
  <c r="R1211" i="1"/>
  <c r="M1212" i="1"/>
  <c r="O1212" i="1"/>
  <c r="P1212" i="1"/>
  <c r="Q1212" i="1"/>
  <c r="R1212" i="1"/>
  <c r="M1213" i="1"/>
  <c r="O1213" i="1"/>
  <c r="P1213" i="1"/>
  <c r="Q1213" i="1"/>
  <c r="R1213" i="1"/>
  <c r="M1214" i="1"/>
  <c r="O1214" i="1"/>
  <c r="P1214" i="1"/>
  <c r="Q1214" i="1"/>
  <c r="R1214" i="1"/>
  <c r="M1215" i="1"/>
  <c r="O1215" i="1"/>
  <c r="P1215" i="1"/>
  <c r="Q1215" i="1"/>
  <c r="R1215" i="1"/>
  <c r="M1216" i="1"/>
  <c r="O1216" i="1"/>
  <c r="P1216" i="1"/>
  <c r="Q1216" i="1"/>
  <c r="R1216" i="1"/>
  <c r="M1217" i="1"/>
  <c r="O1217" i="1"/>
  <c r="P1217" i="1"/>
  <c r="Q1217" i="1"/>
  <c r="R1217" i="1"/>
  <c r="M1218" i="1"/>
  <c r="O1218" i="1"/>
  <c r="P1218" i="1"/>
  <c r="Q1218" i="1"/>
  <c r="R1218" i="1"/>
  <c r="M1219" i="1"/>
  <c r="O1219" i="1"/>
  <c r="P1219" i="1"/>
  <c r="Q1219" i="1"/>
  <c r="R1219" i="1"/>
  <c r="M1220" i="1"/>
  <c r="O1220" i="1"/>
  <c r="P1220" i="1"/>
  <c r="Q1220" i="1"/>
  <c r="R1220" i="1"/>
  <c r="M1221" i="1"/>
  <c r="O1221" i="1"/>
  <c r="P1221" i="1"/>
  <c r="Q1221" i="1"/>
  <c r="R1221" i="1"/>
  <c r="M1222" i="1"/>
  <c r="O1222" i="1"/>
  <c r="P1222" i="1"/>
  <c r="Q1222" i="1"/>
  <c r="R1222" i="1"/>
  <c r="M1223" i="1"/>
  <c r="O1223" i="1"/>
  <c r="P1223" i="1"/>
  <c r="Q1223" i="1"/>
  <c r="R1223" i="1"/>
  <c r="M1224" i="1"/>
  <c r="O1224" i="1"/>
  <c r="P1224" i="1"/>
  <c r="Q1224" i="1"/>
  <c r="R1224" i="1"/>
  <c r="M1225" i="1"/>
  <c r="O1225" i="1"/>
  <c r="P1225" i="1"/>
  <c r="Q1225" i="1"/>
  <c r="R1225" i="1"/>
  <c r="M1226" i="1"/>
  <c r="O1226" i="1"/>
  <c r="P1226" i="1"/>
  <c r="Q1226" i="1"/>
  <c r="R1226" i="1"/>
  <c r="M1227" i="1"/>
  <c r="O1227" i="1"/>
  <c r="P1227" i="1"/>
  <c r="Q1227" i="1"/>
  <c r="R1227" i="1"/>
  <c r="M1228" i="1"/>
  <c r="O1228" i="1"/>
  <c r="P1228" i="1"/>
  <c r="Q1228" i="1"/>
  <c r="R1228" i="1"/>
  <c r="M1229" i="1"/>
  <c r="O1229" i="1"/>
  <c r="P1229" i="1"/>
  <c r="Q1229" i="1"/>
  <c r="R1229" i="1"/>
  <c r="M1230" i="1"/>
  <c r="O1230" i="1"/>
  <c r="P1230" i="1"/>
  <c r="Q1230" i="1"/>
  <c r="R1230" i="1"/>
  <c r="M1231" i="1"/>
  <c r="O1231" i="1"/>
  <c r="P1231" i="1"/>
  <c r="Q1231" i="1"/>
  <c r="R1231" i="1"/>
  <c r="M1232" i="1"/>
  <c r="O1232" i="1"/>
  <c r="P1232" i="1"/>
  <c r="Q1232" i="1"/>
  <c r="R1232" i="1"/>
  <c r="M1233" i="1"/>
  <c r="O1233" i="1"/>
  <c r="P1233" i="1"/>
  <c r="Q1233" i="1"/>
  <c r="R1233" i="1"/>
  <c r="M1234" i="1"/>
  <c r="O1234" i="1"/>
  <c r="P1234" i="1"/>
  <c r="Q1234" i="1"/>
  <c r="R1234" i="1"/>
  <c r="M1235" i="1"/>
  <c r="O1235" i="1"/>
  <c r="P1235" i="1"/>
  <c r="Q1235" i="1"/>
  <c r="R1235" i="1"/>
  <c r="M1236" i="1"/>
  <c r="O1236" i="1"/>
  <c r="P1236" i="1"/>
  <c r="Q1236" i="1"/>
  <c r="R1236" i="1"/>
  <c r="M1237" i="1"/>
  <c r="O1237" i="1"/>
  <c r="P1237" i="1"/>
  <c r="Q1237" i="1"/>
  <c r="R1237" i="1"/>
  <c r="M1238" i="1"/>
  <c r="O1238" i="1"/>
  <c r="P1238" i="1"/>
  <c r="Q1238" i="1"/>
  <c r="R1238" i="1"/>
  <c r="M1239" i="1"/>
  <c r="O1239" i="1"/>
  <c r="P1239" i="1"/>
  <c r="Q1239" i="1"/>
  <c r="R1239" i="1"/>
  <c r="M1240" i="1"/>
  <c r="O1240" i="1"/>
  <c r="P1240" i="1"/>
  <c r="Q1240" i="1"/>
  <c r="R1240" i="1"/>
  <c r="M1241" i="1"/>
  <c r="O1241" i="1"/>
  <c r="P1241" i="1"/>
  <c r="Q1241" i="1"/>
  <c r="R1241" i="1"/>
  <c r="M1242" i="1"/>
  <c r="O1242" i="1"/>
  <c r="P1242" i="1"/>
  <c r="Q1242" i="1"/>
  <c r="R1242" i="1"/>
  <c r="M1243" i="1"/>
  <c r="O1243" i="1"/>
  <c r="P1243" i="1"/>
  <c r="Q1243" i="1"/>
  <c r="R1243" i="1"/>
  <c r="M1244" i="1"/>
  <c r="O1244" i="1"/>
  <c r="P1244" i="1"/>
  <c r="Q1244" i="1"/>
  <c r="R1244" i="1"/>
  <c r="M1245" i="1"/>
  <c r="O1245" i="1"/>
  <c r="P1245" i="1"/>
  <c r="Q1245" i="1"/>
  <c r="R1245" i="1"/>
  <c r="M1246" i="1"/>
  <c r="O1246" i="1"/>
  <c r="P1246" i="1"/>
  <c r="Q1246" i="1"/>
  <c r="R1246" i="1"/>
  <c r="M1247" i="1"/>
  <c r="O1247" i="1"/>
  <c r="P1247" i="1"/>
  <c r="Q1247" i="1"/>
  <c r="R1247" i="1"/>
  <c r="M1248" i="1"/>
  <c r="O1248" i="1"/>
  <c r="P1248" i="1"/>
  <c r="Q1248" i="1"/>
  <c r="R1248" i="1"/>
  <c r="M1249" i="1"/>
  <c r="O1249" i="1"/>
  <c r="P1249" i="1"/>
  <c r="Q1249" i="1"/>
  <c r="R1249" i="1"/>
  <c r="M1250" i="1"/>
  <c r="O1250" i="1"/>
  <c r="P1250" i="1"/>
  <c r="Q1250" i="1"/>
  <c r="R1250" i="1"/>
  <c r="M1251" i="1"/>
  <c r="O1251" i="1"/>
  <c r="P1251" i="1"/>
  <c r="Q1251" i="1"/>
  <c r="R1251" i="1"/>
  <c r="M1252" i="1"/>
  <c r="O1252" i="1"/>
  <c r="P1252" i="1"/>
  <c r="Q1252" i="1"/>
  <c r="R1252" i="1"/>
  <c r="M1253" i="1"/>
  <c r="O1253" i="1"/>
  <c r="P1253" i="1"/>
  <c r="Q1253" i="1"/>
  <c r="R1253" i="1"/>
  <c r="M1254" i="1"/>
  <c r="O1254" i="1"/>
  <c r="P1254" i="1"/>
  <c r="Q1254" i="1"/>
  <c r="R1254" i="1"/>
  <c r="M1255" i="1"/>
  <c r="O1255" i="1"/>
  <c r="P1255" i="1"/>
  <c r="Q1255" i="1"/>
  <c r="R1255" i="1"/>
  <c r="M1256" i="1"/>
  <c r="O1256" i="1"/>
  <c r="P1256" i="1"/>
  <c r="Q1256" i="1"/>
  <c r="R1256" i="1"/>
  <c r="M1257" i="1"/>
  <c r="O1257" i="1"/>
  <c r="P1257" i="1"/>
  <c r="Q1257" i="1"/>
  <c r="R1257" i="1"/>
  <c r="M1258" i="1"/>
  <c r="O1258" i="1"/>
  <c r="P1258" i="1"/>
  <c r="Q1258" i="1"/>
  <c r="R1258" i="1"/>
  <c r="M1259" i="1"/>
  <c r="O1259" i="1"/>
  <c r="P1259" i="1"/>
  <c r="Q1259" i="1"/>
  <c r="R1259" i="1"/>
  <c r="M1260" i="1"/>
  <c r="O1260" i="1"/>
  <c r="P1260" i="1"/>
  <c r="Q1260" i="1"/>
  <c r="R1260" i="1"/>
  <c r="M1261" i="1"/>
  <c r="O1261" i="1"/>
  <c r="P1261" i="1"/>
  <c r="Q1261" i="1"/>
  <c r="R1261" i="1"/>
  <c r="M1262" i="1"/>
  <c r="O1262" i="1"/>
  <c r="P1262" i="1"/>
  <c r="Q1262" i="1"/>
  <c r="R1262" i="1"/>
  <c r="M1263" i="1"/>
  <c r="O1263" i="1"/>
  <c r="P1263" i="1"/>
  <c r="Q1263" i="1"/>
  <c r="R1263" i="1"/>
  <c r="M1264" i="1"/>
  <c r="O1264" i="1"/>
  <c r="P1264" i="1"/>
  <c r="Q1264" i="1"/>
  <c r="R1264" i="1"/>
  <c r="M1265" i="1"/>
  <c r="O1265" i="1"/>
  <c r="P1265" i="1"/>
  <c r="Q1265" i="1"/>
  <c r="R1265" i="1"/>
  <c r="M1266" i="1"/>
  <c r="O1266" i="1"/>
  <c r="P1266" i="1"/>
  <c r="Q1266" i="1"/>
  <c r="R1266" i="1"/>
  <c r="M1267" i="1"/>
  <c r="O1267" i="1"/>
  <c r="P1267" i="1"/>
  <c r="Q1267" i="1"/>
  <c r="R1267" i="1"/>
  <c r="M1268" i="1"/>
  <c r="O1268" i="1"/>
  <c r="P1268" i="1"/>
  <c r="Q1268" i="1"/>
  <c r="R1268" i="1"/>
  <c r="M1269" i="1"/>
  <c r="O1269" i="1"/>
  <c r="P1269" i="1"/>
  <c r="Q1269" i="1"/>
  <c r="R1269" i="1"/>
  <c r="M1270" i="1"/>
  <c r="O1270" i="1"/>
  <c r="P1270" i="1"/>
  <c r="Q1270" i="1"/>
  <c r="R1270" i="1"/>
  <c r="M1271" i="1"/>
  <c r="O1271" i="1"/>
  <c r="P1271" i="1"/>
  <c r="Q1271" i="1"/>
  <c r="R1271" i="1"/>
  <c r="M1272" i="1"/>
  <c r="O1272" i="1"/>
  <c r="P1272" i="1"/>
  <c r="Q1272" i="1"/>
  <c r="R1272" i="1"/>
  <c r="M1273" i="1"/>
  <c r="O1273" i="1"/>
  <c r="P1273" i="1"/>
  <c r="Q1273" i="1"/>
  <c r="R1273" i="1"/>
  <c r="M1274" i="1"/>
  <c r="O1274" i="1"/>
  <c r="P1274" i="1"/>
  <c r="Q1274" i="1"/>
  <c r="R1274" i="1"/>
  <c r="M1275" i="1"/>
  <c r="O1275" i="1"/>
  <c r="P1275" i="1"/>
  <c r="Q1275" i="1"/>
  <c r="R1275" i="1"/>
  <c r="M1276" i="1"/>
  <c r="O1276" i="1"/>
  <c r="P1276" i="1"/>
  <c r="Q1276" i="1"/>
  <c r="R1276" i="1"/>
  <c r="M1277" i="1"/>
  <c r="O1277" i="1"/>
  <c r="P1277" i="1"/>
  <c r="Q1277" i="1"/>
  <c r="R1277" i="1"/>
  <c r="M1278" i="1"/>
  <c r="O1278" i="1"/>
  <c r="P1278" i="1"/>
  <c r="Q1278" i="1"/>
  <c r="R1278" i="1"/>
  <c r="M1279" i="1"/>
  <c r="O1279" i="1"/>
  <c r="P1279" i="1"/>
  <c r="Q1279" i="1"/>
  <c r="R1279" i="1"/>
  <c r="M1280" i="1"/>
  <c r="O1280" i="1"/>
  <c r="P1280" i="1"/>
  <c r="Q1280" i="1"/>
  <c r="R1280" i="1"/>
  <c r="M1281" i="1"/>
  <c r="O1281" i="1"/>
  <c r="P1281" i="1"/>
  <c r="Q1281" i="1"/>
  <c r="R1281" i="1"/>
  <c r="M1282" i="1"/>
  <c r="O1282" i="1"/>
  <c r="P1282" i="1"/>
  <c r="Q1282" i="1"/>
  <c r="R1282" i="1"/>
  <c r="M1283" i="1"/>
  <c r="O1283" i="1"/>
  <c r="P1283" i="1"/>
  <c r="Q1283" i="1"/>
  <c r="R1283" i="1"/>
  <c r="M1284" i="1"/>
  <c r="O1284" i="1"/>
  <c r="P1284" i="1"/>
  <c r="Q1284" i="1"/>
  <c r="R1284" i="1"/>
  <c r="M1285" i="1"/>
  <c r="O1285" i="1"/>
  <c r="P1285" i="1"/>
  <c r="Q1285" i="1"/>
  <c r="R1285" i="1"/>
  <c r="M1286" i="1"/>
  <c r="O1286" i="1"/>
  <c r="P1286" i="1"/>
  <c r="Q1286" i="1"/>
  <c r="R1286" i="1"/>
  <c r="M1287" i="1"/>
  <c r="O1287" i="1"/>
  <c r="P1287" i="1"/>
  <c r="Q1287" i="1"/>
  <c r="R1287" i="1"/>
  <c r="M1288" i="1"/>
  <c r="O1288" i="1"/>
  <c r="P1288" i="1"/>
  <c r="Q1288" i="1"/>
  <c r="R1288" i="1"/>
  <c r="M1289" i="1"/>
  <c r="O1289" i="1"/>
  <c r="P1289" i="1"/>
  <c r="Q1289" i="1"/>
  <c r="R1289" i="1"/>
  <c r="M1290" i="1"/>
  <c r="O1290" i="1"/>
  <c r="P1290" i="1"/>
  <c r="Q1290" i="1"/>
  <c r="R1290" i="1"/>
  <c r="M1291" i="1"/>
  <c r="O1291" i="1"/>
  <c r="P1291" i="1"/>
  <c r="Q1291" i="1"/>
  <c r="R1291" i="1"/>
  <c r="M1292" i="1"/>
  <c r="O1292" i="1"/>
  <c r="P1292" i="1"/>
  <c r="Q1292" i="1"/>
  <c r="R1292" i="1"/>
  <c r="M1293" i="1"/>
  <c r="O1293" i="1"/>
  <c r="P1293" i="1"/>
  <c r="Q1293" i="1"/>
  <c r="R1293" i="1"/>
  <c r="M1294" i="1"/>
  <c r="O1294" i="1"/>
  <c r="P1294" i="1"/>
  <c r="Q1294" i="1"/>
  <c r="R1294" i="1"/>
  <c r="M1295" i="1"/>
  <c r="O1295" i="1"/>
  <c r="P1295" i="1"/>
  <c r="Q1295" i="1"/>
  <c r="R1295" i="1"/>
  <c r="M1296" i="1"/>
  <c r="O1296" i="1"/>
  <c r="P1296" i="1"/>
  <c r="Q1296" i="1"/>
  <c r="R1296" i="1"/>
  <c r="M1297" i="1"/>
  <c r="O1297" i="1"/>
  <c r="P1297" i="1"/>
  <c r="Q1297" i="1"/>
  <c r="R1297" i="1"/>
  <c r="M1298" i="1"/>
  <c r="O1298" i="1"/>
  <c r="P1298" i="1"/>
  <c r="Q1298" i="1"/>
  <c r="R1298" i="1"/>
  <c r="M1299" i="1"/>
  <c r="O1299" i="1"/>
  <c r="P1299" i="1"/>
  <c r="Q1299" i="1"/>
  <c r="R1299" i="1"/>
  <c r="M1300" i="1"/>
  <c r="O1300" i="1"/>
  <c r="P1300" i="1"/>
  <c r="Q1300" i="1"/>
  <c r="R1300" i="1"/>
  <c r="M1301" i="1"/>
  <c r="O1301" i="1"/>
  <c r="P1301" i="1"/>
  <c r="Q1301" i="1"/>
  <c r="R1301" i="1"/>
  <c r="M1302" i="1"/>
  <c r="O1302" i="1"/>
  <c r="P1302" i="1"/>
  <c r="Q1302" i="1"/>
  <c r="R1302" i="1"/>
  <c r="M1303" i="1"/>
  <c r="O1303" i="1"/>
  <c r="P1303" i="1"/>
  <c r="Q1303" i="1"/>
  <c r="R1303" i="1"/>
  <c r="M1304" i="1"/>
  <c r="O1304" i="1"/>
  <c r="P1304" i="1"/>
  <c r="Q1304" i="1"/>
  <c r="R1304" i="1"/>
  <c r="M1305" i="1"/>
  <c r="O1305" i="1"/>
  <c r="P1305" i="1"/>
  <c r="Q1305" i="1"/>
  <c r="R1305" i="1"/>
  <c r="M1306" i="1"/>
  <c r="O1306" i="1"/>
  <c r="P1306" i="1"/>
  <c r="Q1306" i="1"/>
  <c r="R1306" i="1"/>
  <c r="M1307" i="1"/>
  <c r="O1307" i="1"/>
  <c r="P1307" i="1"/>
  <c r="Q1307" i="1"/>
  <c r="R1307" i="1"/>
  <c r="M1308" i="1"/>
  <c r="O1308" i="1"/>
  <c r="P1308" i="1"/>
  <c r="Q1308" i="1"/>
  <c r="R1308" i="1"/>
  <c r="M1309" i="1"/>
  <c r="O1309" i="1"/>
  <c r="P1309" i="1"/>
  <c r="Q1309" i="1"/>
  <c r="R1309" i="1"/>
  <c r="M1310" i="1"/>
  <c r="O1310" i="1"/>
  <c r="P1310" i="1"/>
  <c r="Q1310" i="1"/>
  <c r="R1310" i="1"/>
  <c r="M1311" i="1"/>
  <c r="O1311" i="1"/>
  <c r="P1311" i="1"/>
  <c r="Q1311" i="1"/>
  <c r="R1311" i="1"/>
  <c r="M1312" i="1"/>
  <c r="O1312" i="1"/>
  <c r="P1312" i="1"/>
  <c r="Q1312" i="1"/>
  <c r="R1312" i="1"/>
  <c r="M1313" i="1"/>
  <c r="O1313" i="1"/>
  <c r="P1313" i="1"/>
  <c r="Q1313" i="1"/>
  <c r="R1313" i="1"/>
  <c r="M1314" i="1"/>
  <c r="O1314" i="1"/>
  <c r="P1314" i="1"/>
  <c r="Q1314" i="1"/>
  <c r="R1314" i="1"/>
  <c r="M1315" i="1"/>
  <c r="O1315" i="1"/>
  <c r="P1315" i="1"/>
  <c r="Q1315" i="1"/>
  <c r="R1315" i="1"/>
  <c r="M1316" i="1"/>
  <c r="O1316" i="1"/>
  <c r="P1316" i="1"/>
  <c r="Q1316" i="1"/>
  <c r="R1316" i="1"/>
  <c r="M1317" i="1"/>
  <c r="O1317" i="1"/>
  <c r="P1317" i="1"/>
  <c r="Q1317" i="1"/>
  <c r="R1317" i="1"/>
  <c r="M1318" i="1"/>
  <c r="O1318" i="1"/>
  <c r="P1318" i="1"/>
  <c r="Q1318" i="1"/>
  <c r="R1318" i="1"/>
  <c r="M1319" i="1"/>
  <c r="O1319" i="1"/>
  <c r="P1319" i="1"/>
  <c r="Q1319" i="1"/>
  <c r="R1319" i="1"/>
  <c r="M1320" i="1"/>
  <c r="O1320" i="1"/>
  <c r="P1320" i="1"/>
  <c r="Q1320" i="1"/>
  <c r="R1320" i="1"/>
  <c r="M1321" i="1"/>
  <c r="O1321" i="1"/>
  <c r="P1321" i="1"/>
  <c r="Q1321" i="1"/>
  <c r="R1321" i="1"/>
  <c r="M1322" i="1"/>
  <c r="O1322" i="1"/>
  <c r="P1322" i="1"/>
  <c r="Q1322" i="1"/>
  <c r="R1322" i="1"/>
  <c r="M1323" i="1"/>
  <c r="O1323" i="1"/>
  <c r="P1323" i="1"/>
  <c r="Q1323" i="1"/>
  <c r="R1323" i="1"/>
  <c r="M1324" i="1"/>
  <c r="O1324" i="1"/>
  <c r="P1324" i="1"/>
  <c r="Q1324" i="1"/>
  <c r="R1324" i="1"/>
  <c r="M1325" i="1"/>
  <c r="O1325" i="1"/>
  <c r="P1325" i="1"/>
  <c r="Q1325" i="1"/>
  <c r="R1325" i="1"/>
  <c r="M1326" i="1"/>
  <c r="O1326" i="1"/>
  <c r="P1326" i="1"/>
  <c r="Q1326" i="1"/>
  <c r="R1326" i="1"/>
  <c r="M1327" i="1"/>
  <c r="O1327" i="1"/>
  <c r="P1327" i="1"/>
  <c r="Q1327" i="1"/>
  <c r="R1327" i="1"/>
  <c r="M1328" i="1"/>
  <c r="O1328" i="1"/>
  <c r="P1328" i="1"/>
  <c r="Q1328" i="1"/>
  <c r="R1328" i="1"/>
  <c r="M1329" i="1"/>
  <c r="O1329" i="1"/>
  <c r="P1329" i="1"/>
  <c r="Q1329" i="1"/>
  <c r="R1329" i="1"/>
  <c r="M1330" i="1"/>
  <c r="O1330" i="1"/>
  <c r="P1330" i="1"/>
  <c r="Q1330" i="1"/>
  <c r="R1330" i="1"/>
  <c r="M1331" i="1"/>
  <c r="O1331" i="1"/>
  <c r="P1331" i="1"/>
  <c r="Q1331" i="1"/>
  <c r="R1331" i="1"/>
  <c r="M1332" i="1"/>
  <c r="O1332" i="1"/>
  <c r="P1332" i="1"/>
  <c r="Q1332" i="1"/>
  <c r="R1332" i="1"/>
  <c r="M1333" i="1"/>
  <c r="O1333" i="1"/>
  <c r="P1333" i="1"/>
  <c r="Q1333" i="1"/>
  <c r="R1333" i="1"/>
  <c r="M1334" i="1"/>
  <c r="O1334" i="1"/>
  <c r="P1334" i="1"/>
  <c r="Q1334" i="1"/>
  <c r="R1334" i="1"/>
  <c r="M1335" i="1"/>
  <c r="O1335" i="1"/>
  <c r="P1335" i="1"/>
  <c r="Q1335" i="1"/>
  <c r="R1335" i="1"/>
  <c r="M1336" i="1"/>
  <c r="O1336" i="1"/>
  <c r="P1336" i="1"/>
  <c r="Q1336" i="1"/>
  <c r="R1336" i="1"/>
  <c r="M1337" i="1"/>
  <c r="O1337" i="1"/>
  <c r="P1337" i="1"/>
  <c r="Q1337" i="1"/>
  <c r="R1337" i="1"/>
  <c r="M1338" i="1"/>
  <c r="O1338" i="1"/>
  <c r="P1338" i="1"/>
  <c r="Q1338" i="1"/>
  <c r="R1338" i="1"/>
  <c r="M1339" i="1"/>
  <c r="O1339" i="1"/>
  <c r="P1339" i="1"/>
  <c r="Q1339" i="1"/>
  <c r="R1339" i="1"/>
  <c r="M1340" i="1"/>
  <c r="O1340" i="1"/>
  <c r="P1340" i="1"/>
  <c r="Q1340" i="1"/>
  <c r="R1340" i="1"/>
  <c r="M1341" i="1"/>
  <c r="O1341" i="1"/>
  <c r="P1341" i="1"/>
  <c r="Q1341" i="1"/>
  <c r="R1341" i="1"/>
  <c r="M1342" i="1"/>
  <c r="O1342" i="1"/>
  <c r="P1342" i="1"/>
  <c r="Q1342" i="1"/>
  <c r="R1342" i="1"/>
  <c r="M1343" i="1"/>
  <c r="O1343" i="1"/>
  <c r="P1343" i="1"/>
  <c r="Q1343" i="1"/>
  <c r="R1343" i="1"/>
  <c r="M1344" i="1"/>
  <c r="O1344" i="1"/>
  <c r="P1344" i="1"/>
  <c r="Q1344" i="1"/>
  <c r="R1344" i="1"/>
  <c r="M1345" i="1"/>
  <c r="O1345" i="1"/>
  <c r="P1345" i="1"/>
  <c r="Q1345" i="1"/>
  <c r="R1345" i="1"/>
  <c r="M1346" i="1"/>
  <c r="O1346" i="1"/>
  <c r="P1346" i="1"/>
  <c r="Q1346" i="1"/>
  <c r="R1346" i="1"/>
  <c r="M1347" i="1"/>
  <c r="O1347" i="1"/>
  <c r="P1347" i="1"/>
  <c r="Q1347" i="1"/>
  <c r="R1347" i="1"/>
  <c r="M1348" i="1"/>
  <c r="O1348" i="1"/>
  <c r="P1348" i="1"/>
  <c r="Q1348" i="1"/>
  <c r="R1348" i="1"/>
  <c r="M1349" i="1"/>
  <c r="O1349" i="1"/>
  <c r="P1349" i="1"/>
  <c r="Q1349" i="1"/>
  <c r="R1349" i="1"/>
  <c r="M1350" i="1"/>
  <c r="O1350" i="1"/>
  <c r="P1350" i="1"/>
  <c r="Q1350" i="1"/>
  <c r="R1350" i="1"/>
  <c r="M1351" i="1"/>
  <c r="O1351" i="1"/>
  <c r="P1351" i="1"/>
  <c r="Q1351" i="1"/>
  <c r="R1351" i="1"/>
  <c r="M1352" i="1"/>
  <c r="O1352" i="1"/>
  <c r="P1352" i="1"/>
  <c r="Q1352" i="1"/>
  <c r="R1352" i="1"/>
  <c r="M1353" i="1"/>
  <c r="O1353" i="1"/>
  <c r="P1353" i="1"/>
  <c r="Q1353" i="1"/>
  <c r="R1353" i="1"/>
  <c r="M1354" i="1"/>
  <c r="O1354" i="1"/>
  <c r="P1354" i="1"/>
  <c r="Q1354" i="1"/>
  <c r="R1354" i="1"/>
  <c r="M1355" i="1"/>
  <c r="O1355" i="1"/>
  <c r="P1355" i="1"/>
  <c r="Q1355" i="1"/>
  <c r="R1355" i="1"/>
  <c r="M1356" i="1"/>
  <c r="O1356" i="1"/>
  <c r="P1356" i="1"/>
  <c r="Q1356" i="1"/>
  <c r="R1356" i="1"/>
  <c r="M1357" i="1"/>
  <c r="O1357" i="1"/>
  <c r="P1357" i="1"/>
  <c r="Q1357" i="1"/>
  <c r="R1357" i="1"/>
  <c r="M1358" i="1"/>
  <c r="O1358" i="1"/>
  <c r="P1358" i="1"/>
  <c r="Q1358" i="1"/>
  <c r="R1358" i="1"/>
  <c r="M1359" i="1"/>
  <c r="O1359" i="1"/>
  <c r="P1359" i="1"/>
  <c r="Q1359" i="1"/>
  <c r="R1359" i="1"/>
  <c r="M1360" i="1"/>
  <c r="O1360" i="1"/>
  <c r="P1360" i="1"/>
  <c r="Q1360" i="1"/>
  <c r="R1360" i="1"/>
  <c r="M1361" i="1"/>
  <c r="O1361" i="1"/>
  <c r="P1361" i="1"/>
  <c r="Q1361" i="1"/>
  <c r="R1361" i="1"/>
  <c r="M1362" i="1"/>
  <c r="O1362" i="1"/>
  <c r="P1362" i="1"/>
  <c r="Q1362" i="1"/>
  <c r="R1362" i="1"/>
  <c r="M1363" i="1"/>
  <c r="O1363" i="1"/>
  <c r="P1363" i="1"/>
  <c r="Q1363" i="1"/>
  <c r="R1363" i="1"/>
  <c r="M1364" i="1"/>
  <c r="O1364" i="1"/>
  <c r="P1364" i="1"/>
  <c r="Q1364" i="1"/>
  <c r="R1364" i="1"/>
  <c r="M1365" i="1"/>
  <c r="O1365" i="1"/>
  <c r="P1365" i="1"/>
  <c r="Q1365" i="1"/>
  <c r="R1365" i="1"/>
  <c r="M1366" i="1"/>
  <c r="O1366" i="1"/>
  <c r="P1366" i="1"/>
  <c r="Q1366" i="1"/>
  <c r="R1366" i="1"/>
  <c r="M1367" i="1"/>
  <c r="O1367" i="1"/>
  <c r="P1367" i="1"/>
  <c r="Q1367" i="1"/>
  <c r="R1367" i="1"/>
  <c r="M1368" i="1"/>
  <c r="O1368" i="1"/>
  <c r="P1368" i="1"/>
  <c r="Q1368" i="1"/>
  <c r="R1368" i="1"/>
  <c r="M1369" i="1"/>
  <c r="O1369" i="1"/>
  <c r="P1369" i="1"/>
  <c r="Q1369" i="1"/>
  <c r="R1369" i="1"/>
  <c r="M1370" i="1"/>
  <c r="O1370" i="1"/>
  <c r="P1370" i="1"/>
  <c r="Q1370" i="1"/>
  <c r="R1370" i="1"/>
  <c r="M1371" i="1"/>
  <c r="O1371" i="1"/>
  <c r="P1371" i="1"/>
  <c r="Q1371" i="1"/>
  <c r="R1371" i="1"/>
  <c r="M1372" i="1"/>
  <c r="O1372" i="1"/>
  <c r="P1372" i="1"/>
  <c r="Q1372" i="1"/>
  <c r="R1372" i="1"/>
  <c r="M1373" i="1"/>
  <c r="O1373" i="1"/>
  <c r="P1373" i="1"/>
  <c r="Q1373" i="1"/>
  <c r="R1373" i="1"/>
  <c r="M1374" i="1"/>
  <c r="O1374" i="1"/>
  <c r="P1374" i="1"/>
  <c r="Q1374" i="1"/>
  <c r="R1374" i="1"/>
  <c r="M1375" i="1"/>
  <c r="O1375" i="1"/>
  <c r="P1375" i="1"/>
  <c r="Q1375" i="1"/>
  <c r="R1375" i="1"/>
  <c r="M1376" i="1"/>
  <c r="O1376" i="1"/>
  <c r="P1376" i="1"/>
  <c r="Q1376" i="1"/>
  <c r="R1376" i="1"/>
  <c r="M1377" i="1"/>
  <c r="O1377" i="1"/>
  <c r="P1377" i="1"/>
  <c r="Q1377" i="1"/>
  <c r="R1377" i="1"/>
  <c r="M1378" i="1"/>
  <c r="O1378" i="1"/>
  <c r="P1378" i="1"/>
  <c r="Q1378" i="1"/>
  <c r="R1378" i="1"/>
  <c r="M1379" i="1"/>
  <c r="O1379" i="1"/>
  <c r="P1379" i="1"/>
  <c r="Q1379" i="1"/>
  <c r="R1379" i="1"/>
  <c r="M1380" i="1"/>
  <c r="O1380" i="1"/>
  <c r="P1380" i="1"/>
  <c r="Q1380" i="1"/>
  <c r="R1380" i="1"/>
  <c r="M1381" i="1"/>
  <c r="O1381" i="1"/>
  <c r="P1381" i="1"/>
  <c r="Q1381" i="1"/>
  <c r="R1381" i="1"/>
  <c r="M1382" i="1"/>
  <c r="O1382" i="1"/>
  <c r="P1382" i="1"/>
  <c r="Q1382" i="1"/>
  <c r="R1382" i="1"/>
  <c r="M1383" i="1"/>
  <c r="O1383" i="1"/>
  <c r="P1383" i="1"/>
  <c r="Q1383" i="1"/>
  <c r="R1383" i="1"/>
  <c r="M1384" i="1"/>
  <c r="O1384" i="1"/>
  <c r="P1384" i="1"/>
  <c r="Q1384" i="1"/>
  <c r="R1384" i="1"/>
  <c r="M1385" i="1"/>
  <c r="O1385" i="1"/>
  <c r="P1385" i="1"/>
  <c r="Q1385" i="1"/>
  <c r="R1385" i="1"/>
  <c r="M1386" i="1"/>
  <c r="O1386" i="1"/>
  <c r="P1386" i="1"/>
  <c r="Q1386" i="1"/>
  <c r="R1386" i="1"/>
  <c r="M1387" i="1"/>
  <c r="O1387" i="1"/>
  <c r="P1387" i="1"/>
  <c r="Q1387" i="1"/>
  <c r="R1387" i="1"/>
  <c r="M1388" i="1"/>
  <c r="O1388" i="1"/>
  <c r="P1388" i="1"/>
  <c r="Q1388" i="1"/>
  <c r="R1388" i="1"/>
  <c r="M1389" i="1"/>
  <c r="O1389" i="1"/>
  <c r="P1389" i="1"/>
  <c r="Q1389" i="1"/>
  <c r="R1389" i="1"/>
  <c r="M1390" i="1"/>
  <c r="O1390" i="1"/>
  <c r="P1390" i="1"/>
  <c r="Q1390" i="1"/>
  <c r="R1390" i="1"/>
  <c r="M1391" i="1"/>
  <c r="O1391" i="1"/>
  <c r="P1391" i="1"/>
  <c r="Q1391" i="1"/>
  <c r="R1391" i="1"/>
  <c r="M1392" i="1"/>
  <c r="O1392" i="1"/>
  <c r="P1392" i="1"/>
  <c r="Q1392" i="1"/>
  <c r="R1392" i="1"/>
  <c r="M1393" i="1"/>
  <c r="O1393" i="1"/>
  <c r="P1393" i="1"/>
  <c r="Q1393" i="1"/>
  <c r="R1393" i="1"/>
  <c r="M1394" i="1"/>
  <c r="O1394" i="1"/>
  <c r="P1394" i="1"/>
  <c r="Q1394" i="1"/>
  <c r="R1394" i="1"/>
  <c r="M1395" i="1"/>
  <c r="O1395" i="1"/>
  <c r="P1395" i="1"/>
  <c r="Q1395" i="1"/>
  <c r="R1395" i="1"/>
  <c r="M1396" i="1"/>
  <c r="O1396" i="1"/>
  <c r="P1396" i="1"/>
  <c r="Q1396" i="1"/>
  <c r="R1396" i="1"/>
  <c r="M1397" i="1"/>
  <c r="O1397" i="1"/>
  <c r="P1397" i="1"/>
  <c r="Q1397" i="1"/>
  <c r="R1397" i="1"/>
  <c r="M1398" i="1"/>
  <c r="O1398" i="1"/>
  <c r="P1398" i="1"/>
  <c r="Q1398" i="1"/>
  <c r="R1398" i="1"/>
  <c r="M1399" i="1"/>
  <c r="O1399" i="1"/>
  <c r="P1399" i="1"/>
  <c r="Q1399" i="1"/>
  <c r="R1399" i="1"/>
  <c r="M1400" i="1"/>
  <c r="O1400" i="1"/>
  <c r="P1400" i="1"/>
  <c r="Q1400" i="1"/>
  <c r="R1400" i="1"/>
  <c r="M1401" i="1"/>
  <c r="O1401" i="1"/>
  <c r="P1401" i="1"/>
  <c r="Q1401" i="1"/>
  <c r="R1401" i="1"/>
  <c r="M1402" i="1"/>
  <c r="O1402" i="1"/>
  <c r="P1402" i="1"/>
  <c r="Q1402" i="1"/>
  <c r="R1402" i="1"/>
  <c r="M1403" i="1"/>
  <c r="O1403" i="1"/>
  <c r="P1403" i="1"/>
  <c r="Q1403" i="1"/>
  <c r="R1403" i="1"/>
  <c r="M1404" i="1"/>
  <c r="O1404" i="1"/>
  <c r="P1404" i="1"/>
  <c r="Q1404" i="1"/>
  <c r="R1404" i="1"/>
  <c r="M1405" i="1"/>
  <c r="O1405" i="1"/>
  <c r="P1405" i="1"/>
  <c r="Q1405" i="1"/>
  <c r="R1405" i="1"/>
  <c r="M1406" i="1"/>
  <c r="O1406" i="1"/>
  <c r="P1406" i="1"/>
  <c r="Q1406" i="1"/>
  <c r="R1406" i="1"/>
  <c r="M1407" i="1"/>
  <c r="O1407" i="1"/>
  <c r="P1407" i="1"/>
  <c r="Q1407" i="1"/>
  <c r="R1407" i="1"/>
  <c r="M1408" i="1"/>
  <c r="O1408" i="1"/>
  <c r="P1408" i="1"/>
  <c r="Q1408" i="1"/>
  <c r="R1408" i="1"/>
  <c r="M1409" i="1"/>
  <c r="O1409" i="1"/>
  <c r="P1409" i="1"/>
  <c r="Q1409" i="1"/>
  <c r="R1409" i="1"/>
  <c r="M1410" i="1"/>
  <c r="O1410" i="1"/>
  <c r="P1410" i="1"/>
  <c r="Q1410" i="1"/>
  <c r="R1410" i="1"/>
  <c r="M1411" i="1"/>
  <c r="O1411" i="1"/>
  <c r="P1411" i="1"/>
  <c r="Q1411" i="1"/>
  <c r="R1411" i="1"/>
  <c r="M1412" i="1"/>
  <c r="O1412" i="1"/>
  <c r="P1412" i="1"/>
  <c r="Q1412" i="1"/>
  <c r="R1412" i="1"/>
  <c r="M1413" i="1"/>
  <c r="O1413" i="1"/>
  <c r="P1413" i="1"/>
  <c r="Q1413" i="1"/>
  <c r="R1413" i="1"/>
  <c r="M1414" i="1"/>
  <c r="O1414" i="1"/>
  <c r="P1414" i="1"/>
  <c r="Q1414" i="1"/>
  <c r="R1414" i="1"/>
  <c r="M1415" i="1"/>
  <c r="O1415" i="1"/>
  <c r="P1415" i="1"/>
  <c r="Q1415" i="1"/>
  <c r="R1415" i="1"/>
  <c r="M1416" i="1"/>
  <c r="O1416" i="1"/>
  <c r="P1416" i="1"/>
  <c r="Q1416" i="1"/>
  <c r="R1416" i="1"/>
  <c r="M1417" i="1"/>
  <c r="O1417" i="1"/>
  <c r="P1417" i="1"/>
  <c r="Q1417" i="1"/>
  <c r="R1417" i="1"/>
  <c r="M1418" i="1"/>
  <c r="O1418" i="1"/>
  <c r="P1418" i="1"/>
  <c r="Q1418" i="1"/>
  <c r="R1418" i="1"/>
  <c r="M1419" i="1"/>
  <c r="O1419" i="1"/>
  <c r="P1419" i="1"/>
  <c r="Q1419" i="1"/>
  <c r="R1419" i="1"/>
  <c r="M1420" i="1"/>
  <c r="O1420" i="1"/>
  <c r="P1420" i="1"/>
  <c r="Q1420" i="1"/>
  <c r="R1420" i="1"/>
  <c r="M1421" i="1"/>
  <c r="O1421" i="1"/>
  <c r="P1421" i="1"/>
  <c r="Q1421" i="1"/>
  <c r="R1421" i="1"/>
  <c r="M1422" i="1"/>
  <c r="O1422" i="1"/>
  <c r="P1422" i="1"/>
  <c r="Q1422" i="1"/>
  <c r="R1422" i="1"/>
  <c r="M1423" i="1"/>
  <c r="O1423" i="1"/>
  <c r="P1423" i="1"/>
  <c r="Q1423" i="1"/>
  <c r="R1423" i="1"/>
  <c r="M1424" i="1"/>
  <c r="O1424" i="1"/>
  <c r="P1424" i="1"/>
  <c r="Q1424" i="1"/>
  <c r="R1424" i="1"/>
  <c r="M1425" i="1"/>
  <c r="O1425" i="1"/>
  <c r="P1425" i="1"/>
  <c r="Q1425" i="1"/>
  <c r="R1425" i="1"/>
  <c r="M1426" i="1"/>
  <c r="O1426" i="1"/>
  <c r="P1426" i="1"/>
  <c r="Q1426" i="1"/>
  <c r="R1426" i="1"/>
  <c r="M1427" i="1"/>
  <c r="O1427" i="1"/>
  <c r="P1427" i="1"/>
  <c r="Q1427" i="1"/>
  <c r="R1427" i="1"/>
  <c r="M1428" i="1"/>
  <c r="O1428" i="1"/>
  <c r="P1428" i="1"/>
  <c r="Q1428" i="1"/>
  <c r="R1428" i="1"/>
  <c r="M1429" i="1"/>
  <c r="O1429" i="1"/>
  <c r="P1429" i="1"/>
  <c r="Q1429" i="1"/>
  <c r="R1429" i="1"/>
  <c r="M1430" i="1"/>
  <c r="O1430" i="1"/>
  <c r="P1430" i="1"/>
  <c r="Q1430" i="1"/>
  <c r="R1430" i="1"/>
  <c r="M1431" i="1"/>
  <c r="O1431" i="1"/>
  <c r="P1431" i="1"/>
  <c r="Q1431" i="1"/>
  <c r="R1431" i="1"/>
  <c r="M1432" i="1"/>
  <c r="O1432" i="1"/>
  <c r="P1432" i="1"/>
  <c r="Q1432" i="1"/>
  <c r="R1432" i="1"/>
  <c r="M1433" i="1"/>
  <c r="O1433" i="1"/>
  <c r="P1433" i="1"/>
  <c r="Q1433" i="1"/>
  <c r="R1433" i="1"/>
  <c r="M1434" i="1"/>
  <c r="O1434" i="1"/>
  <c r="P1434" i="1"/>
  <c r="Q1434" i="1"/>
  <c r="R1434" i="1"/>
  <c r="M1435" i="1"/>
  <c r="O1435" i="1"/>
  <c r="P1435" i="1"/>
  <c r="Q1435" i="1"/>
  <c r="R1435" i="1"/>
  <c r="M1436" i="1"/>
  <c r="O1436" i="1"/>
  <c r="P1436" i="1"/>
  <c r="Q1436" i="1"/>
  <c r="R1436" i="1"/>
  <c r="M1437" i="1"/>
  <c r="O1437" i="1"/>
  <c r="P1437" i="1"/>
  <c r="Q1437" i="1"/>
  <c r="R1437" i="1"/>
  <c r="M1438" i="1"/>
  <c r="O1438" i="1"/>
  <c r="P1438" i="1"/>
  <c r="Q1438" i="1"/>
  <c r="R1438" i="1"/>
  <c r="M1439" i="1"/>
  <c r="O1439" i="1"/>
  <c r="P1439" i="1"/>
  <c r="Q1439" i="1"/>
  <c r="R1439" i="1"/>
  <c r="M1440" i="1"/>
  <c r="O1440" i="1"/>
  <c r="P1440" i="1"/>
  <c r="Q1440" i="1"/>
  <c r="R1440" i="1"/>
  <c r="M1441" i="1"/>
  <c r="O1441" i="1"/>
  <c r="P1441" i="1"/>
  <c r="Q1441" i="1"/>
  <c r="R1441" i="1"/>
  <c r="M1442" i="1"/>
  <c r="O1442" i="1"/>
  <c r="P1442" i="1"/>
  <c r="Q1442" i="1"/>
  <c r="R1442" i="1"/>
  <c r="M1443" i="1"/>
  <c r="O1443" i="1"/>
  <c r="P1443" i="1"/>
  <c r="Q1443" i="1"/>
  <c r="R1443" i="1"/>
  <c r="M1444" i="1"/>
  <c r="O1444" i="1"/>
  <c r="P1444" i="1"/>
  <c r="Q1444" i="1"/>
  <c r="R1444" i="1"/>
  <c r="M1445" i="1"/>
  <c r="O1445" i="1"/>
  <c r="P1445" i="1"/>
  <c r="Q1445" i="1"/>
  <c r="R1445" i="1"/>
  <c r="M1446" i="1"/>
  <c r="O1446" i="1"/>
  <c r="P1446" i="1"/>
  <c r="Q1446" i="1"/>
  <c r="R1446" i="1"/>
  <c r="M1447" i="1"/>
  <c r="O1447" i="1"/>
  <c r="P1447" i="1"/>
  <c r="Q1447" i="1"/>
  <c r="R1447" i="1"/>
  <c r="M1448" i="1"/>
  <c r="O1448" i="1"/>
  <c r="P1448" i="1"/>
  <c r="Q1448" i="1"/>
  <c r="R1448" i="1"/>
  <c r="M1449" i="1"/>
  <c r="O1449" i="1"/>
  <c r="P1449" i="1"/>
  <c r="Q1449" i="1"/>
  <c r="R1449" i="1"/>
  <c r="M1450" i="1"/>
  <c r="O1450" i="1"/>
  <c r="P1450" i="1"/>
  <c r="Q1450" i="1"/>
  <c r="R1450" i="1"/>
  <c r="M1451" i="1"/>
  <c r="O1451" i="1"/>
  <c r="P1451" i="1"/>
  <c r="Q1451" i="1"/>
  <c r="R1451" i="1"/>
  <c r="M1452" i="1"/>
  <c r="O1452" i="1"/>
  <c r="P1452" i="1"/>
  <c r="Q1452" i="1"/>
  <c r="R1452" i="1"/>
  <c r="M1453" i="1"/>
  <c r="O1453" i="1"/>
  <c r="P1453" i="1"/>
  <c r="Q1453" i="1"/>
  <c r="R1453" i="1"/>
  <c r="M1454" i="1"/>
  <c r="O1454" i="1"/>
  <c r="P1454" i="1"/>
  <c r="Q1454" i="1"/>
  <c r="R1454" i="1"/>
  <c r="M1455" i="1"/>
  <c r="O1455" i="1"/>
  <c r="P1455" i="1"/>
  <c r="Q1455" i="1"/>
  <c r="R1455" i="1"/>
  <c r="M1456" i="1"/>
  <c r="O1456" i="1"/>
  <c r="P1456" i="1"/>
  <c r="Q1456" i="1"/>
  <c r="R1456" i="1"/>
  <c r="M1457" i="1"/>
  <c r="O1457" i="1"/>
  <c r="P1457" i="1"/>
  <c r="Q1457" i="1"/>
  <c r="R1457" i="1"/>
  <c r="M1458" i="1"/>
  <c r="O1458" i="1"/>
  <c r="P1458" i="1"/>
  <c r="Q1458" i="1"/>
  <c r="R1458" i="1"/>
  <c r="M1459" i="1"/>
  <c r="O1459" i="1"/>
  <c r="P1459" i="1"/>
  <c r="Q1459" i="1"/>
  <c r="R1459" i="1"/>
  <c r="M1460" i="1"/>
  <c r="O1460" i="1"/>
  <c r="P1460" i="1"/>
  <c r="Q1460" i="1"/>
  <c r="R1460" i="1"/>
  <c r="M1461" i="1"/>
  <c r="O1461" i="1"/>
  <c r="P1461" i="1"/>
  <c r="Q1461" i="1"/>
  <c r="R1461" i="1"/>
  <c r="M1462" i="1"/>
  <c r="O1462" i="1"/>
  <c r="P1462" i="1"/>
  <c r="Q1462" i="1"/>
  <c r="R1462" i="1"/>
  <c r="M1463" i="1"/>
  <c r="O1463" i="1"/>
  <c r="P1463" i="1"/>
  <c r="Q1463" i="1"/>
  <c r="R1463" i="1"/>
  <c r="M1464" i="1"/>
  <c r="O1464" i="1"/>
  <c r="P1464" i="1"/>
  <c r="Q1464" i="1"/>
  <c r="R1464" i="1"/>
  <c r="M1465" i="1"/>
  <c r="O1465" i="1"/>
  <c r="P1465" i="1"/>
  <c r="Q1465" i="1"/>
  <c r="R1465" i="1"/>
  <c r="M1466" i="1"/>
  <c r="O1466" i="1"/>
  <c r="P1466" i="1"/>
  <c r="Q1466" i="1"/>
  <c r="R1466" i="1"/>
  <c r="M1467" i="1"/>
  <c r="O1467" i="1"/>
  <c r="P1467" i="1"/>
  <c r="Q1467" i="1"/>
  <c r="R1467" i="1"/>
  <c r="M1468" i="1"/>
  <c r="O1468" i="1"/>
  <c r="P1468" i="1"/>
  <c r="Q1468" i="1"/>
  <c r="R1468" i="1"/>
  <c r="M1469" i="1"/>
  <c r="O1469" i="1"/>
  <c r="P1469" i="1"/>
  <c r="Q1469" i="1"/>
  <c r="R1469" i="1"/>
  <c r="M1470" i="1"/>
  <c r="O1470" i="1"/>
  <c r="P1470" i="1"/>
  <c r="Q1470" i="1"/>
  <c r="R1470" i="1"/>
  <c r="M1471" i="1"/>
  <c r="O1471" i="1"/>
  <c r="P1471" i="1"/>
  <c r="Q1471" i="1"/>
  <c r="R1471" i="1"/>
  <c r="M1472" i="1"/>
  <c r="O1472" i="1"/>
  <c r="P1472" i="1"/>
  <c r="Q1472" i="1"/>
  <c r="R1472" i="1"/>
  <c r="M1473" i="1"/>
  <c r="O1473" i="1"/>
  <c r="P1473" i="1"/>
  <c r="Q1473" i="1"/>
  <c r="R1473" i="1"/>
  <c r="M1474" i="1"/>
  <c r="O1474" i="1"/>
  <c r="P1474" i="1"/>
  <c r="Q1474" i="1"/>
  <c r="R1474" i="1"/>
  <c r="M1475" i="1"/>
  <c r="O1475" i="1"/>
  <c r="P1475" i="1"/>
  <c r="Q1475" i="1"/>
  <c r="R1475" i="1"/>
  <c r="M1476" i="1"/>
  <c r="O1476" i="1"/>
  <c r="P1476" i="1"/>
  <c r="Q1476" i="1"/>
  <c r="R1476" i="1"/>
  <c r="M1477" i="1"/>
  <c r="O1477" i="1"/>
  <c r="P1477" i="1"/>
  <c r="Q1477" i="1"/>
  <c r="R1477" i="1"/>
  <c r="M1478" i="1"/>
  <c r="O1478" i="1"/>
  <c r="P1478" i="1"/>
  <c r="Q1478" i="1"/>
  <c r="R1478" i="1"/>
  <c r="M1479" i="1"/>
  <c r="O1479" i="1"/>
  <c r="P1479" i="1"/>
  <c r="Q1479" i="1"/>
  <c r="R1479" i="1"/>
  <c r="M1480" i="1"/>
  <c r="O1480" i="1"/>
  <c r="P1480" i="1"/>
  <c r="Q1480" i="1"/>
  <c r="R1480" i="1"/>
  <c r="M1481" i="1"/>
  <c r="O1481" i="1"/>
  <c r="P1481" i="1"/>
  <c r="Q1481" i="1"/>
  <c r="R1481" i="1"/>
  <c r="M1482" i="1"/>
  <c r="O1482" i="1"/>
  <c r="P1482" i="1"/>
  <c r="Q1482" i="1"/>
  <c r="R1482" i="1"/>
  <c r="M1483" i="1"/>
  <c r="O1483" i="1"/>
  <c r="P1483" i="1"/>
  <c r="Q1483" i="1"/>
  <c r="R1483" i="1"/>
  <c r="M1484" i="1"/>
  <c r="O1484" i="1"/>
  <c r="P1484" i="1"/>
  <c r="Q1484" i="1"/>
  <c r="R1484" i="1"/>
  <c r="M1485" i="1"/>
  <c r="O1485" i="1"/>
  <c r="P1485" i="1"/>
  <c r="Q1485" i="1"/>
  <c r="R1485" i="1"/>
  <c r="E1486" i="1"/>
  <c r="R1486" i="1" s="1"/>
  <c r="M1486" i="1"/>
  <c r="O1486" i="1"/>
  <c r="P1486" i="1"/>
  <c r="Q1486" i="1"/>
  <c r="M1487" i="1"/>
  <c r="O1487" i="1"/>
  <c r="P1487" i="1"/>
  <c r="Q1487" i="1"/>
  <c r="R1487" i="1"/>
  <c r="M1488" i="1"/>
  <c r="O1488" i="1"/>
  <c r="P1488" i="1"/>
  <c r="Q1488" i="1"/>
  <c r="R1488" i="1"/>
  <c r="M1489" i="1"/>
  <c r="O1489" i="1"/>
  <c r="P1489" i="1"/>
  <c r="Q1489" i="1"/>
  <c r="R1489" i="1"/>
  <c r="M1490" i="1"/>
  <c r="O1490" i="1"/>
  <c r="P1490" i="1"/>
  <c r="Q1490" i="1"/>
  <c r="R1490" i="1"/>
  <c r="M1491" i="1"/>
  <c r="O1491" i="1"/>
  <c r="P1491" i="1"/>
  <c r="Q1491" i="1"/>
  <c r="R1491" i="1"/>
  <c r="M1492" i="1"/>
  <c r="O1492" i="1"/>
  <c r="P1492" i="1"/>
  <c r="Q1492" i="1"/>
  <c r="R1492" i="1"/>
  <c r="M1493" i="1"/>
  <c r="O1493" i="1"/>
  <c r="P1493" i="1"/>
  <c r="Q1493" i="1"/>
  <c r="R1493" i="1"/>
  <c r="M1494" i="1"/>
  <c r="O1494" i="1"/>
  <c r="P1494" i="1"/>
  <c r="Q1494" i="1"/>
  <c r="R1494" i="1"/>
  <c r="M1495" i="1"/>
  <c r="O1495" i="1"/>
  <c r="P1495" i="1"/>
  <c r="Q1495" i="1"/>
  <c r="R1495" i="1"/>
  <c r="M1496" i="1"/>
  <c r="O1496" i="1"/>
  <c r="P1496" i="1"/>
  <c r="Q1496" i="1"/>
  <c r="R1496" i="1"/>
  <c r="M1497" i="1"/>
  <c r="O1497" i="1"/>
  <c r="P1497" i="1"/>
  <c r="Q1497" i="1"/>
  <c r="R1497" i="1"/>
  <c r="M1498" i="1"/>
  <c r="O1498" i="1"/>
  <c r="P1498" i="1"/>
  <c r="Q1498" i="1"/>
  <c r="R1498" i="1"/>
  <c r="M1499" i="1"/>
  <c r="O1499" i="1"/>
  <c r="P1499" i="1"/>
  <c r="Q1499" i="1"/>
  <c r="R1499" i="1"/>
  <c r="M1500" i="1"/>
  <c r="O1500" i="1"/>
  <c r="P1500" i="1"/>
  <c r="Q1500" i="1"/>
  <c r="R1500" i="1"/>
  <c r="M1501" i="1"/>
  <c r="O1501" i="1"/>
  <c r="P1501" i="1"/>
  <c r="Q1501" i="1"/>
  <c r="R1501" i="1"/>
  <c r="M1502" i="1"/>
  <c r="O1502" i="1"/>
  <c r="P1502" i="1"/>
  <c r="Q1502" i="1"/>
  <c r="R1502" i="1"/>
  <c r="M1503" i="1"/>
  <c r="O1503" i="1"/>
  <c r="P1503" i="1"/>
  <c r="Q1503" i="1"/>
  <c r="R1503" i="1"/>
  <c r="M1504" i="1"/>
  <c r="O1504" i="1"/>
  <c r="P1504" i="1"/>
  <c r="Q1504" i="1"/>
  <c r="R1504" i="1"/>
  <c r="M1505" i="1"/>
  <c r="O1505" i="1"/>
  <c r="P1505" i="1"/>
  <c r="Q1505" i="1"/>
  <c r="R1505" i="1"/>
  <c r="M1506" i="1"/>
  <c r="O1506" i="1"/>
  <c r="P1506" i="1"/>
  <c r="Q1506" i="1"/>
  <c r="R1506" i="1"/>
  <c r="M1507" i="1"/>
  <c r="O1507" i="1"/>
  <c r="P1507" i="1"/>
  <c r="Q1507" i="1"/>
  <c r="R1507" i="1"/>
  <c r="M1508" i="1"/>
  <c r="O1508" i="1"/>
  <c r="P1508" i="1"/>
  <c r="Q1508" i="1"/>
  <c r="R1508" i="1"/>
  <c r="M1509" i="1"/>
  <c r="O1509" i="1"/>
  <c r="P1509" i="1"/>
  <c r="Q1509" i="1"/>
  <c r="R1509" i="1"/>
  <c r="M1510" i="1"/>
  <c r="O1510" i="1"/>
  <c r="P1510" i="1"/>
  <c r="Q1510" i="1"/>
  <c r="R1510" i="1"/>
  <c r="M1511" i="1"/>
  <c r="O1511" i="1"/>
  <c r="P1511" i="1"/>
  <c r="Q1511" i="1"/>
  <c r="R1511" i="1"/>
  <c r="M1512" i="1"/>
  <c r="O1512" i="1"/>
  <c r="P1512" i="1"/>
  <c r="Q1512" i="1"/>
  <c r="R1512" i="1"/>
  <c r="M1513" i="1"/>
  <c r="O1513" i="1"/>
  <c r="P1513" i="1"/>
  <c r="Q1513" i="1"/>
  <c r="R1513" i="1"/>
  <c r="M1514" i="1"/>
  <c r="O1514" i="1"/>
  <c r="P1514" i="1"/>
  <c r="Q1514" i="1"/>
  <c r="R1514" i="1"/>
  <c r="M1515" i="1"/>
  <c r="O1515" i="1"/>
  <c r="P1515" i="1"/>
  <c r="Q1515" i="1"/>
  <c r="R1515" i="1"/>
  <c r="M1516" i="1"/>
  <c r="O1516" i="1"/>
  <c r="P1516" i="1"/>
  <c r="Q1516" i="1"/>
  <c r="R1516" i="1"/>
  <c r="M1517" i="1"/>
  <c r="O1517" i="1"/>
  <c r="P1517" i="1"/>
  <c r="Q1517" i="1"/>
  <c r="R1517" i="1"/>
  <c r="M1518" i="1"/>
  <c r="O1518" i="1"/>
  <c r="P1518" i="1"/>
  <c r="Q1518" i="1"/>
  <c r="R1518" i="1"/>
  <c r="M1519" i="1"/>
  <c r="O1519" i="1"/>
  <c r="P1519" i="1"/>
  <c r="Q1519" i="1"/>
  <c r="R1519" i="1"/>
  <c r="M1520" i="1"/>
  <c r="O1520" i="1"/>
  <c r="P1520" i="1"/>
  <c r="Q1520" i="1"/>
  <c r="R1520" i="1"/>
  <c r="M1521" i="1"/>
  <c r="O1521" i="1"/>
  <c r="P1521" i="1"/>
  <c r="Q1521" i="1"/>
  <c r="R1521" i="1"/>
  <c r="M1522" i="1"/>
  <c r="O1522" i="1"/>
  <c r="P1522" i="1"/>
  <c r="Q1522" i="1"/>
  <c r="R1522" i="1"/>
  <c r="M1523" i="1"/>
  <c r="O1523" i="1"/>
  <c r="P1523" i="1"/>
  <c r="Q1523" i="1"/>
  <c r="R1523" i="1"/>
  <c r="M1524" i="1"/>
  <c r="O1524" i="1"/>
  <c r="P1524" i="1"/>
  <c r="Q1524" i="1"/>
  <c r="R1524" i="1"/>
  <c r="M1525" i="1"/>
  <c r="O1525" i="1"/>
  <c r="P1525" i="1"/>
  <c r="Q1525" i="1"/>
  <c r="R1525" i="1"/>
  <c r="M1526" i="1"/>
  <c r="O1526" i="1"/>
  <c r="P1526" i="1"/>
  <c r="Q1526" i="1"/>
  <c r="R1526" i="1"/>
  <c r="M1527" i="1"/>
  <c r="O1527" i="1"/>
  <c r="P1527" i="1"/>
  <c r="Q1527" i="1"/>
  <c r="R1527" i="1"/>
  <c r="M1528" i="1"/>
  <c r="O1528" i="1"/>
  <c r="P1528" i="1"/>
  <c r="Q1528" i="1"/>
  <c r="R1528" i="1"/>
  <c r="M1529" i="1"/>
  <c r="O1529" i="1"/>
  <c r="P1529" i="1"/>
  <c r="Q1529" i="1"/>
  <c r="R1529" i="1"/>
  <c r="M1530" i="1"/>
  <c r="O1530" i="1"/>
  <c r="P1530" i="1"/>
  <c r="Q1530" i="1"/>
  <c r="R1530" i="1"/>
  <c r="M1531" i="1"/>
  <c r="O1531" i="1"/>
  <c r="P1531" i="1"/>
  <c r="Q1531" i="1"/>
  <c r="R1531" i="1"/>
  <c r="M1532" i="1"/>
  <c r="O1532" i="1"/>
  <c r="P1532" i="1"/>
  <c r="Q1532" i="1"/>
  <c r="R1532" i="1"/>
  <c r="M1533" i="1"/>
  <c r="O1533" i="1"/>
  <c r="P1533" i="1"/>
  <c r="Q1533" i="1"/>
  <c r="R1533" i="1"/>
  <c r="M1534" i="1"/>
  <c r="O1534" i="1"/>
  <c r="P1534" i="1"/>
  <c r="Q1534" i="1"/>
  <c r="R1534" i="1"/>
  <c r="M1535" i="1"/>
  <c r="O1535" i="1"/>
  <c r="P1535" i="1"/>
  <c r="Q1535" i="1"/>
  <c r="R1535" i="1"/>
  <c r="M1536" i="1"/>
  <c r="O1536" i="1"/>
  <c r="P1536" i="1"/>
  <c r="Q1536" i="1"/>
  <c r="R1536" i="1"/>
  <c r="M1537" i="1"/>
  <c r="O1537" i="1"/>
  <c r="P1537" i="1"/>
  <c r="Q1537" i="1"/>
  <c r="R1537" i="1"/>
  <c r="M1538" i="1"/>
  <c r="O1538" i="1"/>
  <c r="P1538" i="1"/>
  <c r="Q1538" i="1"/>
  <c r="R1538" i="1"/>
  <c r="M1539" i="1"/>
  <c r="O1539" i="1"/>
  <c r="P1539" i="1"/>
  <c r="Q1539" i="1"/>
  <c r="R1539" i="1"/>
  <c r="M1540" i="1"/>
  <c r="O1540" i="1"/>
  <c r="P1540" i="1"/>
  <c r="Q1540" i="1"/>
  <c r="R1540" i="1"/>
  <c r="M1541" i="1"/>
  <c r="O1541" i="1"/>
  <c r="P1541" i="1"/>
  <c r="Q1541" i="1"/>
  <c r="R1541" i="1"/>
  <c r="M1542" i="1"/>
  <c r="O1542" i="1"/>
  <c r="P1542" i="1"/>
  <c r="Q1542" i="1"/>
  <c r="R1542" i="1"/>
  <c r="M1543" i="1"/>
  <c r="O1543" i="1"/>
  <c r="P1543" i="1"/>
  <c r="Q1543" i="1"/>
  <c r="R1543" i="1"/>
  <c r="M1544" i="1"/>
  <c r="O1544" i="1"/>
  <c r="P1544" i="1"/>
  <c r="Q1544" i="1"/>
  <c r="R1544" i="1"/>
  <c r="M1545" i="1"/>
  <c r="O1545" i="1"/>
  <c r="P1545" i="1"/>
  <c r="Q1545" i="1"/>
  <c r="R1545" i="1"/>
  <c r="M1546" i="1"/>
  <c r="O1546" i="1"/>
  <c r="P1546" i="1"/>
  <c r="Q1546" i="1"/>
  <c r="R1546" i="1"/>
  <c r="M1547" i="1"/>
  <c r="O1547" i="1"/>
  <c r="P1547" i="1"/>
  <c r="Q1547" i="1"/>
  <c r="R1547" i="1"/>
  <c r="M1548" i="1"/>
  <c r="O1548" i="1"/>
  <c r="P1548" i="1"/>
  <c r="Q1548" i="1"/>
  <c r="R1548" i="1"/>
  <c r="M1549" i="1"/>
  <c r="O1549" i="1"/>
  <c r="P1549" i="1"/>
  <c r="Q1549" i="1"/>
  <c r="R1549" i="1"/>
  <c r="M1550" i="1"/>
  <c r="O1550" i="1"/>
  <c r="P1550" i="1"/>
  <c r="Q1550" i="1"/>
  <c r="R1550" i="1"/>
  <c r="M1551" i="1"/>
  <c r="O1551" i="1"/>
  <c r="P1551" i="1"/>
  <c r="Q1551" i="1"/>
  <c r="R1551" i="1"/>
  <c r="M1552" i="1"/>
  <c r="O1552" i="1"/>
  <c r="P1552" i="1"/>
  <c r="Q1552" i="1"/>
  <c r="R1552" i="1"/>
  <c r="M1553" i="1"/>
  <c r="O1553" i="1"/>
  <c r="P1553" i="1"/>
  <c r="Q1553" i="1"/>
  <c r="R1553" i="1"/>
  <c r="M1554" i="1"/>
  <c r="O1554" i="1"/>
  <c r="P1554" i="1"/>
  <c r="Q1554" i="1"/>
  <c r="R1554" i="1"/>
  <c r="M1555" i="1"/>
  <c r="O1555" i="1"/>
  <c r="P1555" i="1"/>
  <c r="Q1555" i="1"/>
  <c r="R1555" i="1"/>
  <c r="M1556" i="1"/>
  <c r="O1556" i="1"/>
  <c r="P1556" i="1"/>
  <c r="Q1556" i="1"/>
  <c r="R1556" i="1"/>
  <c r="M1557" i="1"/>
  <c r="O1557" i="1"/>
  <c r="P1557" i="1"/>
  <c r="Q1557" i="1"/>
  <c r="R1557" i="1"/>
  <c r="M1558" i="1"/>
  <c r="O1558" i="1"/>
  <c r="P1558" i="1"/>
  <c r="Q1558" i="1"/>
  <c r="R1558" i="1"/>
  <c r="M1559" i="1"/>
  <c r="O1559" i="1"/>
  <c r="P1559" i="1"/>
  <c r="Q1559" i="1"/>
  <c r="R1559" i="1"/>
  <c r="M1560" i="1"/>
  <c r="O1560" i="1"/>
  <c r="P1560" i="1"/>
  <c r="Q1560" i="1"/>
  <c r="R1560" i="1"/>
  <c r="M1561" i="1"/>
  <c r="O1561" i="1"/>
  <c r="P1561" i="1"/>
  <c r="Q1561" i="1"/>
  <c r="R1561" i="1"/>
  <c r="M1562" i="1"/>
  <c r="O1562" i="1"/>
  <c r="P1562" i="1"/>
  <c r="Q1562" i="1"/>
  <c r="R1562" i="1"/>
  <c r="M1563" i="1"/>
  <c r="O1563" i="1"/>
  <c r="P1563" i="1"/>
  <c r="Q1563" i="1"/>
  <c r="R1563" i="1"/>
  <c r="M1564" i="1"/>
  <c r="O1564" i="1"/>
  <c r="P1564" i="1"/>
  <c r="Q1564" i="1"/>
  <c r="R1564" i="1"/>
  <c r="M1565" i="1"/>
  <c r="O1565" i="1"/>
  <c r="P1565" i="1"/>
  <c r="Q1565" i="1"/>
  <c r="R1565" i="1"/>
  <c r="M1566" i="1"/>
  <c r="O1566" i="1"/>
  <c r="P1566" i="1"/>
  <c r="Q1566" i="1"/>
  <c r="R1566" i="1"/>
  <c r="M1567" i="1"/>
  <c r="O1567" i="1"/>
  <c r="P1567" i="1"/>
  <c r="Q1567" i="1"/>
  <c r="R1567" i="1"/>
  <c r="M1568" i="1"/>
  <c r="O1568" i="1"/>
  <c r="P1568" i="1"/>
  <c r="Q1568" i="1"/>
  <c r="R1568" i="1"/>
  <c r="M1569" i="1"/>
  <c r="O1569" i="1"/>
  <c r="P1569" i="1"/>
  <c r="Q1569" i="1"/>
  <c r="R1569" i="1"/>
  <c r="M1570" i="1"/>
  <c r="O1570" i="1"/>
  <c r="P1570" i="1"/>
  <c r="Q1570" i="1"/>
  <c r="R1570" i="1"/>
  <c r="M1571" i="1"/>
  <c r="O1571" i="1"/>
  <c r="P1571" i="1"/>
  <c r="Q1571" i="1"/>
  <c r="R1571" i="1"/>
  <c r="M1572" i="1"/>
  <c r="O1572" i="1"/>
  <c r="P1572" i="1"/>
  <c r="Q1572" i="1"/>
  <c r="R1572" i="1"/>
  <c r="M1573" i="1"/>
  <c r="O1573" i="1"/>
  <c r="P1573" i="1"/>
  <c r="Q1573" i="1"/>
  <c r="R1573" i="1"/>
  <c r="M1574" i="1"/>
  <c r="O1574" i="1"/>
  <c r="P1574" i="1"/>
  <c r="Q1574" i="1"/>
  <c r="R1574" i="1"/>
  <c r="M1575" i="1"/>
  <c r="O1575" i="1"/>
  <c r="P1575" i="1"/>
  <c r="Q1575" i="1"/>
  <c r="R1575" i="1"/>
  <c r="M1576" i="1"/>
  <c r="O1576" i="1"/>
  <c r="P1576" i="1"/>
  <c r="Q1576" i="1"/>
  <c r="R1576" i="1"/>
  <c r="M1577" i="1"/>
  <c r="O1577" i="1"/>
  <c r="P1577" i="1"/>
  <c r="Q1577" i="1"/>
  <c r="R1577" i="1"/>
  <c r="M1578" i="1"/>
  <c r="O1578" i="1"/>
  <c r="P1578" i="1"/>
  <c r="Q1578" i="1"/>
  <c r="R1578" i="1"/>
  <c r="M1579" i="1"/>
  <c r="O1579" i="1"/>
  <c r="P1579" i="1"/>
  <c r="Q1579" i="1"/>
  <c r="R1579" i="1"/>
  <c r="M1580" i="1"/>
  <c r="O1580" i="1"/>
  <c r="P1580" i="1"/>
  <c r="Q1580" i="1"/>
  <c r="R1580" i="1"/>
  <c r="M1581" i="1"/>
  <c r="O1581" i="1"/>
  <c r="P1581" i="1"/>
  <c r="Q1581" i="1"/>
  <c r="R1581" i="1"/>
  <c r="M1582" i="1"/>
  <c r="O1582" i="1"/>
  <c r="P1582" i="1"/>
  <c r="Q1582" i="1"/>
  <c r="R1582" i="1"/>
  <c r="M1583" i="1"/>
  <c r="O1583" i="1"/>
  <c r="P1583" i="1"/>
  <c r="Q1583" i="1"/>
  <c r="R1583" i="1"/>
  <c r="M1584" i="1"/>
  <c r="O1584" i="1"/>
  <c r="P1584" i="1"/>
  <c r="Q1584" i="1"/>
  <c r="R1584" i="1"/>
  <c r="M1585" i="1"/>
  <c r="O1585" i="1"/>
  <c r="P1585" i="1"/>
  <c r="Q1585" i="1"/>
  <c r="R1585" i="1"/>
  <c r="M1586" i="1"/>
  <c r="O1586" i="1"/>
  <c r="P1586" i="1"/>
  <c r="Q1586" i="1"/>
  <c r="R1586" i="1"/>
  <c r="M1587" i="1"/>
  <c r="O1587" i="1"/>
  <c r="P1587" i="1"/>
  <c r="Q1587" i="1"/>
  <c r="R1587" i="1"/>
  <c r="M1588" i="1"/>
  <c r="O1588" i="1"/>
  <c r="P1588" i="1"/>
  <c r="Q1588" i="1"/>
  <c r="R1588" i="1"/>
  <c r="M1589" i="1"/>
  <c r="O1589" i="1"/>
  <c r="P1589" i="1"/>
  <c r="Q1589" i="1"/>
  <c r="R1589" i="1"/>
  <c r="M1590" i="1"/>
  <c r="O1590" i="1"/>
  <c r="P1590" i="1"/>
  <c r="Q1590" i="1"/>
  <c r="R1590" i="1"/>
  <c r="M1591" i="1"/>
  <c r="O1591" i="1"/>
  <c r="P1591" i="1"/>
  <c r="Q1591" i="1"/>
  <c r="R1591" i="1"/>
  <c r="M1592" i="1"/>
  <c r="O1592" i="1"/>
  <c r="P1592" i="1"/>
  <c r="Q1592" i="1"/>
  <c r="R1592" i="1"/>
  <c r="M1593" i="1"/>
  <c r="O1593" i="1"/>
  <c r="P1593" i="1"/>
  <c r="Q1593" i="1"/>
  <c r="R1593" i="1"/>
  <c r="M1594" i="1"/>
  <c r="O1594" i="1"/>
  <c r="P1594" i="1"/>
  <c r="Q1594" i="1"/>
  <c r="R1594" i="1"/>
  <c r="M1595" i="1"/>
  <c r="O1595" i="1"/>
  <c r="P1595" i="1"/>
  <c r="Q1595" i="1"/>
  <c r="R1595" i="1"/>
  <c r="M1596" i="1"/>
  <c r="O1596" i="1"/>
  <c r="P1596" i="1"/>
  <c r="Q1596" i="1"/>
  <c r="R1596" i="1"/>
  <c r="M1597" i="1"/>
  <c r="O1597" i="1"/>
  <c r="P1597" i="1"/>
  <c r="Q1597" i="1"/>
  <c r="R1597" i="1"/>
  <c r="M1598" i="1"/>
  <c r="O1598" i="1"/>
  <c r="P1598" i="1"/>
  <c r="Q1598" i="1"/>
  <c r="R1598" i="1"/>
  <c r="M1599" i="1"/>
  <c r="O1599" i="1"/>
  <c r="P1599" i="1"/>
  <c r="Q1599" i="1"/>
  <c r="R1599" i="1"/>
  <c r="M1600" i="1"/>
  <c r="O1600" i="1"/>
  <c r="P1600" i="1"/>
  <c r="Q1600" i="1"/>
  <c r="R1600" i="1"/>
  <c r="M1601" i="1"/>
  <c r="O1601" i="1"/>
  <c r="P1601" i="1"/>
  <c r="Q1601" i="1"/>
  <c r="R1601" i="1"/>
  <c r="M1602" i="1"/>
  <c r="O1602" i="1"/>
  <c r="P1602" i="1"/>
  <c r="Q1602" i="1"/>
  <c r="R1602" i="1"/>
  <c r="M1603" i="1"/>
  <c r="O1603" i="1"/>
  <c r="P1603" i="1"/>
  <c r="Q1603" i="1"/>
  <c r="R1603" i="1"/>
  <c r="M1604" i="1"/>
  <c r="O1604" i="1"/>
  <c r="P1604" i="1"/>
  <c r="Q1604" i="1"/>
  <c r="R1604" i="1"/>
  <c r="M1605" i="1"/>
  <c r="O1605" i="1"/>
  <c r="P1605" i="1"/>
  <c r="Q1605" i="1"/>
  <c r="R1605" i="1"/>
  <c r="M1606" i="1"/>
  <c r="O1606" i="1"/>
  <c r="P1606" i="1"/>
  <c r="Q1606" i="1"/>
  <c r="R1606" i="1"/>
  <c r="M1607" i="1"/>
  <c r="O1607" i="1"/>
  <c r="P1607" i="1"/>
  <c r="Q1607" i="1"/>
  <c r="R1607" i="1"/>
  <c r="M1608" i="1"/>
  <c r="O1608" i="1"/>
  <c r="P1608" i="1"/>
  <c r="Q1608" i="1"/>
  <c r="R1608" i="1"/>
  <c r="M1609" i="1"/>
  <c r="O1609" i="1"/>
  <c r="P1609" i="1"/>
  <c r="Q1609" i="1"/>
  <c r="R1609" i="1"/>
  <c r="M1610" i="1"/>
  <c r="O1610" i="1"/>
  <c r="P1610" i="1"/>
  <c r="Q1610" i="1"/>
  <c r="R1610" i="1"/>
  <c r="M1611" i="1"/>
  <c r="O1611" i="1"/>
  <c r="P1611" i="1"/>
  <c r="Q1611" i="1"/>
  <c r="R1611" i="1"/>
  <c r="M1612" i="1"/>
  <c r="O1612" i="1"/>
  <c r="P1612" i="1"/>
  <c r="Q1612" i="1"/>
  <c r="R1612" i="1"/>
  <c r="M1613" i="1"/>
  <c r="O1613" i="1"/>
  <c r="P1613" i="1"/>
  <c r="Q1613" i="1"/>
  <c r="R1613" i="1"/>
  <c r="M1614" i="1"/>
  <c r="O1614" i="1"/>
  <c r="P1614" i="1"/>
  <c r="Q1614" i="1"/>
  <c r="R1614" i="1"/>
  <c r="M1615" i="1"/>
  <c r="O1615" i="1"/>
  <c r="P1615" i="1"/>
  <c r="Q1615" i="1"/>
  <c r="R1615" i="1"/>
  <c r="M1616" i="1"/>
  <c r="O1616" i="1"/>
  <c r="P1616" i="1"/>
  <c r="Q1616" i="1"/>
  <c r="R1616" i="1"/>
  <c r="M1617" i="1"/>
  <c r="O1617" i="1"/>
  <c r="P1617" i="1"/>
  <c r="Q1617" i="1"/>
  <c r="R1617" i="1"/>
  <c r="M1618" i="1"/>
  <c r="O1618" i="1"/>
  <c r="P1618" i="1"/>
  <c r="Q1618" i="1"/>
  <c r="R1618" i="1"/>
  <c r="M1619" i="1"/>
  <c r="O1619" i="1"/>
  <c r="P1619" i="1"/>
  <c r="Q1619" i="1"/>
  <c r="R1619" i="1"/>
  <c r="M1620" i="1"/>
  <c r="O1620" i="1"/>
  <c r="P1620" i="1"/>
  <c r="Q1620" i="1"/>
  <c r="R1620" i="1"/>
  <c r="M1621" i="1"/>
  <c r="O1621" i="1"/>
  <c r="P1621" i="1"/>
  <c r="Q1621" i="1"/>
  <c r="R1621" i="1"/>
  <c r="M1622" i="1"/>
  <c r="O1622" i="1"/>
  <c r="P1622" i="1"/>
  <c r="Q1622" i="1"/>
  <c r="R1622" i="1"/>
  <c r="M1623" i="1"/>
  <c r="O1623" i="1"/>
  <c r="P1623" i="1"/>
  <c r="Q1623" i="1"/>
  <c r="R1623" i="1"/>
  <c r="M1624" i="1"/>
  <c r="O1624" i="1"/>
  <c r="P1624" i="1"/>
  <c r="Q1624" i="1"/>
  <c r="R1624" i="1"/>
  <c r="M1625" i="1"/>
  <c r="O1625" i="1"/>
  <c r="P1625" i="1"/>
  <c r="Q1625" i="1"/>
  <c r="R1625" i="1"/>
  <c r="M1626" i="1"/>
  <c r="O1626" i="1"/>
  <c r="P1626" i="1"/>
  <c r="Q1626" i="1"/>
  <c r="R1626" i="1"/>
  <c r="M1627" i="1"/>
  <c r="O1627" i="1"/>
  <c r="P1627" i="1"/>
  <c r="Q1627" i="1"/>
  <c r="R1627" i="1"/>
  <c r="M1628" i="1"/>
  <c r="O1628" i="1"/>
  <c r="P1628" i="1"/>
  <c r="Q1628" i="1"/>
  <c r="R1628" i="1"/>
  <c r="M1629" i="1"/>
  <c r="O1629" i="1"/>
  <c r="P1629" i="1"/>
  <c r="Q1629" i="1"/>
  <c r="R1629" i="1"/>
  <c r="M1630" i="1"/>
  <c r="O1630" i="1"/>
  <c r="P1630" i="1"/>
  <c r="Q1630" i="1"/>
  <c r="R1630" i="1"/>
  <c r="M1631" i="1"/>
  <c r="O1631" i="1"/>
  <c r="P1631" i="1"/>
  <c r="Q1631" i="1"/>
  <c r="R1631" i="1"/>
  <c r="M1632" i="1"/>
  <c r="O1632" i="1"/>
  <c r="P1632" i="1"/>
  <c r="Q1632" i="1"/>
  <c r="R1632" i="1"/>
  <c r="M1633" i="1"/>
  <c r="O1633" i="1"/>
  <c r="P1633" i="1"/>
  <c r="Q1633" i="1"/>
  <c r="R1633" i="1"/>
  <c r="M1634" i="1"/>
  <c r="O1634" i="1"/>
  <c r="P1634" i="1"/>
  <c r="Q1634" i="1"/>
  <c r="R1634" i="1"/>
  <c r="M1635" i="1"/>
  <c r="O1635" i="1"/>
  <c r="P1635" i="1"/>
  <c r="Q1635" i="1"/>
  <c r="R1635" i="1"/>
  <c r="M1636" i="1"/>
  <c r="O1636" i="1"/>
  <c r="P1636" i="1"/>
  <c r="Q1636" i="1"/>
  <c r="R1636" i="1"/>
  <c r="M1637" i="1"/>
  <c r="O1637" i="1"/>
  <c r="P1637" i="1"/>
  <c r="Q1637" i="1"/>
  <c r="R1637" i="1"/>
  <c r="M1638" i="1"/>
  <c r="O1638" i="1"/>
  <c r="P1638" i="1"/>
  <c r="Q1638" i="1"/>
  <c r="R1638" i="1"/>
  <c r="M1639" i="1"/>
  <c r="O1639" i="1"/>
  <c r="P1639" i="1"/>
  <c r="Q1639" i="1"/>
  <c r="R1639" i="1"/>
  <c r="M1640" i="1"/>
  <c r="O1640" i="1"/>
  <c r="P1640" i="1"/>
  <c r="Q1640" i="1"/>
  <c r="R1640" i="1"/>
  <c r="M1641" i="1"/>
  <c r="O1641" i="1"/>
  <c r="P1641" i="1"/>
  <c r="Q1641" i="1"/>
  <c r="R1641" i="1"/>
  <c r="M1642" i="1"/>
  <c r="O1642" i="1"/>
  <c r="P1642" i="1"/>
  <c r="Q1642" i="1"/>
  <c r="R1642" i="1"/>
  <c r="M1643" i="1"/>
  <c r="O1643" i="1"/>
  <c r="P1643" i="1"/>
  <c r="Q1643" i="1"/>
  <c r="R1643" i="1"/>
  <c r="M1644" i="1"/>
  <c r="O1644" i="1"/>
  <c r="P1644" i="1"/>
  <c r="Q1644" i="1"/>
  <c r="R1644" i="1"/>
  <c r="M1645" i="1"/>
  <c r="O1645" i="1"/>
  <c r="P1645" i="1"/>
  <c r="Q1645" i="1"/>
  <c r="R1645" i="1"/>
  <c r="M1646" i="1"/>
  <c r="O1646" i="1"/>
  <c r="P1646" i="1"/>
  <c r="Q1646" i="1"/>
  <c r="R1646" i="1"/>
  <c r="M1647" i="1"/>
  <c r="O1647" i="1"/>
  <c r="P1647" i="1"/>
  <c r="Q1647" i="1"/>
  <c r="R1647" i="1"/>
  <c r="M1648" i="1"/>
  <c r="O1648" i="1"/>
  <c r="P1648" i="1"/>
  <c r="Q1648" i="1"/>
  <c r="R1648" i="1"/>
  <c r="M1649" i="1"/>
  <c r="O1649" i="1"/>
  <c r="P1649" i="1"/>
  <c r="Q1649" i="1"/>
  <c r="R1649" i="1"/>
  <c r="M1650" i="1"/>
  <c r="O1650" i="1"/>
  <c r="P1650" i="1"/>
  <c r="Q1650" i="1"/>
  <c r="R1650" i="1"/>
  <c r="M1651" i="1"/>
  <c r="O1651" i="1"/>
  <c r="P1651" i="1"/>
  <c r="Q1651" i="1"/>
  <c r="R1651" i="1"/>
  <c r="M1652" i="1"/>
  <c r="O1652" i="1"/>
  <c r="P1652" i="1"/>
  <c r="Q1652" i="1"/>
  <c r="R1652" i="1"/>
  <c r="M1653" i="1"/>
  <c r="O1653" i="1"/>
  <c r="P1653" i="1"/>
  <c r="Q1653" i="1"/>
  <c r="R1653" i="1"/>
  <c r="M1654" i="1"/>
  <c r="O1654" i="1"/>
  <c r="P1654" i="1"/>
  <c r="Q1654" i="1"/>
  <c r="R1654" i="1"/>
  <c r="M1655" i="1"/>
  <c r="O1655" i="1"/>
  <c r="P1655" i="1"/>
  <c r="Q1655" i="1"/>
  <c r="R1655" i="1"/>
  <c r="M1656" i="1"/>
  <c r="O1656" i="1"/>
  <c r="P1656" i="1"/>
  <c r="Q1656" i="1"/>
  <c r="R1656" i="1"/>
  <c r="M1657" i="1"/>
  <c r="O1657" i="1"/>
  <c r="P1657" i="1"/>
  <c r="Q1657" i="1"/>
  <c r="R1657" i="1"/>
  <c r="M1658" i="1"/>
  <c r="O1658" i="1"/>
  <c r="P1658" i="1"/>
  <c r="Q1658" i="1"/>
  <c r="R1658" i="1"/>
  <c r="M1659" i="1"/>
  <c r="O1659" i="1"/>
  <c r="P1659" i="1"/>
  <c r="Q1659" i="1"/>
  <c r="R1659" i="1"/>
  <c r="M1660" i="1"/>
  <c r="O1660" i="1"/>
  <c r="P1660" i="1"/>
  <c r="Q1660" i="1"/>
  <c r="R1660" i="1"/>
  <c r="M1661" i="1"/>
  <c r="O1661" i="1"/>
  <c r="P1661" i="1"/>
  <c r="Q1661" i="1"/>
  <c r="R1661" i="1"/>
  <c r="M1662" i="1"/>
  <c r="O1662" i="1"/>
  <c r="P1662" i="1"/>
  <c r="Q1662" i="1"/>
  <c r="R1662" i="1"/>
  <c r="M1663" i="1"/>
  <c r="O1663" i="1"/>
  <c r="P1663" i="1"/>
  <c r="Q1663" i="1"/>
  <c r="R1663" i="1"/>
  <c r="M1664" i="1"/>
  <c r="O1664" i="1"/>
  <c r="P1664" i="1"/>
  <c r="Q1664" i="1"/>
  <c r="R1664" i="1"/>
  <c r="M1665" i="1"/>
  <c r="O1665" i="1"/>
  <c r="P1665" i="1"/>
  <c r="Q1665" i="1"/>
  <c r="R1665" i="1"/>
  <c r="M1666" i="1"/>
  <c r="O1666" i="1"/>
  <c r="P1666" i="1"/>
  <c r="Q1666" i="1"/>
  <c r="R1666" i="1"/>
  <c r="M1667" i="1"/>
  <c r="O1667" i="1"/>
  <c r="P1667" i="1"/>
  <c r="Q1667" i="1"/>
  <c r="R1667" i="1"/>
  <c r="M1668" i="1"/>
  <c r="O1668" i="1"/>
  <c r="P1668" i="1"/>
  <c r="Q1668" i="1"/>
  <c r="R1668" i="1"/>
  <c r="M1669" i="1"/>
  <c r="O1669" i="1"/>
  <c r="P1669" i="1"/>
  <c r="Q1669" i="1"/>
  <c r="R1669" i="1"/>
  <c r="M1670" i="1"/>
  <c r="O1670" i="1"/>
  <c r="P1670" i="1"/>
  <c r="Q1670" i="1"/>
  <c r="R1670" i="1"/>
  <c r="M1671" i="1"/>
  <c r="O1671" i="1"/>
  <c r="P1671" i="1"/>
  <c r="Q1671" i="1"/>
  <c r="R1671" i="1"/>
  <c r="M1672" i="1"/>
  <c r="O1672" i="1"/>
  <c r="P1672" i="1"/>
  <c r="Q1672" i="1"/>
  <c r="R1672" i="1"/>
  <c r="M1673" i="1"/>
  <c r="O1673" i="1"/>
  <c r="P1673" i="1"/>
  <c r="Q1673" i="1"/>
  <c r="R1673" i="1"/>
  <c r="M1674" i="1"/>
  <c r="O1674" i="1"/>
  <c r="P1674" i="1"/>
  <c r="Q1674" i="1"/>
  <c r="R1674" i="1"/>
  <c r="M1675" i="1"/>
  <c r="O1675" i="1"/>
  <c r="P1675" i="1"/>
  <c r="Q1675" i="1"/>
  <c r="R1675" i="1"/>
  <c r="M1676" i="1"/>
  <c r="O1676" i="1"/>
  <c r="P1676" i="1"/>
  <c r="Q1676" i="1"/>
  <c r="R1676" i="1"/>
  <c r="M1677" i="1"/>
  <c r="O1677" i="1"/>
  <c r="P1677" i="1"/>
  <c r="Q1677" i="1"/>
  <c r="R1677" i="1"/>
  <c r="E1678" i="1"/>
  <c r="R1678" i="1" s="1"/>
  <c r="M1678" i="1"/>
  <c r="O1678" i="1"/>
  <c r="P1678" i="1"/>
  <c r="Q1678" i="1"/>
  <c r="M1679" i="1"/>
  <c r="O1679" i="1"/>
  <c r="P1679" i="1"/>
  <c r="Q1679" i="1"/>
  <c r="R1679" i="1"/>
  <c r="M1680" i="1"/>
  <c r="O1680" i="1"/>
  <c r="P1680" i="1"/>
  <c r="Q1680" i="1"/>
  <c r="R1680" i="1"/>
  <c r="M1681" i="1"/>
  <c r="O1681" i="1"/>
  <c r="P1681" i="1"/>
  <c r="Q1681" i="1"/>
  <c r="R1681" i="1"/>
  <c r="M1682" i="1"/>
  <c r="O1682" i="1"/>
  <c r="P1682" i="1"/>
  <c r="Q1682" i="1"/>
  <c r="R1682" i="1"/>
  <c r="M1683" i="1"/>
  <c r="O1683" i="1"/>
  <c r="P1683" i="1"/>
  <c r="Q1683" i="1"/>
  <c r="R1683" i="1"/>
  <c r="M1684" i="1"/>
  <c r="O1684" i="1"/>
  <c r="P1684" i="1"/>
  <c r="Q1684" i="1"/>
  <c r="R1684" i="1"/>
  <c r="M1685" i="1"/>
  <c r="O1685" i="1"/>
  <c r="P1685" i="1"/>
  <c r="Q1685" i="1"/>
  <c r="R1685" i="1"/>
  <c r="M1686" i="1"/>
  <c r="O1686" i="1"/>
  <c r="P1686" i="1"/>
  <c r="Q1686" i="1"/>
  <c r="R1686" i="1"/>
  <c r="M1687" i="1"/>
  <c r="O1687" i="1"/>
  <c r="P1687" i="1"/>
  <c r="Q1687" i="1"/>
  <c r="R1687" i="1"/>
  <c r="M1688" i="1"/>
  <c r="O1688" i="1"/>
  <c r="P1688" i="1"/>
  <c r="Q1688" i="1"/>
  <c r="R1688" i="1"/>
  <c r="M1689" i="1"/>
  <c r="O1689" i="1"/>
  <c r="P1689" i="1"/>
  <c r="Q1689" i="1"/>
  <c r="R1689" i="1"/>
  <c r="M1690" i="1"/>
  <c r="O1690" i="1"/>
  <c r="P1690" i="1"/>
  <c r="Q1690" i="1"/>
  <c r="R1690" i="1"/>
  <c r="M1691" i="1"/>
  <c r="O1691" i="1"/>
  <c r="P1691" i="1"/>
  <c r="Q1691" i="1"/>
  <c r="R1691" i="1"/>
  <c r="E1692" i="1"/>
  <c r="R1692" i="1" s="1"/>
  <c r="M1692" i="1"/>
  <c r="O1692" i="1"/>
  <c r="P1692" i="1"/>
  <c r="Q1692" i="1"/>
  <c r="M1693" i="1"/>
  <c r="O1693" i="1"/>
  <c r="P1693" i="1"/>
  <c r="Q1693" i="1"/>
  <c r="R1693" i="1"/>
  <c r="M1694" i="1"/>
  <c r="O1694" i="1"/>
  <c r="P1694" i="1"/>
  <c r="Q1694" i="1"/>
  <c r="R1694" i="1"/>
  <c r="M1695" i="1"/>
  <c r="O1695" i="1"/>
  <c r="P1695" i="1"/>
  <c r="Q1695" i="1"/>
  <c r="R1695" i="1"/>
  <c r="M1696" i="1"/>
  <c r="O1696" i="1"/>
  <c r="P1696" i="1"/>
  <c r="Q1696" i="1"/>
  <c r="R1696" i="1"/>
  <c r="E1697" i="1"/>
  <c r="R1697" i="1" s="1"/>
  <c r="M1697" i="1"/>
  <c r="O1697" i="1"/>
  <c r="P1697" i="1"/>
  <c r="Q1697" i="1"/>
  <c r="M1698" i="1"/>
  <c r="O1698" i="1"/>
  <c r="P1698" i="1"/>
  <c r="Q1698" i="1"/>
  <c r="R1698" i="1"/>
  <c r="M1699" i="1"/>
  <c r="O1699" i="1"/>
  <c r="P1699" i="1"/>
  <c r="Q1699" i="1"/>
  <c r="R1699" i="1"/>
  <c r="M1700" i="1"/>
  <c r="O1700" i="1"/>
  <c r="P1700" i="1"/>
  <c r="Q1700" i="1"/>
  <c r="R1700" i="1"/>
  <c r="M1701" i="1"/>
  <c r="O1701" i="1"/>
  <c r="P1701" i="1"/>
  <c r="Q1701" i="1"/>
  <c r="R1701" i="1"/>
  <c r="M1702" i="1"/>
  <c r="O1702" i="1"/>
  <c r="P1702" i="1"/>
  <c r="Q1702" i="1"/>
  <c r="R1702" i="1"/>
  <c r="M1703" i="1"/>
  <c r="O1703" i="1"/>
  <c r="P1703" i="1"/>
  <c r="Q1703" i="1"/>
  <c r="R1703" i="1"/>
  <c r="M1704" i="1"/>
  <c r="O1704" i="1"/>
  <c r="P1704" i="1"/>
  <c r="Q1704" i="1"/>
  <c r="R1704" i="1"/>
  <c r="M1705" i="1"/>
  <c r="O1705" i="1"/>
  <c r="P1705" i="1"/>
  <c r="Q1705" i="1"/>
  <c r="R1705" i="1"/>
  <c r="M1706" i="1"/>
  <c r="O1706" i="1"/>
  <c r="P1706" i="1"/>
  <c r="Q1706" i="1"/>
  <c r="R1706" i="1"/>
  <c r="M1707" i="1"/>
  <c r="O1707" i="1"/>
  <c r="P1707" i="1"/>
  <c r="Q1707" i="1"/>
  <c r="R1707" i="1"/>
  <c r="M1708" i="1"/>
  <c r="O1708" i="1"/>
  <c r="P1708" i="1"/>
  <c r="Q1708" i="1"/>
  <c r="R1708" i="1"/>
  <c r="E1709" i="1"/>
  <c r="R1709" i="1" s="1"/>
  <c r="M1709" i="1"/>
  <c r="O1709" i="1"/>
  <c r="P1709" i="1"/>
  <c r="Q1709" i="1"/>
  <c r="M1710" i="1"/>
  <c r="O1710" i="1"/>
  <c r="P1710" i="1"/>
  <c r="Q1710" i="1"/>
  <c r="R1710" i="1"/>
  <c r="M1711" i="1"/>
  <c r="O1711" i="1"/>
  <c r="P1711" i="1"/>
  <c r="Q1711" i="1"/>
  <c r="R1711" i="1"/>
  <c r="M1712" i="1"/>
  <c r="O1712" i="1"/>
  <c r="P1712" i="1"/>
  <c r="Q1712" i="1"/>
  <c r="R1712" i="1"/>
  <c r="M1713" i="1"/>
  <c r="O1713" i="1"/>
  <c r="P1713" i="1"/>
  <c r="Q1713" i="1"/>
  <c r="R1713" i="1"/>
  <c r="M1714" i="1"/>
  <c r="O1714" i="1"/>
  <c r="P1714" i="1"/>
  <c r="Q1714" i="1"/>
  <c r="R1714" i="1"/>
  <c r="M1715" i="1"/>
  <c r="O1715" i="1"/>
  <c r="P1715" i="1"/>
  <c r="Q1715" i="1"/>
  <c r="R1715" i="1"/>
  <c r="M1716" i="1"/>
  <c r="O1716" i="1"/>
  <c r="P1716" i="1"/>
  <c r="Q1716" i="1"/>
  <c r="R1716" i="1"/>
  <c r="M1717" i="1"/>
  <c r="O1717" i="1"/>
  <c r="P1717" i="1"/>
  <c r="Q1717" i="1"/>
  <c r="R1717" i="1"/>
  <c r="M1718" i="1"/>
  <c r="O1718" i="1"/>
  <c r="P1718" i="1"/>
  <c r="Q1718" i="1"/>
  <c r="R1718" i="1"/>
  <c r="M1719" i="1"/>
  <c r="O1719" i="1"/>
  <c r="P1719" i="1"/>
  <c r="Q1719" i="1"/>
  <c r="R1719" i="1"/>
  <c r="M1720" i="1"/>
  <c r="O1720" i="1"/>
  <c r="P1720" i="1"/>
  <c r="Q1720" i="1"/>
  <c r="R1720" i="1"/>
  <c r="M1721" i="1"/>
  <c r="O1721" i="1"/>
  <c r="P1721" i="1"/>
  <c r="Q1721" i="1"/>
  <c r="R1721" i="1"/>
  <c r="M1722" i="1"/>
  <c r="O1722" i="1"/>
  <c r="P1722" i="1"/>
  <c r="Q1722" i="1"/>
  <c r="R1722" i="1"/>
  <c r="M1723" i="1"/>
  <c r="O1723" i="1"/>
  <c r="P1723" i="1"/>
  <c r="Q1723" i="1"/>
  <c r="R1723" i="1"/>
  <c r="M1724" i="1"/>
  <c r="O1724" i="1"/>
  <c r="P1724" i="1"/>
  <c r="Q1724" i="1"/>
  <c r="R1724" i="1"/>
  <c r="M1725" i="1"/>
  <c r="O1725" i="1"/>
  <c r="P1725" i="1"/>
  <c r="Q1725" i="1"/>
  <c r="R1725" i="1"/>
  <c r="M1726" i="1"/>
  <c r="O1726" i="1"/>
  <c r="P1726" i="1"/>
  <c r="Q1726" i="1"/>
  <c r="R1726" i="1"/>
  <c r="M1727" i="1"/>
  <c r="O1727" i="1"/>
  <c r="P1727" i="1"/>
  <c r="Q1727" i="1"/>
  <c r="R1727" i="1"/>
  <c r="M1728" i="1"/>
  <c r="O1728" i="1"/>
  <c r="P1728" i="1"/>
  <c r="Q1728" i="1"/>
  <c r="R1728" i="1"/>
  <c r="M1729" i="1"/>
  <c r="O1729" i="1"/>
  <c r="P1729" i="1"/>
  <c r="Q1729" i="1"/>
  <c r="R1729" i="1"/>
  <c r="M1730" i="1"/>
  <c r="O1730" i="1"/>
  <c r="P1730" i="1"/>
  <c r="Q1730" i="1"/>
  <c r="R1730" i="1"/>
  <c r="M1731" i="1"/>
  <c r="O1731" i="1"/>
  <c r="P1731" i="1"/>
  <c r="Q1731" i="1"/>
  <c r="R1731" i="1"/>
  <c r="M1732" i="1"/>
  <c r="O1732" i="1"/>
  <c r="P1732" i="1"/>
  <c r="Q1732" i="1"/>
  <c r="R1732" i="1"/>
  <c r="M1733" i="1"/>
  <c r="O1733" i="1"/>
  <c r="P1733" i="1"/>
  <c r="Q1733" i="1"/>
  <c r="R1733" i="1"/>
  <c r="M1734" i="1"/>
  <c r="O1734" i="1"/>
  <c r="P1734" i="1"/>
  <c r="Q1734" i="1"/>
  <c r="R1734" i="1"/>
  <c r="M1735" i="1"/>
  <c r="O1735" i="1"/>
  <c r="P1735" i="1"/>
  <c r="Q1735" i="1"/>
  <c r="R1735" i="1"/>
  <c r="M1736" i="1"/>
  <c r="O1736" i="1"/>
  <c r="P1736" i="1"/>
  <c r="Q1736" i="1"/>
  <c r="R1736" i="1"/>
  <c r="M1737" i="1"/>
  <c r="O1737" i="1"/>
  <c r="P1737" i="1"/>
  <c r="Q1737" i="1"/>
  <c r="R1737" i="1"/>
  <c r="M1738" i="1"/>
  <c r="O1738" i="1"/>
  <c r="P1738" i="1"/>
  <c r="Q1738" i="1"/>
  <c r="R1738" i="1"/>
  <c r="M1739" i="1"/>
  <c r="O1739" i="1"/>
  <c r="P1739" i="1"/>
  <c r="Q1739" i="1"/>
  <c r="R1739" i="1"/>
  <c r="M1740" i="1"/>
  <c r="O1740" i="1"/>
  <c r="P1740" i="1"/>
  <c r="Q1740" i="1"/>
  <c r="R1740" i="1"/>
  <c r="M1741" i="1"/>
  <c r="O1741" i="1"/>
  <c r="P1741" i="1"/>
  <c r="Q1741" i="1"/>
  <c r="R1741" i="1"/>
  <c r="M1742" i="1"/>
  <c r="O1742" i="1"/>
  <c r="P1742" i="1"/>
  <c r="Q1742" i="1"/>
  <c r="R1742" i="1"/>
  <c r="M1743" i="1"/>
  <c r="O1743" i="1"/>
  <c r="P1743" i="1"/>
  <c r="Q1743" i="1"/>
  <c r="R1743" i="1"/>
  <c r="M1744" i="1"/>
  <c r="O1744" i="1"/>
  <c r="P1744" i="1"/>
  <c r="Q1744" i="1"/>
  <c r="R1744" i="1"/>
  <c r="M1745" i="1"/>
  <c r="O1745" i="1"/>
  <c r="P1745" i="1"/>
  <c r="Q1745" i="1"/>
  <c r="R1745" i="1"/>
  <c r="M1746" i="1"/>
  <c r="O1746" i="1"/>
  <c r="P1746" i="1"/>
  <c r="Q1746" i="1"/>
  <c r="R1746" i="1"/>
  <c r="M1747" i="1"/>
  <c r="O1747" i="1"/>
  <c r="P1747" i="1"/>
  <c r="Q1747" i="1"/>
  <c r="R1747" i="1"/>
  <c r="M1748" i="1"/>
  <c r="O1748" i="1"/>
  <c r="P1748" i="1"/>
  <c r="Q1748" i="1"/>
  <c r="R1748" i="1"/>
  <c r="M1749" i="1"/>
  <c r="O1749" i="1"/>
  <c r="P1749" i="1"/>
  <c r="Q1749" i="1"/>
  <c r="R1749" i="1"/>
  <c r="M1750" i="1"/>
  <c r="O1750" i="1"/>
  <c r="P1750" i="1"/>
  <c r="Q1750" i="1"/>
  <c r="R1750" i="1"/>
  <c r="M1751" i="1"/>
  <c r="O1751" i="1"/>
  <c r="P1751" i="1"/>
  <c r="Q1751" i="1"/>
  <c r="R1751" i="1"/>
  <c r="M1752" i="1"/>
  <c r="O1752" i="1"/>
  <c r="P1752" i="1"/>
  <c r="Q1752" i="1"/>
  <c r="R1752" i="1"/>
  <c r="M1753" i="1"/>
  <c r="O1753" i="1"/>
  <c r="P1753" i="1"/>
  <c r="Q1753" i="1"/>
  <c r="R1753" i="1"/>
  <c r="M1754" i="1"/>
  <c r="O1754" i="1"/>
  <c r="P1754" i="1"/>
  <c r="Q1754" i="1"/>
  <c r="R1754" i="1"/>
  <c r="M1755" i="1"/>
  <c r="O1755" i="1"/>
  <c r="P1755" i="1"/>
  <c r="Q1755" i="1"/>
  <c r="R1755" i="1"/>
  <c r="M1756" i="1"/>
  <c r="O1756" i="1"/>
  <c r="P1756" i="1"/>
  <c r="Q1756" i="1"/>
  <c r="R1756" i="1"/>
  <c r="M1757" i="1"/>
  <c r="O1757" i="1"/>
  <c r="P1757" i="1"/>
  <c r="Q1757" i="1"/>
  <c r="R1757" i="1"/>
  <c r="M1758" i="1"/>
  <c r="O1758" i="1"/>
  <c r="P1758" i="1"/>
  <c r="Q1758" i="1"/>
  <c r="R1758" i="1"/>
  <c r="M1759" i="1"/>
  <c r="O1759" i="1"/>
  <c r="P1759" i="1"/>
  <c r="Q1759" i="1"/>
  <c r="R1759" i="1"/>
  <c r="M1760" i="1"/>
  <c r="O1760" i="1"/>
  <c r="P1760" i="1"/>
  <c r="Q1760" i="1"/>
  <c r="R1760" i="1"/>
  <c r="M1761" i="1"/>
  <c r="O1761" i="1"/>
  <c r="P1761" i="1"/>
  <c r="Q1761" i="1"/>
  <c r="R1761" i="1"/>
  <c r="M1762" i="1"/>
  <c r="O1762" i="1"/>
  <c r="P1762" i="1"/>
  <c r="Q1762" i="1"/>
  <c r="R1762" i="1"/>
  <c r="M1763" i="1"/>
  <c r="O1763" i="1"/>
  <c r="P1763" i="1"/>
  <c r="Q1763" i="1"/>
  <c r="R1763" i="1"/>
  <c r="M1764" i="1"/>
  <c r="O1764" i="1"/>
  <c r="P1764" i="1"/>
  <c r="Q1764" i="1"/>
  <c r="R1764" i="1"/>
  <c r="M1765" i="1"/>
  <c r="O1765" i="1"/>
  <c r="P1765" i="1"/>
  <c r="Q1765" i="1"/>
  <c r="R1765" i="1"/>
  <c r="M1766" i="1"/>
  <c r="O1766" i="1"/>
  <c r="P1766" i="1"/>
  <c r="Q1766" i="1"/>
  <c r="R1766" i="1"/>
  <c r="M1767" i="1"/>
  <c r="O1767" i="1"/>
  <c r="P1767" i="1"/>
  <c r="Q1767" i="1"/>
  <c r="R1767" i="1"/>
  <c r="M1768" i="1"/>
  <c r="O1768" i="1"/>
  <c r="P1768" i="1"/>
  <c r="Q1768" i="1"/>
  <c r="R1768" i="1"/>
  <c r="M1769" i="1"/>
  <c r="O1769" i="1"/>
  <c r="P1769" i="1"/>
  <c r="Q1769" i="1"/>
  <c r="R1769" i="1"/>
  <c r="M1770" i="1"/>
  <c r="O1770" i="1"/>
  <c r="P1770" i="1"/>
  <c r="Q1770" i="1"/>
  <c r="R1770" i="1"/>
  <c r="M1771" i="1"/>
  <c r="O1771" i="1"/>
  <c r="P1771" i="1"/>
  <c r="Q1771" i="1"/>
  <c r="R1771" i="1"/>
  <c r="M1772" i="1"/>
  <c r="O1772" i="1"/>
  <c r="P1772" i="1"/>
  <c r="Q1772" i="1"/>
  <c r="R1772" i="1"/>
  <c r="M1773" i="1"/>
  <c r="O1773" i="1"/>
  <c r="P1773" i="1"/>
  <c r="Q1773" i="1"/>
  <c r="R1773" i="1"/>
  <c r="M1774" i="1"/>
  <c r="O1774" i="1"/>
  <c r="P1774" i="1"/>
  <c r="Q1774" i="1"/>
  <c r="R1774" i="1"/>
  <c r="M1775" i="1"/>
  <c r="O1775" i="1"/>
  <c r="P1775" i="1"/>
  <c r="Q1775" i="1"/>
  <c r="R1775" i="1"/>
  <c r="M1776" i="1"/>
  <c r="O1776" i="1"/>
  <c r="P1776" i="1"/>
  <c r="Q1776" i="1"/>
  <c r="R1776" i="1"/>
  <c r="M1777" i="1"/>
  <c r="O1777" i="1"/>
  <c r="P1777" i="1"/>
  <c r="Q1777" i="1"/>
  <c r="R1777" i="1"/>
  <c r="M1778" i="1"/>
  <c r="O1778" i="1"/>
  <c r="P1778" i="1"/>
  <c r="Q1778" i="1"/>
  <c r="R1778" i="1"/>
  <c r="M1779" i="1"/>
  <c r="O1779" i="1"/>
  <c r="P1779" i="1"/>
  <c r="Q1779" i="1"/>
  <c r="R1779" i="1"/>
  <c r="M1780" i="1"/>
  <c r="O1780" i="1"/>
  <c r="P1780" i="1"/>
  <c r="Q1780" i="1"/>
  <c r="R1780" i="1"/>
  <c r="M1781" i="1"/>
  <c r="O1781" i="1"/>
  <c r="P1781" i="1"/>
  <c r="Q1781" i="1"/>
  <c r="R1781" i="1"/>
  <c r="M1782" i="1"/>
  <c r="O1782" i="1"/>
  <c r="P1782" i="1"/>
  <c r="Q1782" i="1"/>
  <c r="R1782" i="1"/>
  <c r="M1783" i="1"/>
  <c r="O1783" i="1"/>
  <c r="P1783" i="1"/>
  <c r="Q1783" i="1"/>
  <c r="R1783" i="1"/>
  <c r="M1784" i="1"/>
  <c r="O1784" i="1"/>
  <c r="P1784" i="1"/>
  <c r="Q1784" i="1"/>
  <c r="R1784" i="1"/>
  <c r="M1785" i="1"/>
  <c r="O1785" i="1"/>
  <c r="P1785" i="1"/>
  <c r="Q1785" i="1"/>
  <c r="R1785" i="1"/>
  <c r="M1786" i="1"/>
  <c r="O1786" i="1"/>
  <c r="P1786" i="1"/>
  <c r="Q1786" i="1"/>
  <c r="R1786" i="1"/>
  <c r="M1787" i="1"/>
  <c r="O1787" i="1"/>
  <c r="P1787" i="1"/>
  <c r="Q1787" i="1"/>
  <c r="R1787" i="1"/>
  <c r="M1788" i="1"/>
  <c r="O1788" i="1"/>
  <c r="P1788" i="1"/>
  <c r="Q1788" i="1"/>
  <c r="R1788" i="1"/>
  <c r="M1789" i="1"/>
  <c r="O1789" i="1"/>
  <c r="P1789" i="1"/>
  <c r="Q1789" i="1"/>
  <c r="R1789" i="1"/>
  <c r="M1790" i="1"/>
  <c r="O1790" i="1"/>
  <c r="P1790" i="1"/>
  <c r="Q1790" i="1"/>
  <c r="R1790" i="1"/>
  <c r="M1791" i="1"/>
  <c r="O1791" i="1"/>
  <c r="P1791" i="1"/>
  <c r="Q1791" i="1"/>
  <c r="R1791" i="1"/>
  <c r="M1792" i="1"/>
  <c r="O1792" i="1"/>
  <c r="P1792" i="1"/>
  <c r="Q1792" i="1"/>
  <c r="R1792" i="1"/>
  <c r="M1793" i="1"/>
  <c r="O1793" i="1"/>
  <c r="P1793" i="1"/>
  <c r="Q1793" i="1"/>
  <c r="R1793" i="1"/>
  <c r="M1794" i="1"/>
  <c r="O1794" i="1"/>
  <c r="P1794" i="1"/>
  <c r="Q1794" i="1"/>
  <c r="R1794" i="1"/>
  <c r="M1795" i="1"/>
  <c r="O1795" i="1"/>
  <c r="P1795" i="1"/>
  <c r="Q1795" i="1"/>
  <c r="R1795" i="1"/>
  <c r="M1796" i="1"/>
  <c r="O1796" i="1"/>
  <c r="P1796" i="1"/>
  <c r="Q1796" i="1"/>
  <c r="R1796" i="1"/>
  <c r="M1797" i="1"/>
  <c r="O1797" i="1"/>
  <c r="P1797" i="1"/>
  <c r="Q1797" i="1"/>
  <c r="R1797" i="1"/>
  <c r="M1798" i="1"/>
  <c r="O1798" i="1"/>
  <c r="P1798" i="1"/>
  <c r="Q1798" i="1"/>
  <c r="R1798" i="1"/>
  <c r="M1799" i="1"/>
  <c r="O1799" i="1"/>
  <c r="P1799" i="1"/>
  <c r="Q1799" i="1"/>
  <c r="R1799" i="1"/>
  <c r="M1800" i="1"/>
  <c r="O1800" i="1"/>
  <c r="P1800" i="1"/>
  <c r="Q1800" i="1"/>
  <c r="R1800" i="1"/>
  <c r="M1801" i="1"/>
  <c r="O1801" i="1"/>
  <c r="P1801" i="1"/>
  <c r="Q1801" i="1"/>
  <c r="R1801" i="1"/>
  <c r="M1802" i="1"/>
  <c r="O1802" i="1"/>
  <c r="P1802" i="1"/>
  <c r="Q1802" i="1"/>
  <c r="R1802" i="1"/>
  <c r="M1803" i="1"/>
  <c r="O1803" i="1"/>
  <c r="P1803" i="1"/>
  <c r="Q1803" i="1"/>
  <c r="R1803" i="1"/>
  <c r="M1804" i="1"/>
  <c r="O1804" i="1"/>
  <c r="P1804" i="1"/>
  <c r="Q1804" i="1"/>
  <c r="R1804" i="1"/>
  <c r="M1805" i="1"/>
  <c r="O1805" i="1"/>
  <c r="P1805" i="1"/>
  <c r="Q1805" i="1"/>
  <c r="R1805" i="1"/>
  <c r="M1806" i="1"/>
  <c r="O1806" i="1"/>
  <c r="P1806" i="1"/>
  <c r="Q1806" i="1"/>
  <c r="R1806" i="1"/>
  <c r="M1807" i="1"/>
  <c r="O1807" i="1"/>
  <c r="P1807" i="1"/>
  <c r="Q1807" i="1"/>
  <c r="R1807" i="1"/>
  <c r="M1808" i="1"/>
  <c r="O1808" i="1"/>
  <c r="P1808" i="1"/>
  <c r="Q1808" i="1"/>
  <c r="R1808" i="1"/>
  <c r="M1809" i="1"/>
  <c r="O1809" i="1"/>
  <c r="P1809" i="1"/>
  <c r="Q1809" i="1"/>
  <c r="R1809" i="1"/>
  <c r="M1810" i="1"/>
  <c r="O1810" i="1"/>
  <c r="P1810" i="1"/>
  <c r="Q1810" i="1"/>
  <c r="R1810" i="1"/>
  <c r="M1811" i="1"/>
  <c r="O1811" i="1"/>
  <c r="P1811" i="1"/>
  <c r="Q1811" i="1"/>
  <c r="R1811" i="1"/>
  <c r="M1812" i="1"/>
  <c r="O1812" i="1"/>
  <c r="P1812" i="1"/>
  <c r="Q1812" i="1"/>
  <c r="R1812" i="1"/>
  <c r="M1813" i="1"/>
  <c r="O1813" i="1"/>
  <c r="P1813" i="1"/>
  <c r="Q1813" i="1"/>
  <c r="R1813" i="1"/>
  <c r="M1814" i="1"/>
  <c r="O1814" i="1"/>
  <c r="P1814" i="1"/>
  <c r="Q1814" i="1"/>
  <c r="R1814" i="1"/>
  <c r="M1815" i="1"/>
  <c r="O1815" i="1"/>
  <c r="P1815" i="1"/>
  <c r="Q1815" i="1"/>
  <c r="R1815" i="1"/>
  <c r="M1816" i="1"/>
  <c r="O1816" i="1"/>
  <c r="P1816" i="1"/>
  <c r="Q1816" i="1"/>
  <c r="R1816" i="1"/>
  <c r="M1817" i="1"/>
  <c r="O1817" i="1"/>
  <c r="P1817" i="1"/>
  <c r="Q1817" i="1"/>
  <c r="R1817" i="1"/>
  <c r="M1818" i="1"/>
  <c r="O1818" i="1"/>
  <c r="P1818" i="1"/>
  <c r="Q1818" i="1"/>
  <c r="R1818" i="1"/>
  <c r="M1819" i="1"/>
  <c r="O1819" i="1"/>
  <c r="P1819" i="1"/>
  <c r="Q1819" i="1"/>
  <c r="R1819" i="1"/>
  <c r="M1820" i="1"/>
  <c r="O1820" i="1"/>
  <c r="P1820" i="1"/>
  <c r="Q1820" i="1"/>
  <c r="R1820" i="1"/>
  <c r="M1821" i="1"/>
  <c r="O1821" i="1"/>
  <c r="P1821" i="1"/>
  <c r="Q1821" i="1"/>
  <c r="R1821" i="1"/>
  <c r="M1822" i="1"/>
  <c r="O1822" i="1"/>
  <c r="P1822" i="1"/>
  <c r="Q1822" i="1"/>
  <c r="R1822" i="1"/>
  <c r="M1823" i="1"/>
  <c r="O1823" i="1"/>
  <c r="P1823" i="1"/>
  <c r="Q1823" i="1"/>
  <c r="R1823" i="1"/>
  <c r="M1824" i="1"/>
  <c r="O1824" i="1"/>
  <c r="P1824" i="1"/>
  <c r="Q1824" i="1"/>
  <c r="R1824" i="1"/>
  <c r="M1825" i="1"/>
  <c r="O1825" i="1"/>
  <c r="P1825" i="1"/>
  <c r="Q1825" i="1"/>
  <c r="R1825" i="1"/>
  <c r="M1826" i="1"/>
  <c r="O1826" i="1"/>
  <c r="P1826" i="1"/>
  <c r="Q1826" i="1"/>
  <c r="R1826" i="1"/>
  <c r="M1827" i="1"/>
  <c r="O1827" i="1"/>
  <c r="P1827" i="1"/>
  <c r="Q1827" i="1"/>
  <c r="R1827" i="1"/>
  <c r="M1828" i="1"/>
  <c r="O1828" i="1"/>
  <c r="P1828" i="1"/>
  <c r="Q1828" i="1"/>
  <c r="R1828" i="1"/>
  <c r="M1829" i="1"/>
  <c r="O1829" i="1"/>
  <c r="P1829" i="1"/>
  <c r="Q1829" i="1"/>
  <c r="R1829" i="1"/>
  <c r="M1830" i="1"/>
  <c r="O1830" i="1"/>
  <c r="P1830" i="1"/>
  <c r="Q1830" i="1"/>
  <c r="R1830" i="1"/>
  <c r="M1831" i="1"/>
  <c r="O1831" i="1"/>
  <c r="P1831" i="1"/>
  <c r="Q1831" i="1"/>
  <c r="R1831" i="1"/>
  <c r="M1832" i="1"/>
  <c r="O1832" i="1"/>
  <c r="P1832" i="1"/>
  <c r="Q1832" i="1"/>
  <c r="R1832" i="1"/>
  <c r="M1833" i="1"/>
  <c r="O1833" i="1"/>
  <c r="P1833" i="1"/>
  <c r="Q1833" i="1"/>
  <c r="R1833" i="1"/>
  <c r="M1834" i="1"/>
  <c r="O1834" i="1"/>
  <c r="P1834" i="1"/>
  <c r="Q1834" i="1"/>
  <c r="R1834" i="1"/>
  <c r="M1835" i="1"/>
  <c r="O1835" i="1"/>
  <c r="P1835" i="1"/>
  <c r="Q1835" i="1"/>
  <c r="R1835" i="1"/>
  <c r="M1836" i="1"/>
  <c r="O1836" i="1"/>
  <c r="P1836" i="1"/>
  <c r="Q1836" i="1"/>
  <c r="R1836" i="1"/>
  <c r="M1837" i="1"/>
  <c r="O1837" i="1"/>
  <c r="P1837" i="1"/>
  <c r="Q1837" i="1"/>
  <c r="R1837" i="1"/>
  <c r="M1838" i="1"/>
  <c r="O1838" i="1"/>
  <c r="P1838" i="1"/>
  <c r="Q1838" i="1"/>
  <c r="R1838" i="1"/>
  <c r="M1839" i="1"/>
  <c r="O1839" i="1"/>
  <c r="P1839" i="1"/>
  <c r="Q1839" i="1"/>
  <c r="R1839" i="1"/>
  <c r="M1840" i="1"/>
  <c r="O1840" i="1"/>
  <c r="P1840" i="1"/>
  <c r="Q1840" i="1"/>
  <c r="R1840" i="1"/>
  <c r="M1841" i="1"/>
  <c r="O1841" i="1"/>
  <c r="P1841" i="1"/>
  <c r="Q1841" i="1"/>
  <c r="R1841" i="1"/>
  <c r="M1842" i="1"/>
  <c r="O1842" i="1"/>
  <c r="P1842" i="1"/>
  <c r="Q1842" i="1"/>
  <c r="R1842" i="1"/>
  <c r="M1843" i="1"/>
  <c r="O1843" i="1"/>
  <c r="P1843" i="1"/>
  <c r="Q1843" i="1"/>
  <c r="R1843" i="1"/>
  <c r="M1844" i="1"/>
  <c r="O1844" i="1"/>
  <c r="P1844" i="1"/>
  <c r="Q1844" i="1"/>
  <c r="R1844" i="1"/>
  <c r="M1845" i="1"/>
  <c r="O1845" i="1"/>
  <c r="P1845" i="1"/>
  <c r="Q1845" i="1"/>
  <c r="R1845" i="1"/>
  <c r="M1846" i="1"/>
  <c r="O1846" i="1"/>
  <c r="P1846" i="1"/>
  <c r="Q1846" i="1"/>
  <c r="R1846" i="1"/>
  <c r="M1847" i="1"/>
  <c r="O1847" i="1"/>
  <c r="P1847" i="1"/>
  <c r="Q1847" i="1"/>
  <c r="R1847" i="1"/>
  <c r="M1848" i="1"/>
  <c r="O1848" i="1"/>
  <c r="P1848" i="1"/>
  <c r="Q1848" i="1"/>
  <c r="R1848" i="1"/>
  <c r="M1849" i="1"/>
  <c r="O1849" i="1"/>
  <c r="P1849" i="1"/>
  <c r="Q1849" i="1"/>
  <c r="R1849" i="1"/>
  <c r="M1850" i="1"/>
  <c r="O1850" i="1"/>
  <c r="P1850" i="1"/>
  <c r="Q1850" i="1"/>
  <c r="R1850" i="1"/>
  <c r="M1851" i="1"/>
  <c r="O1851" i="1"/>
  <c r="P1851" i="1"/>
  <c r="Q1851" i="1"/>
  <c r="R1851" i="1"/>
  <c r="M1852" i="1"/>
  <c r="O1852" i="1"/>
  <c r="P1852" i="1"/>
  <c r="Q1852" i="1"/>
  <c r="R1852" i="1"/>
  <c r="M1853" i="1"/>
  <c r="O1853" i="1"/>
  <c r="P1853" i="1"/>
  <c r="Q1853" i="1"/>
  <c r="R1853" i="1"/>
  <c r="M1854" i="1"/>
  <c r="O1854" i="1"/>
  <c r="P1854" i="1"/>
  <c r="Q1854" i="1"/>
  <c r="R1854" i="1"/>
  <c r="M1855" i="1"/>
  <c r="O1855" i="1"/>
  <c r="P1855" i="1"/>
  <c r="Q1855" i="1"/>
  <c r="R1855" i="1"/>
  <c r="M1856" i="1"/>
  <c r="O1856" i="1"/>
  <c r="P1856" i="1"/>
  <c r="Q1856" i="1"/>
  <c r="R1856" i="1"/>
  <c r="M1857" i="1"/>
  <c r="O1857" i="1"/>
  <c r="P1857" i="1"/>
  <c r="Q1857" i="1"/>
  <c r="R1857" i="1"/>
  <c r="M1858" i="1"/>
  <c r="O1858" i="1"/>
  <c r="P1858" i="1"/>
  <c r="Q1858" i="1"/>
  <c r="R1858" i="1"/>
  <c r="M1859" i="1"/>
  <c r="O1859" i="1"/>
  <c r="P1859" i="1"/>
  <c r="Q1859" i="1"/>
  <c r="R1859" i="1"/>
  <c r="M1860" i="1"/>
  <c r="O1860" i="1"/>
  <c r="P1860" i="1"/>
  <c r="Q1860" i="1"/>
  <c r="R1860" i="1"/>
  <c r="M1861" i="1"/>
  <c r="O1861" i="1"/>
  <c r="P1861" i="1"/>
  <c r="Q1861" i="1"/>
  <c r="R1861" i="1"/>
  <c r="M1862" i="1"/>
  <c r="O1862" i="1"/>
  <c r="P1862" i="1"/>
  <c r="Q1862" i="1"/>
  <c r="R1862" i="1"/>
  <c r="M1863" i="1"/>
  <c r="O1863" i="1"/>
  <c r="P1863" i="1"/>
  <c r="Q1863" i="1"/>
  <c r="R1863" i="1"/>
  <c r="M1864" i="1"/>
  <c r="O1864" i="1"/>
  <c r="P1864" i="1"/>
  <c r="Q1864" i="1"/>
  <c r="R1864" i="1"/>
  <c r="M1865" i="1"/>
  <c r="O1865" i="1"/>
  <c r="P1865" i="1"/>
  <c r="Q1865" i="1"/>
  <c r="R1865" i="1"/>
  <c r="M1866" i="1"/>
  <c r="O1866" i="1"/>
  <c r="P1866" i="1"/>
  <c r="Q1866" i="1"/>
  <c r="R1866" i="1"/>
  <c r="M1867" i="1"/>
  <c r="O1867" i="1"/>
  <c r="P1867" i="1"/>
  <c r="Q1867" i="1"/>
  <c r="R1867" i="1"/>
  <c r="M1868" i="1"/>
  <c r="O1868" i="1"/>
  <c r="P1868" i="1"/>
  <c r="Q1868" i="1"/>
  <c r="R1868" i="1"/>
  <c r="M1869" i="1"/>
  <c r="O1869" i="1"/>
  <c r="P1869" i="1"/>
  <c r="Q1869" i="1"/>
  <c r="R1869" i="1"/>
  <c r="M1870" i="1"/>
  <c r="O1870" i="1"/>
  <c r="P1870" i="1"/>
  <c r="Q1870" i="1"/>
  <c r="R1870" i="1"/>
  <c r="M1871" i="1"/>
  <c r="O1871" i="1"/>
  <c r="P1871" i="1"/>
  <c r="Q1871" i="1"/>
  <c r="R1871" i="1"/>
  <c r="M1872" i="1"/>
  <c r="O1872" i="1"/>
  <c r="P1872" i="1"/>
  <c r="Q1872" i="1"/>
  <c r="R1872" i="1"/>
  <c r="M1873" i="1"/>
  <c r="O1873" i="1"/>
  <c r="P1873" i="1"/>
  <c r="Q1873" i="1"/>
  <c r="R1873" i="1"/>
  <c r="M1874" i="1"/>
  <c r="O1874" i="1"/>
  <c r="P1874" i="1"/>
  <c r="Q1874" i="1"/>
  <c r="R1874" i="1"/>
  <c r="M1875" i="1"/>
  <c r="O1875" i="1"/>
  <c r="P1875" i="1"/>
  <c r="Q1875" i="1"/>
  <c r="R1875" i="1"/>
  <c r="M1876" i="1"/>
  <c r="O1876" i="1"/>
  <c r="P1876" i="1"/>
  <c r="Q1876" i="1"/>
  <c r="R1876" i="1"/>
  <c r="M1877" i="1"/>
  <c r="O1877" i="1"/>
  <c r="P1877" i="1"/>
  <c r="Q1877" i="1"/>
  <c r="R1877" i="1"/>
  <c r="M1878" i="1"/>
  <c r="O1878" i="1"/>
  <c r="P1878" i="1"/>
  <c r="Q1878" i="1"/>
  <c r="R1878" i="1"/>
  <c r="M1879" i="1"/>
  <c r="O1879" i="1"/>
  <c r="P1879" i="1"/>
  <c r="Q1879" i="1"/>
  <c r="R1879" i="1"/>
  <c r="M1880" i="1"/>
  <c r="O1880" i="1"/>
  <c r="P1880" i="1"/>
  <c r="Q1880" i="1"/>
  <c r="R1880" i="1"/>
  <c r="M1881" i="1"/>
  <c r="O1881" i="1"/>
  <c r="P1881" i="1"/>
  <c r="Q1881" i="1"/>
  <c r="R1881" i="1"/>
  <c r="M1882" i="1"/>
  <c r="O1882" i="1"/>
  <c r="P1882" i="1"/>
  <c r="Q1882" i="1"/>
  <c r="R1882" i="1"/>
  <c r="M1883" i="1"/>
  <c r="O1883" i="1"/>
  <c r="P1883" i="1"/>
  <c r="Q1883" i="1"/>
  <c r="R1883" i="1"/>
  <c r="M1884" i="1"/>
  <c r="O1884" i="1"/>
  <c r="P1884" i="1"/>
  <c r="Q1884" i="1"/>
  <c r="R1884" i="1"/>
  <c r="M1885" i="1"/>
  <c r="O1885" i="1"/>
  <c r="P1885" i="1"/>
  <c r="Q1885" i="1"/>
  <c r="R1885" i="1"/>
  <c r="M1886" i="1"/>
  <c r="O1886" i="1"/>
  <c r="P1886" i="1"/>
  <c r="Q1886" i="1"/>
  <c r="R1886" i="1"/>
  <c r="M1887" i="1"/>
  <c r="O1887" i="1"/>
  <c r="P1887" i="1"/>
  <c r="Q1887" i="1"/>
  <c r="R1887" i="1"/>
  <c r="M1888" i="1"/>
  <c r="O1888" i="1"/>
  <c r="P1888" i="1"/>
  <c r="Q1888" i="1"/>
  <c r="R1888" i="1"/>
  <c r="M1889" i="1"/>
  <c r="O1889" i="1"/>
  <c r="P1889" i="1"/>
  <c r="Q1889" i="1"/>
  <c r="R1889" i="1"/>
  <c r="M1890" i="1"/>
  <c r="O1890" i="1"/>
  <c r="P1890" i="1"/>
  <c r="Q1890" i="1"/>
  <c r="R1890" i="1"/>
  <c r="M1891" i="1"/>
  <c r="O1891" i="1"/>
  <c r="P1891" i="1"/>
  <c r="Q1891" i="1"/>
  <c r="R1891" i="1"/>
  <c r="M1892" i="1"/>
  <c r="O1892" i="1"/>
  <c r="P1892" i="1"/>
  <c r="Q1892" i="1"/>
  <c r="R1892" i="1"/>
  <c r="M1893" i="1"/>
  <c r="O1893" i="1"/>
  <c r="P1893" i="1"/>
  <c r="Q1893" i="1"/>
  <c r="R1893" i="1"/>
  <c r="M1894" i="1"/>
  <c r="O1894" i="1"/>
  <c r="P1894" i="1"/>
  <c r="Q1894" i="1"/>
  <c r="R1894" i="1"/>
  <c r="M1895" i="1"/>
  <c r="O1895" i="1"/>
  <c r="P1895" i="1"/>
  <c r="Q1895" i="1"/>
  <c r="R1895" i="1"/>
  <c r="M1896" i="1"/>
  <c r="O1896" i="1"/>
  <c r="P1896" i="1"/>
  <c r="Q1896" i="1"/>
  <c r="R1896" i="1"/>
  <c r="M1897" i="1"/>
  <c r="O1897" i="1"/>
  <c r="P1897" i="1"/>
  <c r="Q1897" i="1"/>
  <c r="R1897" i="1"/>
  <c r="M1898" i="1"/>
  <c r="O1898" i="1"/>
  <c r="P1898" i="1"/>
  <c r="Q1898" i="1"/>
  <c r="R1898" i="1"/>
  <c r="M1899" i="1"/>
  <c r="O1899" i="1"/>
  <c r="P1899" i="1"/>
  <c r="Q1899" i="1"/>
  <c r="R1899" i="1"/>
  <c r="M1900" i="1"/>
  <c r="O1900" i="1"/>
  <c r="P1900" i="1"/>
  <c r="Q1900" i="1"/>
  <c r="R1900" i="1"/>
  <c r="M1901" i="1"/>
  <c r="O1901" i="1"/>
  <c r="P1901" i="1"/>
  <c r="Q1901" i="1"/>
  <c r="R1901" i="1"/>
  <c r="M1902" i="1"/>
  <c r="O1902" i="1"/>
  <c r="P1902" i="1"/>
  <c r="Q1902" i="1"/>
  <c r="R1902" i="1"/>
  <c r="M1903" i="1"/>
  <c r="O1903" i="1"/>
  <c r="P1903" i="1"/>
  <c r="Q1903" i="1"/>
  <c r="R1903" i="1"/>
  <c r="M1904" i="1"/>
  <c r="O1904" i="1"/>
  <c r="P1904" i="1"/>
  <c r="Q1904" i="1"/>
  <c r="R1904" i="1"/>
  <c r="M1905" i="1"/>
  <c r="O1905" i="1"/>
  <c r="P1905" i="1"/>
  <c r="Q1905" i="1"/>
  <c r="R1905" i="1"/>
  <c r="M1906" i="1"/>
  <c r="O1906" i="1"/>
  <c r="P1906" i="1"/>
  <c r="Q1906" i="1"/>
  <c r="R1906" i="1"/>
  <c r="M1907" i="1"/>
  <c r="O1907" i="1"/>
  <c r="P1907" i="1"/>
  <c r="Q1907" i="1"/>
  <c r="R1907" i="1"/>
  <c r="M1908" i="1"/>
  <c r="O1908" i="1"/>
  <c r="P1908" i="1"/>
  <c r="Q1908" i="1"/>
  <c r="R1908" i="1"/>
  <c r="M1909" i="1"/>
  <c r="O1909" i="1"/>
  <c r="P1909" i="1"/>
  <c r="Q1909" i="1"/>
  <c r="R1909" i="1"/>
  <c r="M1910" i="1"/>
  <c r="O1910" i="1"/>
  <c r="P1910" i="1"/>
  <c r="Q1910" i="1"/>
  <c r="R1910" i="1"/>
  <c r="M1911" i="1"/>
  <c r="O1911" i="1"/>
  <c r="P1911" i="1"/>
  <c r="Q1911" i="1"/>
  <c r="R1911" i="1"/>
  <c r="M1912" i="1"/>
  <c r="O1912" i="1"/>
  <c r="P1912" i="1"/>
  <c r="Q1912" i="1"/>
  <c r="R1912" i="1"/>
  <c r="M1913" i="1"/>
  <c r="O1913" i="1"/>
  <c r="P1913" i="1"/>
  <c r="Q1913" i="1"/>
  <c r="R1913" i="1"/>
  <c r="M1914" i="1"/>
  <c r="O1914" i="1"/>
  <c r="P1914" i="1"/>
  <c r="Q1914" i="1"/>
  <c r="R1914" i="1"/>
  <c r="M1915" i="1"/>
  <c r="O1915" i="1"/>
  <c r="P1915" i="1"/>
  <c r="Q1915" i="1"/>
  <c r="R1915" i="1"/>
  <c r="M1916" i="1"/>
  <c r="O1916" i="1"/>
  <c r="P1916" i="1"/>
  <c r="Q1916" i="1"/>
  <c r="R1916" i="1"/>
  <c r="M1917" i="1"/>
  <c r="O1917" i="1"/>
  <c r="P1917" i="1"/>
  <c r="Q1917" i="1"/>
  <c r="R1917" i="1"/>
  <c r="M1918" i="1"/>
  <c r="O1918" i="1"/>
  <c r="P1918" i="1"/>
  <c r="Q1918" i="1"/>
  <c r="R1918" i="1"/>
  <c r="M1919" i="1"/>
  <c r="O1919" i="1"/>
  <c r="P1919" i="1"/>
  <c r="Q1919" i="1"/>
  <c r="R1919" i="1"/>
  <c r="M1920" i="1"/>
  <c r="O1920" i="1"/>
  <c r="P1920" i="1"/>
  <c r="Q1920" i="1"/>
  <c r="R1920" i="1"/>
  <c r="M1921" i="1"/>
  <c r="O1921" i="1"/>
  <c r="P1921" i="1"/>
  <c r="Q1921" i="1"/>
  <c r="R1921" i="1"/>
  <c r="M1922" i="1"/>
  <c r="O1922" i="1"/>
  <c r="P1922" i="1"/>
  <c r="Q1922" i="1"/>
  <c r="R1922" i="1"/>
  <c r="M1923" i="1"/>
  <c r="O1923" i="1"/>
  <c r="P1923" i="1"/>
  <c r="Q1923" i="1"/>
  <c r="R1923" i="1"/>
  <c r="M1924" i="1"/>
  <c r="O1924" i="1"/>
  <c r="P1924" i="1"/>
  <c r="Q1924" i="1"/>
  <c r="R1924" i="1"/>
  <c r="M1925" i="1"/>
  <c r="O1925" i="1"/>
  <c r="P1925" i="1"/>
  <c r="Q1925" i="1"/>
  <c r="R1925" i="1"/>
  <c r="M1926" i="1"/>
  <c r="O1926" i="1"/>
  <c r="P1926" i="1"/>
  <c r="Q1926" i="1"/>
  <c r="R1926" i="1"/>
  <c r="M1927" i="1"/>
  <c r="O1927" i="1"/>
  <c r="P1927" i="1"/>
  <c r="Q1927" i="1"/>
  <c r="R1927" i="1"/>
  <c r="M1928" i="1"/>
  <c r="O1928" i="1"/>
  <c r="P1928" i="1"/>
  <c r="Q1928" i="1"/>
  <c r="R1928" i="1"/>
  <c r="M1929" i="1"/>
  <c r="O1929" i="1"/>
  <c r="P1929" i="1"/>
  <c r="Q1929" i="1"/>
  <c r="R1929" i="1"/>
  <c r="M1930" i="1"/>
  <c r="O1930" i="1"/>
  <c r="P1930" i="1"/>
  <c r="Q1930" i="1"/>
  <c r="R1930" i="1"/>
  <c r="M1931" i="1"/>
  <c r="O1931" i="1"/>
  <c r="P1931" i="1"/>
  <c r="Q1931" i="1"/>
  <c r="R1931" i="1"/>
  <c r="M1932" i="1"/>
  <c r="O1932" i="1"/>
  <c r="P1932" i="1"/>
  <c r="Q1932" i="1"/>
  <c r="R1932" i="1"/>
  <c r="M1933" i="1"/>
  <c r="O1933" i="1"/>
  <c r="P1933" i="1"/>
  <c r="Q1933" i="1"/>
  <c r="R1933" i="1"/>
  <c r="M1934" i="1"/>
  <c r="O1934" i="1"/>
  <c r="P1934" i="1"/>
  <c r="Q1934" i="1"/>
  <c r="R1934" i="1"/>
  <c r="M1935" i="1"/>
  <c r="O1935" i="1"/>
  <c r="P1935" i="1"/>
  <c r="Q1935" i="1"/>
  <c r="R1935" i="1"/>
  <c r="M1936" i="1"/>
  <c r="O1936" i="1"/>
  <c r="P1936" i="1"/>
  <c r="Q1936" i="1"/>
  <c r="R1936" i="1"/>
  <c r="M1937" i="1"/>
  <c r="O1937" i="1"/>
  <c r="P1937" i="1"/>
  <c r="Q1937" i="1"/>
  <c r="R1937" i="1"/>
  <c r="M1938" i="1"/>
  <c r="O1938" i="1"/>
  <c r="P1938" i="1"/>
  <c r="Q1938" i="1"/>
  <c r="R1938" i="1"/>
  <c r="M1939" i="1"/>
  <c r="O1939" i="1"/>
  <c r="P1939" i="1"/>
  <c r="Q1939" i="1"/>
  <c r="R1939" i="1"/>
  <c r="M1940" i="1"/>
  <c r="O1940" i="1"/>
  <c r="P1940" i="1"/>
  <c r="Q1940" i="1"/>
  <c r="R1940" i="1"/>
  <c r="M1941" i="1"/>
  <c r="O1941" i="1"/>
  <c r="P1941" i="1"/>
  <c r="Q1941" i="1"/>
  <c r="R1941" i="1"/>
  <c r="M1942" i="1"/>
  <c r="O1942" i="1"/>
  <c r="P1942" i="1"/>
  <c r="Q1942" i="1"/>
  <c r="R1942" i="1"/>
  <c r="M1943" i="1"/>
  <c r="O1943" i="1"/>
  <c r="P1943" i="1"/>
  <c r="Q1943" i="1"/>
  <c r="R1943" i="1"/>
  <c r="M1944" i="1"/>
  <c r="O1944" i="1"/>
  <c r="P1944" i="1"/>
  <c r="Q1944" i="1"/>
  <c r="R1944" i="1"/>
  <c r="M1945" i="1"/>
  <c r="O1945" i="1"/>
  <c r="P1945" i="1"/>
  <c r="Q1945" i="1"/>
  <c r="R1945" i="1"/>
  <c r="M1946" i="1"/>
  <c r="O1946" i="1"/>
  <c r="P1946" i="1"/>
  <c r="Q1946" i="1"/>
  <c r="R1946" i="1"/>
  <c r="M1947" i="1"/>
  <c r="O1947" i="1"/>
  <c r="P1947" i="1"/>
  <c r="Q1947" i="1"/>
  <c r="R1947" i="1"/>
  <c r="M1948" i="1"/>
  <c r="O1948" i="1"/>
  <c r="P1948" i="1"/>
  <c r="Q1948" i="1"/>
  <c r="R1948" i="1"/>
  <c r="M1949" i="1"/>
  <c r="O1949" i="1"/>
  <c r="P1949" i="1"/>
  <c r="Q1949" i="1"/>
  <c r="R1949" i="1"/>
  <c r="M1950" i="1"/>
  <c r="O1950" i="1"/>
  <c r="P1950" i="1"/>
  <c r="Q1950" i="1"/>
  <c r="R1950" i="1"/>
  <c r="M1951" i="1"/>
  <c r="O1951" i="1"/>
  <c r="P1951" i="1"/>
  <c r="Q1951" i="1"/>
  <c r="R1951" i="1"/>
  <c r="M1952" i="1"/>
  <c r="O1952" i="1"/>
  <c r="P1952" i="1"/>
  <c r="Q1952" i="1"/>
  <c r="R1952" i="1"/>
  <c r="M1953" i="1"/>
  <c r="O1953" i="1"/>
  <c r="P1953" i="1"/>
  <c r="Q1953" i="1"/>
  <c r="R1953" i="1"/>
  <c r="M1954" i="1"/>
  <c r="O1954" i="1"/>
  <c r="P1954" i="1"/>
  <c r="Q1954" i="1"/>
  <c r="R1954" i="1"/>
  <c r="M1955" i="1"/>
  <c r="O1955" i="1"/>
  <c r="P1955" i="1"/>
  <c r="Q1955" i="1"/>
  <c r="R1955" i="1"/>
  <c r="M1956" i="1"/>
  <c r="O1956" i="1"/>
  <c r="P1956" i="1"/>
  <c r="Q1956" i="1"/>
  <c r="R1956" i="1"/>
  <c r="M1957" i="1"/>
  <c r="O1957" i="1"/>
  <c r="P1957" i="1"/>
  <c r="Q1957" i="1"/>
  <c r="R1957" i="1"/>
  <c r="M1958" i="1"/>
  <c r="O1958" i="1"/>
  <c r="P1958" i="1"/>
  <c r="Q1958" i="1"/>
  <c r="R1958" i="1"/>
  <c r="M1959" i="1"/>
  <c r="O1959" i="1"/>
  <c r="P1959" i="1"/>
  <c r="Q1959" i="1"/>
  <c r="R1959" i="1"/>
  <c r="M1960" i="1"/>
  <c r="O1960" i="1"/>
  <c r="P1960" i="1"/>
  <c r="Q1960" i="1"/>
  <c r="R1960" i="1"/>
  <c r="M1961" i="1"/>
  <c r="O1961" i="1"/>
  <c r="P1961" i="1"/>
  <c r="Q1961" i="1"/>
  <c r="R1961" i="1"/>
  <c r="M1962" i="1"/>
  <c r="O1962" i="1"/>
  <c r="P1962" i="1"/>
  <c r="Q1962" i="1"/>
  <c r="R1962" i="1"/>
  <c r="M1963" i="1"/>
  <c r="O1963" i="1"/>
  <c r="P1963" i="1"/>
  <c r="Q1963" i="1"/>
  <c r="R1963" i="1"/>
  <c r="M1964" i="1"/>
  <c r="O1964" i="1"/>
  <c r="P1964" i="1"/>
  <c r="Q1964" i="1"/>
  <c r="R1964" i="1"/>
  <c r="M1965" i="1"/>
  <c r="O1965" i="1"/>
  <c r="P1965" i="1"/>
  <c r="Q1965" i="1"/>
  <c r="R1965" i="1"/>
  <c r="M1966" i="1"/>
  <c r="O1966" i="1"/>
  <c r="P1966" i="1"/>
  <c r="Q1966" i="1"/>
  <c r="R1966" i="1"/>
  <c r="M1967" i="1"/>
  <c r="O1967" i="1"/>
  <c r="P1967" i="1"/>
  <c r="Q1967" i="1"/>
  <c r="R1967" i="1"/>
  <c r="M1968" i="1"/>
  <c r="O1968" i="1"/>
  <c r="P1968" i="1"/>
  <c r="Q1968" i="1"/>
  <c r="R1968" i="1"/>
  <c r="M1969" i="1"/>
  <c r="O1969" i="1"/>
  <c r="P1969" i="1"/>
  <c r="Q1969" i="1"/>
  <c r="R1969" i="1"/>
  <c r="M1970" i="1"/>
  <c r="O1970" i="1"/>
  <c r="P1970" i="1"/>
  <c r="Q1970" i="1"/>
  <c r="R1970" i="1"/>
  <c r="M1971" i="1"/>
  <c r="O1971" i="1"/>
  <c r="P1971" i="1"/>
  <c r="Q1971" i="1"/>
  <c r="R1971" i="1"/>
  <c r="M1972" i="1"/>
  <c r="O1972" i="1"/>
  <c r="P1972" i="1"/>
  <c r="Q1972" i="1"/>
  <c r="R1972" i="1"/>
  <c r="M1973" i="1"/>
  <c r="O1973" i="1"/>
  <c r="P1973" i="1"/>
  <c r="Q1973" i="1"/>
  <c r="R1973" i="1"/>
  <c r="M1974" i="1"/>
  <c r="O1974" i="1"/>
  <c r="P1974" i="1"/>
  <c r="Q1974" i="1"/>
  <c r="R1974" i="1"/>
  <c r="M1975" i="1"/>
  <c r="O1975" i="1"/>
  <c r="P1975" i="1"/>
  <c r="Q1975" i="1"/>
  <c r="R1975" i="1"/>
  <c r="M1976" i="1"/>
  <c r="O1976" i="1"/>
  <c r="P1976" i="1"/>
  <c r="Q1976" i="1"/>
  <c r="R1976" i="1"/>
  <c r="M1977" i="1"/>
  <c r="O1977" i="1"/>
  <c r="P1977" i="1"/>
  <c r="Q1977" i="1"/>
  <c r="R1977" i="1"/>
  <c r="M1978" i="1"/>
  <c r="O1978" i="1"/>
  <c r="P1978" i="1"/>
  <c r="Q1978" i="1"/>
  <c r="R1978" i="1"/>
  <c r="M1979" i="1"/>
  <c r="O1979" i="1"/>
  <c r="P1979" i="1"/>
  <c r="Q1979" i="1"/>
  <c r="R1979" i="1"/>
  <c r="M1980" i="1"/>
  <c r="O1980" i="1"/>
  <c r="P1980" i="1"/>
  <c r="Q1980" i="1"/>
  <c r="R1980" i="1"/>
  <c r="M1981" i="1"/>
  <c r="O1981" i="1"/>
  <c r="P1981" i="1"/>
  <c r="Q1981" i="1"/>
  <c r="R1981" i="1"/>
  <c r="M1982" i="1"/>
  <c r="O1982" i="1"/>
  <c r="P1982" i="1"/>
  <c r="Q1982" i="1"/>
  <c r="R1982" i="1"/>
  <c r="M1983" i="1"/>
  <c r="O1983" i="1"/>
  <c r="P1983" i="1"/>
  <c r="Q1983" i="1"/>
  <c r="R1983" i="1"/>
  <c r="M1984" i="1"/>
  <c r="O1984" i="1"/>
  <c r="P1984" i="1"/>
  <c r="Q1984" i="1"/>
  <c r="R1984" i="1"/>
  <c r="M1985" i="1"/>
  <c r="O1985" i="1"/>
  <c r="P1985" i="1"/>
  <c r="Q1985" i="1"/>
  <c r="R1985" i="1"/>
  <c r="M1986" i="1"/>
  <c r="O1986" i="1"/>
  <c r="P1986" i="1"/>
  <c r="Q1986" i="1"/>
  <c r="R1986" i="1"/>
  <c r="M1987" i="1"/>
  <c r="O1987" i="1"/>
  <c r="P1987" i="1"/>
  <c r="Q1987" i="1"/>
  <c r="R1987" i="1"/>
  <c r="M1988" i="1"/>
  <c r="O1988" i="1"/>
  <c r="P1988" i="1"/>
  <c r="Q1988" i="1"/>
  <c r="R1988" i="1"/>
  <c r="M1989" i="1"/>
  <c r="O1989" i="1"/>
  <c r="P1989" i="1"/>
  <c r="Q1989" i="1"/>
  <c r="R1989" i="1"/>
  <c r="M1990" i="1"/>
  <c r="O1990" i="1"/>
  <c r="P1990" i="1"/>
  <c r="Q1990" i="1"/>
  <c r="R1990" i="1"/>
  <c r="M1991" i="1"/>
  <c r="O1991" i="1"/>
  <c r="P1991" i="1"/>
  <c r="Q1991" i="1"/>
  <c r="R1991" i="1"/>
  <c r="M1992" i="1"/>
  <c r="O1992" i="1"/>
  <c r="P1992" i="1"/>
  <c r="Q1992" i="1"/>
  <c r="R1992" i="1"/>
  <c r="M1993" i="1"/>
  <c r="O1993" i="1"/>
  <c r="P1993" i="1"/>
  <c r="Q1993" i="1"/>
  <c r="R1993" i="1"/>
  <c r="M1994" i="1"/>
  <c r="O1994" i="1"/>
  <c r="P1994" i="1"/>
  <c r="Q1994" i="1"/>
  <c r="R1994" i="1"/>
  <c r="M1995" i="1"/>
  <c r="O1995" i="1"/>
  <c r="P1995" i="1"/>
  <c r="Q1995" i="1"/>
  <c r="R1995" i="1"/>
  <c r="M1996" i="1"/>
  <c r="O1996" i="1"/>
  <c r="P1996" i="1"/>
  <c r="Q1996" i="1"/>
  <c r="R1996" i="1"/>
  <c r="M1997" i="1"/>
  <c r="O1997" i="1"/>
  <c r="P1997" i="1"/>
  <c r="Q1997" i="1"/>
  <c r="R1997" i="1"/>
  <c r="M1998" i="1"/>
  <c r="O1998" i="1"/>
  <c r="P1998" i="1"/>
  <c r="Q1998" i="1"/>
  <c r="R1998" i="1"/>
  <c r="M1999" i="1"/>
  <c r="O1999" i="1"/>
  <c r="P1999" i="1"/>
  <c r="Q1999" i="1"/>
  <c r="R1999" i="1"/>
  <c r="M2000" i="1"/>
  <c r="O2000" i="1"/>
  <c r="P2000" i="1"/>
  <c r="Q2000" i="1"/>
  <c r="R2000" i="1"/>
  <c r="M2001" i="1"/>
  <c r="O2001" i="1"/>
  <c r="P2001" i="1"/>
  <c r="Q2001" i="1"/>
  <c r="R2001" i="1"/>
  <c r="M2002" i="1"/>
  <c r="O2002" i="1"/>
  <c r="P2002" i="1"/>
  <c r="Q2002" i="1"/>
  <c r="R2002" i="1"/>
  <c r="M2003" i="1"/>
  <c r="O2003" i="1"/>
  <c r="P2003" i="1"/>
  <c r="Q2003" i="1"/>
  <c r="R2003" i="1"/>
  <c r="M2004" i="1"/>
  <c r="O2004" i="1"/>
  <c r="P2004" i="1"/>
  <c r="Q2004" i="1"/>
  <c r="R2004" i="1"/>
  <c r="M2005" i="1"/>
  <c r="O2005" i="1"/>
  <c r="P2005" i="1"/>
  <c r="Q2005" i="1"/>
  <c r="R2005" i="1"/>
  <c r="M2006" i="1"/>
  <c r="O2006" i="1"/>
  <c r="P2006" i="1"/>
  <c r="Q2006" i="1"/>
  <c r="R2006" i="1"/>
  <c r="M2007" i="1"/>
  <c r="O2007" i="1"/>
  <c r="P2007" i="1"/>
  <c r="Q2007" i="1"/>
  <c r="R2007" i="1"/>
  <c r="M2008" i="1"/>
  <c r="O2008" i="1"/>
  <c r="P2008" i="1"/>
  <c r="Q2008" i="1"/>
  <c r="R2008" i="1"/>
  <c r="M2009" i="1"/>
  <c r="O2009" i="1"/>
  <c r="P2009" i="1"/>
  <c r="Q2009" i="1"/>
  <c r="R2009" i="1"/>
  <c r="M2010" i="1"/>
  <c r="O2010" i="1"/>
  <c r="P2010" i="1"/>
  <c r="Q2010" i="1"/>
  <c r="R2010" i="1"/>
  <c r="M2011" i="1"/>
  <c r="O2011" i="1"/>
  <c r="P2011" i="1"/>
  <c r="Q2011" i="1"/>
  <c r="R2011" i="1"/>
  <c r="M2012" i="1"/>
  <c r="O2012" i="1"/>
  <c r="P2012" i="1"/>
  <c r="Q2012" i="1"/>
  <c r="R2012" i="1"/>
  <c r="M2013" i="1"/>
  <c r="O2013" i="1"/>
  <c r="P2013" i="1"/>
  <c r="Q2013" i="1"/>
  <c r="R2013" i="1"/>
  <c r="M2014" i="1"/>
  <c r="O2014" i="1"/>
  <c r="P2014" i="1"/>
  <c r="Q2014" i="1"/>
  <c r="R2014" i="1"/>
  <c r="M2015" i="1"/>
  <c r="O2015" i="1"/>
  <c r="P2015" i="1"/>
  <c r="Q2015" i="1"/>
  <c r="R2015" i="1"/>
  <c r="M2016" i="1"/>
  <c r="O2016" i="1"/>
  <c r="P2016" i="1"/>
  <c r="Q2016" i="1"/>
  <c r="R2016" i="1"/>
  <c r="M2017" i="1"/>
  <c r="O2017" i="1"/>
  <c r="P2017" i="1"/>
  <c r="Q2017" i="1"/>
  <c r="R2017" i="1"/>
  <c r="M2018" i="1"/>
  <c r="O2018" i="1"/>
  <c r="P2018" i="1"/>
  <c r="Q2018" i="1"/>
  <c r="R2018" i="1"/>
  <c r="M2019" i="1"/>
  <c r="O2019" i="1"/>
  <c r="P2019" i="1"/>
  <c r="Q2019" i="1"/>
  <c r="R2019" i="1"/>
  <c r="M2020" i="1"/>
  <c r="O2020" i="1"/>
  <c r="P2020" i="1"/>
  <c r="Q2020" i="1"/>
  <c r="R2020" i="1"/>
  <c r="M2021" i="1"/>
  <c r="O2021" i="1"/>
  <c r="P2021" i="1"/>
  <c r="Q2021" i="1"/>
  <c r="R2021" i="1"/>
  <c r="M2022" i="1"/>
  <c r="O2022" i="1"/>
  <c r="P2022" i="1"/>
  <c r="Q2022" i="1"/>
  <c r="R2022" i="1"/>
  <c r="M2023" i="1"/>
  <c r="O2023" i="1"/>
  <c r="P2023" i="1"/>
  <c r="Q2023" i="1"/>
  <c r="R2023" i="1"/>
  <c r="M2024" i="1"/>
  <c r="O2024" i="1"/>
  <c r="P2024" i="1"/>
  <c r="Q2024" i="1"/>
  <c r="R2024" i="1"/>
  <c r="M2025" i="1"/>
  <c r="O2025" i="1"/>
  <c r="P2025" i="1"/>
  <c r="Q2025" i="1"/>
  <c r="R2025" i="1"/>
  <c r="M2026" i="1"/>
  <c r="O2026" i="1"/>
  <c r="P2026" i="1"/>
  <c r="Q2026" i="1"/>
  <c r="R2026" i="1"/>
  <c r="M2027" i="1"/>
  <c r="O2027" i="1"/>
  <c r="P2027" i="1"/>
  <c r="Q2027" i="1"/>
  <c r="R2027" i="1"/>
  <c r="M2028" i="1"/>
  <c r="O2028" i="1"/>
  <c r="P2028" i="1"/>
  <c r="Q2028" i="1"/>
  <c r="R2028" i="1"/>
  <c r="M2029" i="1"/>
  <c r="O2029" i="1"/>
  <c r="P2029" i="1"/>
  <c r="Q2029" i="1"/>
  <c r="R2029" i="1"/>
  <c r="M2030" i="1"/>
  <c r="O2030" i="1"/>
  <c r="P2030" i="1"/>
  <c r="Q2030" i="1"/>
  <c r="R2030" i="1"/>
  <c r="M2031" i="1"/>
  <c r="O2031" i="1"/>
  <c r="P2031" i="1"/>
  <c r="Q2031" i="1"/>
  <c r="R2031" i="1"/>
  <c r="M2032" i="1"/>
  <c r="O2032" i="1"/>
  <c r="P2032" i="1"/>
  <c r="Q2032" i="1"/>
  <c r="R2032" i="1"/>
  <c r="M2033" i="1"/>
  <c r="O2033" i="1"/>
  <c r="P2033" i="1"/>
  <c r="Q2033" i="1"/>
  <c r="R2033" i="1"/>
  <c r="M2034" i="1"/>
  <c r="O2034" i="1"/>
  <c r="P2034" i="1"/>
  <c r="Q2034" i="1"/>
  <c r="R2034" i="1"/>
  <c r="M2035" i="1"/>
  <c r="O2035" i="1"/>
  <c r="P2035" i="1"/>
  <c r="Q2035" i="1"/>
  <c r="R2035" i="1"/>
  <c r="M2036" i="1"/>
  <c r="O2036" i="1"/>
  <c r="P2036" i="1"/>
  <c r="Q2036" i="1"/>
  <c r="R2036" i="1"/>
  <c r="M2037" i="1"/>
  <c r="O2037" i="1"/>
  <c r="P2037" i="1"/>
  <c r="Q2037" i="1"/>
  <c r="R2037" i="1"/>
  <c r="M2038" i="1"/>
  <c r="O2038" i="1"/>
  <c r="P2038" i="1"/>
  <c r="Q2038" i="1"/>
  <c r="R2038" i="1"/>
  <c r="M2039" i="1"/>
  <c r="O2039" i="1"/>
  <c r="P2039" i="1"/>
  <c r="Q2039" i="1"/>
  <c r="R2039" i="1"/>
  <c r="M2040" i="1"/>
  <c r="O2040" i="1"/>
  <c r="P2040" i="1"/>
  <c r="Q2040" i="1"/>
  <c r="R2040" i="1"/>
  <c r="M2041" i="1"/>
  <c r="O2041" i="1"/>
  <c r="P2041" i="1"/>
  <c r="Q2041" i="1"/>
  <c r="R2041" i="1"/>
  <c r="M2042" i="1"/>
  <c r="O2042" i="1"/>
  <c r="P2042" i="1"/>
  <c r="Q2042" i="1"/>
  <c r="R2042" i="1"/>
  <c r="M2043" i="1"/>
  <c r="O2043" i="1"/>
  <c r="P2043" i="1"/>
  <c r="Q2043" i="1"/>
  <c r="R2043" i="1"/>
  <c r="M2044" i="1"/>
  <c r="O2044" i="1"/>
  <c r="P2044" i="1"/>
  <c r="Q2044" i="1"/>
  <c r="R2044" i="1"/>
  <c r="M2045" i="1"/>
  <c r="O2045" i="1"/>
  <c r="P2045" i="1"/>
  <c r="Q2045" i="1"/>
  <c r="R2045" i="1"/>
  <c r="M2046" i="1"/>
  <c r="O2046" i="1"/>
  <c r="P2046" i="1"/>
  <c r="Q2046" i="1"/>
  <c r="R2046" i="1"/>
  <c r="M2047" i="1"/>
  <c r="O2047" i="1"/>
  <c r="P2047" i="1"/>
  <c r="Q2047" i="1"/>
  <c r="R2047" i="1"/>
  <c r="M2048" i="1"/>
  <c r="O2048" i="1"/>
  <c r="P2048" i="1"/>
  <c r="Q2048" i="1"/>
  <c r="R2048" i="1"/>
  <c r="M2049" i="1"/>
  <c r="O2049" i="1"/>
  <c r="P2049" i="1"/>
  <c r="Q2049" i="1"/>
  <c r="R2049" i="1"/>
  <c r="M2050" i="1"/>
  <c r="O2050" i="1"/>
  <c r="P2050" i="1"/>
  <c r="Q2050" i="1"/>
  <c r="R2050" i="1"/>
  <c r="M2051" i="1"/>
  <c r="O2051" i="1"/>
  <c r="P2051" i="1"/>
  <c r="Q2051" i="1"/>
  <c r="R2051" i="1"/>
  <c r="M2052" i="1"/>
  <c r="O2052" i="1"/>
  <c r="P2052" i="1"/>
  <c r="Q2052" i="1"/>
  <c r="R2052" i="1"/>
  <c r="M2053" i="1"/>
  <c r="O2053" i="1"/>
  <c r="P2053" i="1"/>
  <c r="Q2053" i="1"/>
  <c r="R2053" i="1"/>
  <c r="M2054" i="1"/>
  <c r="O2054" i="1"/>
  <c r="P2054" i="1"/>
  <c r="Q2054" i="1"/>
  <c r="R2054" i="1"/>
  <c r="M2055" i="1"/>
  <c r="O2055" i="1"/>
  <c r="P2055" i="1"/>
  <c r="Q2055" i="1"/>
  <c r="R2055" i="1"/>
  <c r="M2056" i="1"/>
  <c r="O2056" i="1"/>
  <c r="P2056" i="1"/>
  <c r="Q2056" i="1"/>
  <c r="R2056" i="1"/>
  <c r="M2057" i="1"/>
  <c r="O2057" i="1"/>
  <c r="P2057" i="1"/>
  <c r="Q2057" i="1"/>
  <c r="R2057" i="1"/>
  <c r="M2058" i="1"/>
  <c r="O2058" i="1"/>
  <c r="P2058" i="1"/>
  <c r="Q2058" i="1"/>
  <c r="R2058" i="1"/>
  <c r="M2059" i="1"/>
  <c r="O2059" i="1"/>
  <c r="P2059" i="1"/>
  <c r="Q2059" i="1"/>
  <c r="R2059" i="1"/>
  <c r="M2060" i="1"/>
  <c r="O2060" i="1"/>
  <c r="P2060" i="1"/>
  <c r="Q2060" i="1"/>
  <c r="R2060" i="1"/>
  <c r="M2061" i="1"/>
  <c r="O2061" i="1"/>
  <c r="P2061" i="1"/>
  <c r="Q2061" i="1"/>
  <c r="R2061" i="1"/>
  <c r="M2062" i="1"/>
  <c r="O2062" i="1"/>
  <c r="P2062" i="1"/>
  <c r="Q2062" i="1"/>
  <c r="R2062" i="1"/>
  <c r="M2063" i="1"/>
  <c r="O2063" i="1"/>
  <c r="P2063" i="1"/>
  <c r="Q2063" i="1"/>
  <c r="R2063" i="1"/>
  <c r="M2064" i="1"/>
  <c r="O2064" i="1"/>
  <c r="P2064" i="1"/>
  <c r="Q2064" i="1"/>
  <c r="R2064" i="1"/>
  <c r="M2065" i="1"/>
  <c r="O2065" i="1"/>
  <c r="P2065" i="1"/>
  <c r="Q2065" i="1"/>
  <c r="R2065" i="1"/>
  <c r="M2066" i="1"/>
  <c r="O2066" i="1"/>
  <c r="P2066" i="1"/>
  <c r="Q2066" i="1"/>
  <c r="R2066" i="1"/>
  <c r="M2067" i="1"/>
  <c r="O2067" i="1"/>
  <c r="P2067" i="1"/>
  <c r="Q2067" i="1"/>
  <c r="R2067" i="1"/>
  <c r="M2068" i="1"/>
  <c r="O2068" i="1"/>
  <c r="P2068" i="1"/>
  <c r="Q2068" i="1"/>
  <c r="R2068" i="1"/>
  <c r="M2069" i="1"/>
  <c r="O2069" i="1"/>
  <c r="P2069" i="1"/>
  <c r="Q2069" i="1"/>
  <c r="R2069" i="1"/>
  <c r="M2070" i="1"/>
  <c r="O2070" i="1"/>
  <c r="P2070" i="1"/>
  <c r="Q2070" i="1"/>
  <c r="R2070" i="1"/>
  <c r="M2071" i="1"/>
  <c r="O2071" i="1"/>
  <c r="P2071" i="1"/>
  <c r="Q2071" i="1"/>
  <c r="R2071" i="1"/>
  <c r="M2072" i="1"/>
  <c r="O2072" i="1"/>
  <c r="P2072" i="1"/>
  <c r="Q2072" i="1"/>
  <c r="R2072" i="1"/>
  <c r="M2073" i="1"/>
  <c r="O2073" i="1"/>
  <c r="P2073" i="1"/>
  <c r="Q2073" i="1"/>
  <c r="R2073" i="1"/>
  <c r="M2074" i="1"/>
  <c r="O2074" i="1"/>
  <c r="P2074" i="1"/>
  <c r="Q2074" i="1"/>
  <c r="R2074" i="1"/>
  <c r="M2075" i="1"/>
  <c r="O2075" i="1"/>
  <c r="P2075" i="1"/>
  <c r="Q2075" i="1"/>
  <c r="R2075" i="1"/>
  <c r="M2076" i="1"/>
  <c r="O2076" i="1"/>
  <c r="P2076" i="1"/>
  <c r="Q2076" i="1"/>
  <c r="R2076" i="1"/>
  <c r="M2077" i="1"/>
  <c r="O2077" i="1"/>
  <c r="P2077" i="1"/>
  <c r="Q2077" i="1"/>
  <c r="R2077" i="1"/>
  <c r="M2078" i="1"/>
  <c r="O2078" i="1"/>
  <c r="P2078" i="1"/>
  <c r="Q2078" i="1"/>
  <c r="R2078" i="1"/>
  <c r="M2079" i="1"/>
  <c r="O2079" i="1"/>
  <c r="P2079" i="1"/>
  <c r="Q2079" i="1"/>
  <c r="R2079" i="1"/>
  <c r="M2080" i="1"/>
  <c r="O2080" i="1"/>
  <c r="P2080" i="1"/>
  <c r="Q2080" i="1"/>
  <c r="R2080" i="1"/>
  <c r="M2081" i="1"/>
  <c r="O2081" i="1"/>
  <c r="P2081" i="1"/>
  <c r="Q2081" i="1"/>
  <c r="R2081" i="1"/>
  <c r="M2082" i="1"/>
  <c r="O2082" i="1"/>
  <c r="P2082" i="1"/>
  <c r="Q2082" i="1"/>
  <c r="R2082" i="1"/>
  <c r="M2083" i="1"/>
  <c r="O2083" i="1"/>
  <c r="P2083" i="1"/>
  <c r="Q2083" i="1"/>
  <c r="R2083" i="1"/>
  <c r="M2084" i="1"/>
  <c r="O2084" i="1"/>
  <c r="P2084" i="1"/>
  <c r="Q2084" i="1"/>
  <c r="R2084" i="1"/>
  <c r="M2085" i="1"/>
  <c r="O2085" i="1"/>
  <c r="P2085" i="1"/>
  <c r="Q2085" i="1"/>
  <c r="R2085" i="1"/>
  <c r="M2086" i="1"/>
  <c r="O2086" i="1"/>
  <c r="P2086" i="1"/>
  <c r="Q2086" i="1"/>
  <c r="R2086" i="1"/>
  <c r="M2087" i="1"/>
  <c r="O2087" i="1"/>
  <c r="P2087" i="1"/>
  <c r="Q2087" i="1"/>
  <c r="R2087" i="1"/>
  <c r="M2088" i="1"/>
  <c r="O2088" i="1"/>
  <c r="P2088" i="1"/>
  <c r="Q2088" i="1"/>
  <c r="R2088" i="1"/>
  <c r="M2089" i="1"/>
  <c r="O2089" i="1"/>
  <c r="P2089" i="1"/>
  <c r="Q2089" i="1"/>
  <c r="R2089" i="1"/>
  <c r="M2090" i="1"/>
  <c r="O2090" i="1"/>
  <c r="P2090" i="1"/>
  <c r="Q2090" i="1"/>
  <c r="R2090" i="1"/>
  <c r="M2091" i="1"/>
  <c r="O2091" i="1"/>
  <c r="P2091" i="1"/>
  <c r="Q2091" i="1"/>
  <c r="R2091" i="1"/>
  <c r="M2092" i="1"/>
  <c r="O2092" i="1"/>
  <c r="P2092" i="1"/>
  <c r="Q2092" i="1"/>
  <c r="R2092" i="1"/>
  <c r="M2093" i="1"/>
  <c r="O2093" i="1"/>
  <c r="P2093" i="1"/>
  <c r="Q2093" i="1"/>
  <c r="R2093" i="1"/>
  <c r="M2094" i="1"/>
  <c r="O2094" i="1"/>
  <c r="P2094" i="1"/>
  <c r="Q2094" i="1"/>
  <c r="R2094" i="1"/>
  <c r="M2095" i="1"/>
  <c r="O2095" i="1"/>
  <c r="P2095" i="1"/>
  <c r="Q2095" i="1"/>
  <c r="R2095" i="1"/>
  <c r="M2096" i="1"/>
  <c r="O2096" i="1"/>
  <c r="P2096" i="1"/>
  <c r="Q2096" i="1"/>
  <c r="R2096" i="1"/>
  <c r="M2097" i="1"/>
  <c r="O2097" i="1"/>
  <c r="P2097" i="1"/>
  <c r="Q2097" i="1"/>
  <c r="R2097" i="1"/>
  <c r="M2098" i="1"/>
  <c r="O2098" i="1"/>
  <c r="P2098" i="1"/>
  <c r="Q2098" i="1"/>
  <c r="R2098" i="1"/>
  <c r="M2099" i="1"/>
  <c r="O2099" i="1"/>
  <c r="P2099" i="1"/>
  <c r="Q2099" i="1"/>
  <c r="R2099" i="1"/>
  <c r="M2100" i="1"/>
  <c r="O2100" i="1"/>
  <c r="P2100" i="1"/>
  <c r="Q2100" i="1"/>
  <c r="R2100" i="1"/>
  <c r="M2101" i="1"/>
  <c r="O2101" i="1"/>
  <c r="P2101" i="1"/>
  <c r="Q2101" i="1"/>
  <c r="R2101" i="1"/>
  <c r="M2102" i="1"/>
  <c r="O2102" i="1"/>
  <c r="P2102" i="1"/>
  <c r="Q2102" i="1"/>
  <c r="R2102" i="1"/>
  <c r="M2103" i="1"/>
  <c r="O2103" i="1"/>
  <c r="P2103" i="1"/>
  <c r="Q2103" i="1"/>
  <c r="R2103" i="1"/>
  <c r="M2104" i="1"/>
  <c r="O2104" i="1"/>
  <c r="P2104" i="1"/>
  <c r="Q2104" i="1"/>
  <c r="R2104" i="1"/>
  <c r="M2105" i="1"/>
  <c r="O2105" i="1"/>
  <c r="P2105" i="1"/>
  <c r="Q2105" i="1"/>
  <c r="R2105" i="1"/>
  <c r="M2106" i="1"/>
  <c r="O2106" i="1"/>
  <c r="P2106" i="1"/>
  <c r="Q2106" i="1"/>
  <c r="R2106" i="1"/>
  <c r="M2107" i="1"/>
  <c r="O2107" i="1"/>
  <c r="P2107" i="1"/>
  <c r="Q2107" i="1"/>
  <c r="R2107" i="1"/>
  <c r="M2108" i="1"/>
  <c r="O2108" i="1"/>
  <c r="P2108" i="1"/>
  <c r="Q2108" i="1"/>
  <c r="R2108" i="1"/>
  <c r="M2109" i="1"/>
  <c r="O2109" i="1"/>
  <c r="P2109" i="1"/>
  <c r="Q2109" i="1"/>
  <c r="R2109" i="1"/>
  <c r="M2110" i="1"/>
  <c r="O2110" i="1"/>
  <c r="P2110" i="1"/>
  <c r="Q2110" i="1"/>
  <c r="R2110" i="1"/>
  <c r="M2111" i="1"/>
  <c r="O2111" i="1"/>
  <c r="P2111" i="1"/>
  <c r="Q2111" i="1"/>
  <c r="R2111" i="1"/>
  <c r="M2112" i="1"/>
  <c r="O2112" i="1"/>
  <c r="P2112" i="1"/>
  <c r="Q2112" i="1"/>
  <c r="R2112" i="1"/>
  <c r="M2113" i="1"/>
  <c r="O2113" i="1"/>
  <c r="P2113" i="1"/>
  <c r="Q2113" i="1"/>
  <c r="R2113" i="1"/>
  <c r="M2114" i="1"/>
  <c r="O2114" i="1"/>
  <c r="P2114" i="1"/>
  <c r="Q2114" i="1"/>
  <c r="R2114" i="1"/>
  <c r="M2115" i="1"/>
  <c r="O2115" i="1"/>
  <c r="P2115" i="1"/>
  <c r="Q2115" i="1"/>
  <c r="R2115" i="1"/>
  <c r="M2116" i="1"/>
  <c r="O2116" i="1"/>
  <c r="P2116" i="1"/>
  <c r="Q2116" i="1"/>
  <c r="R2116" i="1"/>
  <c r="M2117" i="1"/>
  <c r="O2117" i="1"/>
  <c r="P2117" i="1"/>
  <c r="Q2117" i="1"/>
  <c r="R2117" i="1"/>
  <c r="M2118" i="1"/>
  <c r="O2118" i="1"/>
  <c r="P2118" i="1"/>
  <c r="Q2118" i="1"/>
  <c r="R2118" i="1"/>
  <c r="M2119" i="1"/>
  <c r="O2119" i="1"/>
  <c r="P2119" i="1"/>
  <c r="Q2119" i="1"/>
  <c r="R2119" i="1"/>
  <c r="M2120" i="1"/>
  <c r="O2120" i="1"/>
  <c r="P2120" i="1"/>
  <c r="Q2120" i="1"/>
  <c r="R2120" i="1"/>
  <c r="M2121" i="1"/>
  <c r="O2121" i="1"/>
  <c r="P2121" i="1"/>
  <c r="Q2121" i="1"/>
  <c r="R2121" i="1"/>
  <c r="M2122" i="1"/>
  <c r="O2122" i="1"/>
  <c r="P2122" i="1"/>
  <c r="Q2122" i="1"/>
  <c r="R2122" i="1"/>
  <c r="M2123" i="1"/>
  <c r="O2123" i="1"/>
  <c r="P2123" i="1"/>
  <c r="Q2123" i="1"/>
  <c r="R2123" i="1"/>
  <c r="M2124" i="1"/>
  <c r="O2124" i="1"/>
  <c r="P2124" i="1"/>
  <c r="Q2124" i="1"/>
  <c r="R2124" i="1"/>
  <c r="M2125" i="1"/>
  <c r="O2125" i="1"/>
  <c r="P2125" i="1"/>
  <c r="Q2125" i="1"/>
  <c r="R2125" i="1"/>
  <c r="M2126" i="1"/>
  <c r="O2126" i="1"/>
  <c r="P2126" i="1"/>
  <c r="Q2126" i="1"/>
  <c r="R2126" i="1"/>
  <c r="M2127" i="1"/>
  <c r="O2127" i="1"/>
  <c r="P2127" i="1"/>
  <c r="Q2127" i="1"/>
  <c r="R2127" i="1"/>
  <c r="M2128" i="1"/>
  <c r="O2128" i="1"/>
  <c r="P2128" i="1"/>
  <c r="Q2128" i="1"/>
  <c r="R2128" i="1"/>
  <c r="M2129" i="1"/>
  <c r="O2129" i="1"/>
  <c r="P2129" i="1"/>
  <c r="Q2129" i="1"/>
  <c r="R2129" i="1"/>
  <c r="M2130" i="1"/>
  <c r="O2130" i="1"/>
  <c r="P2130" i="1"/>
  <c r="Q2130" i="1"/>
  <c r="R2130" i="1"/>
  <c r="M2131" i="1"/>
  <c r="O2131" i="1"/>
  <c r="P2131" i="1"/>
  <c r="Q2131" i="1"/>
  <c r="R2131" i="1"/>
  <c r="M2132" i="1"/>
  <c r="O2132" i="1"/>
  <c r="P2132" i="1"/>
  <c r="Q2132" i="1"/>
  <c r="R2132" i="1"/>
  <c r="M2133" i="1"/>
  <c r="O2133" i="1"/>
  <c r="P2133" i="1"/>
  <c r="Q2133" i="1"/>
  <c r="R2133" i="1"/>
  <c r="M2134" i="1"/>
  <c r="O2134" i="1"/>
  <c r="P2134" i="1"/>
  <c r="Q2134" i="1"/>
  <c r="R2134" i="1"/>
  <c r="M2135" i="1"/>
  <c r="O2135" i="1"/>
  <c r="P2135" i="1"/>
  <c r="Q2135" i="1"/>
  <c r="R2135" i="1"/>
  <c r="M2136" i="1"/>
  <c r="O2136" i="1"/>
  <c r="P2136" i="1"/>
  <c r="Q2136" i="1"/>
  <c r="R2136" i="1"/>
  <c r="M2137" i="1"/>
  <c r="O2137" i="1"/>
  <c r="P2137" i="1"/>
  <c r="Q2137" i="1"/>
  <c r="R2137" i="1"/>
  <c r="M2138" i="1"/>
  <c r="O2138" i="1"/>
  <c r="P2138" i="1"/>
  <c r="Q2138" i="1"/>
  <c r="R2138" i="1"/>
  <c r="M2139" i="1"/>
  <c r="O2139" i="1"/>
  <c r="P2139" i="1"/>
  <c r="Q2139" i="1"/>
  <c r="R2139" i="1"/>
  <c r="M2140" i="1"/>
  <c r="O2140" i="1"/>
  <c r="P2140" i="1"/>
  <c r="Q2140" i="1"/>
  <c r="R2140" i="1"/>
  <c r="M2141" i="1"/>
  <c r="O2141" i="1"/>
  <c r="P2141" i="1"/>
  <c r="Q2141" i="1"/>
  <c r="R2141" i="1"/>
  <c r="M2142" i="1"/>
  <c r="O2142" i="1"/>
  <c r="P2142" i="1"/>
  <c r="Q2142" i="1"/>
  <c r="R2142" i="1"/>
  <c r="M2143" i="1"/>
  <c r="O2143" i="1"/>
  <c r="P2143" i="1"/>
  <c r="Q2143" i="1"/>
  <c r="R2143" i="1"/>
  <c r="M2144" i="1"/>
  <c r="O2144" i="1"/>
  <c r="P2144" i="1"/>
  <c r="Q2144" i="1"/>
  <c r="R2144" i="1"/>
  <c r="M2145" i="1"/>
  <c r="O2145" i="1"/>
  <c r="P2145" i="1"/>
  <c r="Q2145" i="1"/>
  <c r="R2145" i="1"/>
  <c r="M2146" i="1"/>
  <c r="O2146" i="1"/>
  <c r="P2146" i="1"/>
  <c r="Q2146" i="1"/>
  <c r="R2146" i="1"/>
  <c r="M2147" i="1"/>
  <c r="O2147" i="1"/>
  <c r="P2147" i="1"/>
  <c r="Q2147" i="1"/>
  <c r="R2147" i="1"/>
  <c r="M2148" i="1"/>
  <c r="O2148" i="1"/>
  <c r="P2148" i="1"/>
  <c r="Q2148" i="1"/>
  <c r="R2148" i="1"/>
  <c r="M2149" i="1"/>
  <c r="O2149" i="1"/>
  <c r="P2149" i="1"/>
  <c r="Q2149" i="1"/>
  <c r="R2149" i="1"/>
  <c r="M2150" i="1"/>
  <c r="O2150" i="1"/>
  <c r="P2150" i="1"/>
  <c r="Q2150" i="1"/>
  <c r="R2150" i="1"/>
  <c r="M2151" i="1"/>
  <c r="O2151" i="1"/>
  <c r="P2151" i="1"/>
  <c r="Q2151" i="1"/>
  <c r="R2151" i="1"/>
  <c r="M2152" i="1"/>
  <c r="O2152" i="1"/>
  <c r="P2152" i="1"/>
  <c r="Q2152" i="1"/>
  <c r="R2152" i="1"/>
  <c r="M2153" i="1"/>
  <c r="O2153" i="1"/>
  <c r="P2153" i="1"/>
  <c r="Q2153" i="1"/>
  <c r="R2153" i="1"/>
  <c r="M2154" i="1"/>
  <c r="O2154" i="1"/>
  <c r="P2154" i="1"/>
  <c r="Q2154" i="1"/>
  <c r="R2154" i="1"/>
  <c r="M2155" i="1"/>
  <c r="O2155" i="1"/>
  <c r="P2155" i="1"/>
  <c r="Q2155" i="1"/>
  <c r="R2155" i="1"/>
  <c r="M2156" i="1"/>
  <c r="O2156" i="1"/>
  <c r="P2156" i="1"/>
  <c r="Q2156" i="1"/>
  <c r="R2156" i="1"/>
  <c r="M2157" i="1"/>
  <c r="O2157" i="1"/>
  <c r="P2157" i="1"/>
  <c r="Q2157" i="1"/>
  <c r="R2157" i="1"/>
  <c r="M2158" i="1"/>
  <c r="O2158" i="1"/>
  <c r="P2158" i="1"/>
  <c r="Q2158" i="1"/>
  <c r="R2158" i="1"/>
  <c r="M2159" i="1"/>
  <c r="O2159" i="1"/>
  <c r="P2159" i="1"/>
  <c r="Q2159" i="1"/>
  <c r="R2159" i="1"/>
  <c r="M2160" i="1"/>
  <c r="O2160" i="1"/>
  <c r="P2160" i="1"/>
  <c r="Q2160" i="1"/>
  <c r="R2160" i="1"/>
  <c r="M2161" i="1"/>
  <c r="O2161" i="1"/>
  <c r="P2161" i="1"/>
  <c r="Q2161" i="1"/>
  <c r="R2161" i="1"/>
  <c r="M2162" i="1"/>
  <c r="O2162" i="1"/>
  <c r="P2162" i="1"/>
  <c r="Q2162" i="1"/>
  <c r="R2162" i="1"/>
  <c r="M2163" i="1"/>
  <c r="O2163" i="1"/>
  <c r="P2163" i="1"/>
  <c r="Q2163" i="1"/>
  <c r="R2163" i="1"/>
  <c r="M2164" i="1"/>
  <c r="O2164" i="1"/>
  <c r="P2164" i="1"/>
  <c r="Q2164" i="1"/>
  <c r="R2164" i="1"/>
  <c r="M2165" i="1"/>
  <c r="O2165" i="1"/>
  <c r="P2165" i="1"/>
  <c r="Q2165" i="1"/>
  <c r="R2165" i="1"/>
  <c r="M2166" i="1"/>
  <c r="O2166" i="1"/>
  <c r="P2166" i="1"/>
  <c r="Q2166" i="1"/>
  <c r="R2166" i="1"/>
  <c r="M2167" i="1"/>
  <c r="O2167" i="1"/>
  <c r="P2167" i="1"/>
  <c r="Q2167" i="1"/>
  <c r="R2167" i="1"/>
  <c r="M2168" i="1"/>
  <c r="O2168" i="1"/>
  <c r="P2168" i="1"/>
  <c r="Q2168" i="1"/>
  <c r="R2168" i="1"/>
  <c r="M2169" i="1"/>
  <c r="O2169" i="1"/>
  <c r="P2169" i="1"/>
  <c r="Q2169" i="1"/>
  <c r="R2169" i="1"/>
  <c r="M2171" i="1"/>
  <c r="O2171" i="1"/>
  <c r="P2171" i="1"/>
  <c r="Q2171" i="1"/>
  <c r="R2171" i="1"/>
  <c r="M2172" i="1"/>
  <c r="O2172" i="1"/>
  <c r="P2172" i="1"/>
  <c r="Q2172" i="1"/>
  <c r="R2172" i="1"/>
  <c r="M2173" i="1"/>
  <c r="O2173" i="1"/>
  <c r="P2173" i="1"/>
  <c r="Q2173" i="1"/>
  <c r="R2173" i="1"/>
  <c r="M2174" i="1"/>
  <c r="O2174" i="1"/>
  <c r="P2174" i="1"/>
  <c r="Q2174" i="1"/>
  <c r="R2174" i="1"/>
  <c r="M2175" i="1"/>
  <c r="O2175" i="1"/>
  <c r="P2175" i="1"/>
  <c r="Q2175" i="1"/>
  <c r="R2175" i="1"/>
  <c r="M2176" i="1"/>
  <c r="O2176" i="1"/>
  <c r="P2176" i="1"/>
  <c r="Q2176" i="1"/>
  <c r="R2176" i="1"/>
  <c r="M2177" i="1"/>
  <c r="O2177" i="1"/>
  <c r="P2177" i="1"/>
  <c r="Q2177" i="1"/>
  <c r="R2177" i="1"/>
  <c r="M2178" i="1"/>
  <c r="O2178" i="1"/>
  <c r="P2178" i="1"/>
  <c r="Q2178" i="1"/>
  <c r="R2178" i="1"/>
  <c r="M2179" i="1"/>
  <c r="O2179" i="1"/>
  <c r="P2179" i="1"/>
  <c r="Q2179" i="1"/>
  <c r="R2179" i="1"/>
  <c r="M2180" i="1"/>
  <c r="O2180" i="1"/>
  <c r="P2180" i="1"/>
  <c r="Q2180" i="1"/>
  <c r="R2180" i="1"/>
  <c r="M2181" i="1"/>
  <c r="O2181" i="1"/>
  <c r="P2181" i="1"/>
  <c r="Q2181" i="1"/>
  <c r="R2181" i="1"/>
  <c r="M2182" i="1"/>
  <c r="O2182" i="1"/>
  <c r="P2182" i="1"/>
  <c r="Q2182" i="1"/>
  <c r="R2182" i="1"/>
  <c r="M2183" i="1"/>
  <c r="O2183" i="1"/>
  <c r="P2183" i="1"/>
  <c r="Q2183" i="1"/>
  <c r="R2183" i="1"/>
  <c r="M2184" i="1"/>
  <c r="O2184" i="1"/>
  <c r="P2184" i="1"/>
  <c r="Q2184" i="1"/>
  <c r="R2184" i="1"/>
  <c r="M2185" i="1"/>
  <c r="O2185" i="1"/>
  <c r="P2185" i="1"/>
  <c r="Q2185" i="1"/>
  <c r="R2185" i="1"/>
  <c r="M2186" i="1"/>
  <c r="O2186" i="1"/>
  <c r="P2186" i="1"/>
  <c r="Q2186" i="1"/>
  <c r="R2186" i="1"/>
  <c r="M2187" i="1"/>
  <c r="O2187" i="1"/>
  <c r="P2187" i="1"/>
  <c r="Q2187" i="1"/>
  <c r="R2187" i="1"/>
  <c r="M2188" i="1"/>
  <c r="O2188" i="1"/>
  <c r="P2188" i="1"/>
  <c r="Q2188" i="1"/>
  <c r="R2188" i="1"/>
  <c r="M2189" i="1"/>
  <c r="O2189" i="1"/>
  <c r="P2189" i="1"/>
  <c r="Q2189" i="1"/>
  <c r="R2189" i="1"/>
  <c r="M2190" i="1"/>
  <c r="O2190" i="1"/>
  <c r="P2190" i="1"/>
  <c r="Q2190" i="1"/>
  <c r="R2190" i="1"/>
  <c r="M2191" i="1"/>
  <c r="O2191" i="1"/>
  <c r="P2191" i="1"/>
  <c r="Q2191" i="1"/>
  <c r="R2191" i="1"/>
  <c r="M2192" i="1"/>
  <c r="O2192" i="1"/>
  <c r="P2192" i="1"/>
  <c r="Q2192" i="1"/>
  <c r="R2192" i="1"/>
  <c r="M2193" i="1"/>
  <c r="O2193" i="1"/>
  <c r="P2193" i="1"/>
  <c r="Q2193" i="1"/>
  <c r="R2193" i="1"/>
  <c r="M2194" i="1"/>
  <c r="O2194" i="1"/>
  <c r="P2194" i="1"/>
  <c r="Q2194" i="1"/>
  <c r="R2194" i="1"/>
  <c r="M2195" i="1"/>
  <c r="O2195" i="1"/>
  <c r="P2195" i="1"/>
  <c r="Q2195" i="1"/>
  <c r="R2195" i="1"/>
  <c r="M2196" i="1"/>
  <c r="O2196" i="1"/>
  <c r="P2196" i="1"/>
  <c r="Q2196" i="1"/>
  <c r="R2196" i="1"/>
  <c r="M2197" i="1"/>
  <c r="O2197" i="1"/>
  <c r="P2197" i="1"/>
  <c r="Q2197" i="1"/>
  <c r="R2197" i="1"/>
  <c r="M2198" i="1"/>
  <c r="O2198" i="1"/>
  <c r="P2198" i="1"/>
  <c r="Q2198" i="1"/>
  <c r="R2198" i="1"/>
  <c r="M2199" i="1"/>
  <c r="O2199" i="1"/>
  <c r="P2199" i="1"/>
  <c r="Q2199" i="1"/>
  <c r="R2199" i="1"/>
  <c r="M2200" i="1"/>
  <c r="O2200" i="1"/>
  <c r="P2200" i="1"/>
  <c r="Q2200" i="1"/>
  <c r="R2200" i="1"/>
  <c r="M2201" i="1"/>
  <c r="O2201" i="1"/>
  <c r="P2201" i="1"/>
  <c r="Q2201" i="1"/>
  <c r="R2201" i="1"/>
  <c r="M2202" i="1"/>
  <c r="O2202" i="1"/>
  <c r="P2202" i="1"/>
  <c r="Q2202" i="1"/>
  <c r="R2202" i="1"/>
  <c r="M2203" i="1"/>
  <c r="O2203" i="1"/>
  <c r="P2203" i="1"/>
  <c r="Q2203" i="1"/>
  <c r="R2203" i="1"/>
  <c r="M2204" i="1"/>
  <c r="O2204" i="1"/>
  <c r="P2204" i="1"/>
  <c r="Q2204" i="1"/>
  <c r="R2204" i="1"/>
  <c r="M2205" i="1"/>
  <c r="O2205" i="1"/>
  <c r="P2205" i="1"/>
  <c r="Q2205" i="1"/>
  <c r="R2205" i="1"/>
  <c r="M2206" i="1"/>
  <c r="O2206" i="1"/>
  <c r="P2206" i="1"/>
  <c r="Q2206" i="1"/>
  <c r="R2206" i="1"/>
  <c r="M2207" i="1"/>
  <c r="O2207" i="1"/>
  <c r="P2207" i="1"/>
  <c r="Q2207" i="1"/>
  <c r="R2207" i="1"/>
  <c r="M2208" i="1"/>
  <c r="O2208" i="1"/>
  <c r="P2208" i="1"/>
  <c r="Q2208" i="1"/>
  <c r="R2208" i="1"/>
  <c r="M2209" i="1"/>
  <c r="O2209" i="1"/>
  <c r="P2209" i="1"/>
  <c r="Q2209" i="1"/>
  <c r="R2209" i="1"/>
  <c r="M2210" i="1"/>
  <c r="O2210" i="1"/>
  <c r="P2210" i="1"/>
  <c r="Q2210" i="1"/>
  <c r="R2210" i="1"/>
  <c r="M2211" i="1"/>
  <c r="O2211" i="1"/>
  <c r="P2211" i="1"/>
  <c r="Q2211" i="1"/>
  <c r="R2211" i="1"/>
  <c r="M2212" i="1"/>
  <c r="O2212" i="1"/>
  <c r="P2212" i="1"/>
  <c r="Q2212" i="1"/>
  <c r="R2212" i="1"/>
  <c r="M2213" i="1"/>
  <c r="O2213" i="1"/>
  <c r="P2213" i="1"/>
  <c r="Q2213" i="1"/>
  <c r="R2213" i="1"/>
  <c r="M2214" i="1"/>
  <c r="O2214" i="1"/>
  <c r="P2214" i="1"/>
  <c r="Q2214" i="1"/>
  <c r="R2214" i="1"/>
</calcChain>
</file>

<file path=xl/sharedStrings.xml><?xml version="1.0" encoding="utf-8"?>
<sst xmlns="http://schemas.openxmlformats.org/spreadsheetml/2006/main" count="8967" uniqueCount="849">
  <si>
    <t>REND. S/APLICACOES FINANCEIRAS</t>
  </si>
  <si>
    <t>Rendimento de aplicações</t>
  </si>
  <si>
    <t>DAYCOVAL Invest.</t>
  </si>
  <si>
    <t>RM</t>
  </si>
  <si>
    <t>DESPESAS BANCARIAS E COMISSOES</t>
  </si>
  <si>
    <t>Comissao fiança</t>
  </si>
  <si>
    <t>DAYCOVAL</t>
  </si>
  <si>
    <t>LUCKY</t>
  </si>
  <si>
    <t>DESPESAS BANCARIAS</t>
  </si>
  <si>
    <t>BRADESCO</t>
  </si>
  <si>
    <t>VENDA DE IMÓVEIS</t>
  </si>
  <si>
    <t>Vendas PMT</t>
  </si>
  <si>
    <t>OUTROS IMPOSTOS E TAXAS</t>
  </si>
  <si>
    <t>Provisões</t>
  </si>
  <si>
    <t>LARM</t>
  </si>
  <si>
    <t>MANUTENÇÃO E REPARO DE VEÍCULOS</t>
  </si>
  <si>
    <t>provisão despesas com veículos</t>
  </si>
  <si>
    <t>GASTOS DIVERSOS</t>
  </si>
  <si>
    <t>Storage House</t>
  </si>
  <si>
    <t>LOTEAMENTO-RES. SANTA CLARA II</t>
  </si>
  <si>
    <t>Projeto Executivo Santa Clara II</t>
  </si>
  <si>
    <t>Administrativo</t>
  </si>
  <si>
    <t>TELEFONE</t>
  </si>
  <si>
    <t>Conta de telefone 960941075</t>
  </si>
  <si>
    <t>VIVO</t>
  </si>
  <si>
    <t>Itaú</t>
  </si>
  <si>
    <t>LM</t>
  </si>
  <si>
    <t>SISTEMA DE PROCESSAMENTO DE DADOS</t>
  </si>
  <si>
    <t>Implantação novo sistema ERP</t>
  </si>
  <si>
    <t>PROMOÇÃO DE VENDAS</t>
  </si>
  <si>
    <t>Gastos com marketing digital</t>
  </si>
  <si>
    <t>PIS</t>
  </si>
  <si>
    <t>SRFB</t>
  </si>
  <si>
    <t>COFINS</t>
  </si>
  <si>
    <t>Fazenda São Luiz do Rio Pequeno</t>
  </si>
  <si>
    <t>SALÁRIOS E ORDENADOS</t>
  </si>
  <si>
    <t>Salário ref. 12/2025</t>
  </si>
  <si>
    <t>Jose Vicente Prado</t>
  </si>
  <si>
    <t>José Luis Nunes</t>
  </si>
  <si>
    <t>Bonus de final de ano</t>
  </si>
  <si>
    <t>Casa Grande</t>
  </si>
  <si>
    <t>Valmir Antonio Gomes</t>
  </si>
  <si>
    <t>Robson Azevedo</t>
  </si>
  <si>
    <t>Maria Rodrigues Pereira</t>
  </si>
  <si>
    <t>Fazenda Santa Clara</t>
  </si>
  <si>
    <t>José Antonio</t>
  </si>
  <si>
    <t>Francisco de Paula Godoy</t>
  </si>
  <si>
    <t>Edir Aparecida dos Santos</t>
  </si>
  <si>
    <t>Deivid Rodrigues da Silva</t>
  </si>
  <si>
    <t>Viviane Gonçalves de Amorim</t>
  </si>
  <si>
    <t>Helton de Oliveira Cavalcanti</t>
  </si>
  <si>
    <t>Bruna Zampieri de Oliveira</t>
  </si>
  <si>
    <t>MANUTENÇÕES E PEQUENOS CONSERTOS</t>
  </si>
  <si>
    <t>Manutenções e reformas</t>
  </si>
  <si>
    <t>MANUTENÇÃO DO GADO</t>
  </si>
  <si>
    <t>Previsão</t>
  </si>
  <si>
    <t>DOAÇÕES</t>
  </si>
  <si>
    <t>Doação</t>
  </si>
  <si>
    <t>Bruna Bobbio</t>
  </si>
  <si>
    <t>Paula Bobbio</t>
  </si>
  <si>
    <t>Carla Bobbio</t>
  </si>
  <si>
    <t>Motorista</t>
  </si>
  <si>
    <t>SUPORTE TÉCNICO INFORMÁTICA</t>
  </si>
  <si>
    <t>TBJR Informatica Ltda</t>
  </si>
  <si>
    <t>MATERIAL DE ESCRITORIO</t>
  </si>
  <si>
    <t>Cópias</t>
  </si>
  <si>
    <t>P4 Serviços de Copias Ltda</t>
  </si>
  <si>
    <t>SEGURANÇA E VIGILÂNCIA</t>
  </si>
  <si>
    <t>segurança Lot. Sta. Clara</t>
  </si>
  <si>
    <t>Oliveira &amp; Oliveira Serviços de Segurança</t>
  </si>
  <si>
    <t>Salário</t>
  </si>
  <si>
    <t>Cristiana de Melo Alves</t>
  </si>
  <si>
    <t>aluguel Yealink T31G Frandstream</t>
  </si>
  <si>
    <t>IDT Brasil Telecomunicações Ltda</t>
  </si>
  <si>
    <t>PRO-LABORE</t>
  </si>
  <si>
    <t>Pro-Labore Luiz Monteiro</t>
  </si>
  <si>
    <t>Luiz Antonio Roland Monteiro</t>
  </si>
  <si>
    <t>INTERNET</t>
  </si>
  <si>
    <t>ref. 10/2025</t>
  </si>
  <si>
    <t>HostGator</t>
  </si>
  <si>
    <t>SERVIÇOS DE ENTREGAS</t>
  </si>
  <si>
    <t>Serviços de entregas ref. 12/2025</t>
  </si>
  <si>
    <t>Zippy Tecnologia Ltda</t>
  </si>
  <si>
    <t>SERVIÇOS ADMINISTRATIVOS</t>
  </si>
  <si>
    <t>Serviços administrativos</t>
  </si>
  <si>
    <t>EDC Edição e Editoração de Textos Ltda</t>
  </si>
  <si>
    <t>SERVIÇO DE PROTEÇÃO AO CRÉDITO</t>
  </si>
  <si>
    <t>Serviços prestados no mês 09/2025</t>
  </si>
  <si>
    <t>Serasa SA</t>
  </si>
  <si>
    <t>VALE TRANSPORTE</t>
  </si>
  <si>
    <t>VT ref. 12/2025</t>
  </si>
  <si>
    <t>Salário ref. 09/2025</t>
  </si>
  <si>
    <t>13o. SALARIO</t>
  </si>
  <si>
    <t>Vale transporte</t>
  </si>
  <si>
    <t>ACP Apoio Administrativo Ltda</t>
  </si>
  <si>
    <t>INSS</t>
  </si>
  <si>
    <t>DCTFWeb REF. 09/2025</t>
  </si>
  <si>
    <t>SRF</t>
  </si>
  <si>
    <t>Gastos diversos</t>
  </si>
  <si>
    <t>ENERGIA ELÉTRICA</t>
  </si>
  <si>
    <t>EDP (0151017092) Faz. Santa Clara</t>
  </si>
  <si>
    <t>EDP</t>
  </si>
  <si>
    <t>CONTÁBEIS</t>
  </si>
  <si>
    <t>13º Salário</t>
  </si>
  <si>
    <t>BHUB Serviços e Tecnologia Ltda</t>
  </si>
  <si>
    <t>SKY_ Casa Grande_Faz. SLRP</t>
  </si>
  <si>
    <t>SKY</t>
  </si>
  <si>
    <t>OUTRAS RECEITAS OPERACIONAIS</t>
  </si>
  <si>
    <t>Pro Labore ref. 01/2025</t>
  </si>
  <si>
    <t>Luiz A. R. Monteiro</t>
  </si>
  <si>
    <t>VALE REFEIÇÃO</t>
  </si>
  <si>
    <t>VR ref. 12/2025</t>
  </si>
  <si>
    <t>Vale refeição</t>
  </si>
  <si>
    <t>Salário 12/2025</t>
  </si>
  <si>
    <t>DCTFWeb ref. 11/2025</t>
  </si>
  <si>
    <t>FÉRIAS</t>
  </si>
  <si>
    <t>DESPESAS MÉDICAS</t>
  </si>
  <si>
    <t>convenio medico para Bruna Zampieri</t>
  </si>
  <si>
    <t>Notredame Intermedica Saude S/A</t>
  </si>
  <si>
    <t>ADVOCATÍCIOS</t>
  </si>
  <si>
    <t>Fase 5-Gestão financeira trimestralmente</t>
  </si>
  <si>
    <t>Lewandowski Libertuci Sociedade de Advogados</t>
  </si>
  <si>
    <t>HOLDING</t>
  </si>
  <si>
    <t>VIVO 11 3848-0787</t>
  </si>
  <si>
    <t>Conta de energia ref. 12/2025</t>
  </si>
  <si>
    <t>ENEL</t>
  </si>
  <si>
    <t>Smart Empresas</t>
  </si>
  <si>
    <t>IP dedicado e Internet</t>
  </si>
  <si>
    <t>RESULTADO EM PARTICIPACAO SOCIETARIA</t>
  </si>
  <si>
    <t>Distribuição de lucros</t>
  </si>
  <si>
    <t>LARM Holding Ltda</t>
  </si>
  <si>
    <t>Promoção de vendas ref. 12/2025</t>
  </si>
  <si>
    <t>Alexandre Emerson da Silva</t>
  </si>
  <si>
    <t>Honorários advocatícios</t>
  </si>
  <si>
    <t>Ricardo Alves Cardoso Sociedade de Advogados</t>
  </si>
  <si>
    <t>Manutenção de veículos</t>
  </si>
  <si>
    <t>Obra Social Fazenda Esperança</t>
  </si>
  <si>
    <t>Doações Fazenda Esperança</t>
  </si>
  <si>
    <t>Fernando Couto Monteiro</t>
  </si>
  <si>
    <t>NF 110.952 - papeis toalha e higienico</t>
  </si>
  <si>
    <t>Inove Higiene Com e Serv de Descartaveis</t>
  </si>
  <si>
    <t>ESTACIONAMENTO/PEDAGIO/QUILOMETRAGEM</t>
  </si>
  <si>
    <t>período de 01/05/25 a 31/05/25</t>
  </si>
  <si>
    <t>SemParar</t>
  </si>
  <si>
    <t>ALUGUEIS E CONDOMINIOS</t>
  </si>
  <si>
    <t>Ed. Francisco Mellão conj. 23 - Retrofit</t>
  </si>
  <si>
    <t>TMX gestão Administrativa</t>
  </si>
  <si>
    <t>Ed. Francisco Mellão conj. 22 - Retrofit</t>
  </si>
  <si>
    <t>Lucky Capital Empreendimentos Ltda</t>
  </si>
  <si>
    <t>Serviços contábeis ref. 11/2025</t>
  </si>
  <si>
    <t>ASSOCIAÇÃO DE CLASSE</t>
  </si>
  <si>
    <t>taxa associativa</t>
  </si>
  <si>
    <t>AELO Assoc. das Emp de Lot</t>
  </si>
  <si>
    <t>GÁS</t>
  </si>
  <si>
    <t>Consumo de Gás no mês</t>
  </si>
  <si>
    <t>COMGAS</t>
  </si>
  <si>
    <t>Reposição caixa</t>
  </si>
  <si>
    <t>LARM Participações Ltda</t>
  </si>
  <si>
    <t>Serviços de consultoria</t>
  </si>
  <si>
    <t>US Consultoria &amp; Planejamento Ltda</t>
  </si>
  <si>
    <t>Contribuição assistencial - 02/25 (será descontado dos funcionarios)</t>
  </si>
  <si>
    <t>Sind. Dos Trab. E Empreg. Rurais de Pindamonhangaba</t>
  </si>
  <si>
    <t>mensalidade Jose Felipe - mensalidade - ensino infantil</t>
  </si>
  <si>
    <t>Global ME - Jardins1</t>
  </si>
  <si>
    <t>Gastos no cartão de crédito</t>
  </si>
  <si>
    <t>Banco Daycoval S/A</t>
  </si>
  <si>
    <t>Kalunga S/A</t>
  </si>
  <si>
    <t>referente 12/23</t>
  </si>
  <si>
    <t>NET</t>
  </si>
  <si>
    <t>Obra apartamento</t>
  </si>
  <si>
    <t>taxa associativa ref. Ao mês 12/25 - Lote E-06 Lot. Sta Adelia</t>
  </si>
  <si>
    <t>Associação dos Amigos Terras de Sta.Adelia</t>
  </si>
  <si>
    <t>taxa associativa ref. Ao mês 11/25 - Lote E-06 Lot. Sta Adelia</t>
  </si>
  <si>
    <t>CARTORARIAS</t>
  </si>
  <si>
    <t>Despesas cartorarias</t>
  </si>
  <si>
    <t>João Roberto de Oliveira Lima-15-CN</t>
  </si>
  <si>
    <t>Serviços de manutenção de sistema telefonia</t>
  </si>
  <si>
    <t>Instal Fone C S T Ltda</t>
  </si>
  <si>
    <t>FGTS</t>
  </si>
  <si>
    <t>ALUGUÉIS</t>
  </si>
  <si>
    <t>Aluguel conj. 23</t>
  </si>
  <si>
    <t>Iwer</t>
  </si>
  <si>
    <t>Apto. 152 Rua Estado de Israel</t>
  </si>
  <si>
    <t>provisão 13º salario - Apto. 152 Rua Estado de Israel, 577</t>
  </si>
  <si>
    <t>Lello Condominios Ltda</t>
  </si>
  <si>
    <t>fundo de reserva - Apto. 152 Rua Estado de Israel, 577</t>
  </si>
  <si>
    <t>fundo de férias - Apto. 152 Rua Estado de Israel, 577</t>
  </si>
  <si>
    <t>cota condominial jan/25 - Apto. 152 Rua Estado de Israel, 577</t>
  </si>
  <si>
    <t>consumo de gas - Apto. 152 Rua Estado de Israel, 577</t>
  </si>
  <si>
    <t>consumo de água 137,22 - Apto. 152 Rua Estado de Israel, 577</t>
  </si>
  <si>
    <t>Conta energia ref. 08/2025 Francisco</t>
  </si>
  <si>
    <t>Conta de Luz do mês 08/2025</t>
  </si>
  <si>
    <t>Conta de energia casa Maria</t>
  </si>
  <si>
    <t>Monitoramento de segurança cj. 22</t>
  </si>
  <si>
    <t>Verisure Brasil Monitoramento</t>
  </si>
  <si>
    <t>VIVO 11 3045-2800; 3045-2800; 3045-8269</t>
  </si>
  <si>
    <t>CONSUMO DE AGUA</t>
  </si>
  <si>
    <t>SABESP (941978303) Faz. Sta. Clara</t>
  </si>
  <si>
    <t>SABESP</t>
  </si>
  <si>
    <t>Francisco Carlos Roland Monteiro</t>
  </si>
  <si>
    <t>Tarifas bancárias</t>
  </si>
  <si>
    <t>ACADEMIAS, CLUBES E OFICINAS DE ARTES</t>
  </si>
  <si>
    <t>Mensalidade ref. 08/2025</t>
  </si>
  <si>
    <t>Club Athletico Paulistano</t>
  </si>
  <si>
    <t>INSS Luiz Antonio Roland Monteiro</t>
  </si>
  <si>
    <t>INSS Rosa Maria Couto Monteiro</t>
  </si>
  <si>
    <t>Serviços de monitoramento</t>
  </si>
  <si>
    <t>GP Tecnologia em Segurança Ltda</t>
  </si>
  <si>
    <t>ENEL ref. 09/22 - conj. 23</t>
  </si>
  <si>
    <t>Conta de energia ref. 08/2025 cj.22</t>
  </si>
  <si>
    <t>ASSISTÊNCIA MÉDICA</t>
  </si>
  <si>
    <t>NF63900784</t>
  </si>
  <si>
    <t>Amil Assistencia Medica Internacional S/A</t>
  </si>
  <si>
    <t>Ed. Francisco Mellão conj. 22 - fundo de reserva 09/25</t>
  </si>
  <si>
    <t>Condomínio Conj. 23 ref. 09/2025</t>
  </si>
  <si>
    <t>Condomínio Conj. 22 ref. 09/2025</t>
  </si>
  <si>
    <t>eSocial ref. 11/2025 _Domésticas</t>
  </si>
  <si>
    <t>ref. 12/25</t>
  </si>
  <si>
    <t>Ed. Park Lane - apto. 91 - fundo de reserva (fraçao padrao 8,5595%)</t>
  </si>
  <si>
    <t>FL Adm. De Condominios Ltda</t>
  </si>
  <si>
    <t>Ed. Park Lane - apto. 91 - condominio 10/25(fraçao padrao 8,5595%)</t>
  </si>
  <si>
    <t>Ed. Park Lane - apto. 91 - 13ºsalario (fraçao padrao 8,5595%)</t>
  </si>
  <si>
    <t>personal Rosa Monteiro</t>
  </si>
  <si>
    <t>Adriano Cardoso da Silva</t>
  </si>
  <si>
    <t>personal Luiz Monteiro</t>
  </si>
  <si>
    <t>Armazenamento (BOX) ref. 10/2025</t>
  </si>
  <si>
    <t>Self Space Armazenamento Ltda</t>
  </si>
  <si>
    <t>luz - Ed. Pirapora,250- Apto.51</t>
  </si>
  <si>
    <t>Residencial UPCON 250 Pirapora</t>
  </si>
  <si>
    <t>gas - Ed. Pirapora,250 - Apto.51</t>
  </si>
  <si>
    <t>fundo reserva - Ed. Pirapora,250 - Apto.51</t>
  </si>
  <si>
    <t>cota condominal - Ed. Pirapora, 250 - Apto.51</t>
  </si>
  <si>
    <t>água area comum - Ed. Pirapora,250- Apto.51</t>
  </si>
  <si>
    <t>água apto 19/07/25 a 20/08/25 13,66m3 - Apto.51</t>
  </si>
  <si>
    <t>Monitoramento de dados</t>
  </si>
  <si>
    <t>Salário ref. 11/2025</t>
  </si>
  <si>
    <t>NF 716</t>
  </si>
  <si>
    <t>final da estadia LM/RM desde o dia 27/12/25 por 10 dias</t>
  </si>
  <si>
    <t>SPA Med Sorocaba</t>
  </si>
  <si>
    <t>revisão Toyota RAV4 placa: GHY6C41</t>
  </si>
  <si>
    <t>Collection Brigadeiro Motors Import e Coml.</t>
  </si>
  <si>
    <t>Serviços de entregas ref. 11/2025</t>
  </si>
  <si>
    <t>VT ref.11/2025</t>
  </si>
  <si>
    <t>VR ref. 11/2025</t>
  </si>
  <si>
    <t>Salário 11/2025</t>
  </si>
  <si>
    <t>DCTFWeb ref. 10/2025</t>
  </si>
  <si>
    <t>Conta de energia ref. 11/2025</t>
  </si>
  <si>
    <t>NF 11479 - serviços cartorarios</t>
  </si>
  <si>
    <t>Int. Andre Ribeiro Jeremias - 15 T N SP</t>
  </si>
  <si>
    <t>CLARO ref. 10/2025</t>
  </si>
  <si>
    <t>IPTU</t>
  </si>
  <si>
    <t>IPTU Ap. 91 Rua Curitiba</t>
  </si>
  <si>
    <t>reembolso_FGTS ref. 07/25</t>
  </si>
  <si>
    <t>reembolso despesas-rolo de arame farpado - Faz. SLRP</t>
  </si>
  <si>
    <t>reembolso despesas-4cópias chaves - Casa Grande - Faz. SLRP</t>
  </si>
  <si>
    <t>reembolso despesas-2 metros de corrente - Casa Grande - Faz. SLRP</t>
  </si>
  <si>
    <t>reembolso despesas-2 cadeados - Casa Grande - Faz. SLRP</t>
  </si>
  <si>
    <t>ref. 10/25</t>
  </si>
  <si>
    <t>casa conecta - Apto. 51 Rua Pirapora, 250</t>
  </si>
  <si>
    <t>ref 11/25 - Apto. 91 Rua Curitiba, 289</t>
  </si>
  <si>
    <t>(81324219) Casa Grande - Faz. SLRP</t>
  </si>
  <si>
    <t>(81324138) Casa Sr.Francisco - Faz. SLRP</t>
  </si>
  <si>
    <t>receita saude 222.034.25.00021 - consulta FCM dia 23/06/25</t>
  </si>
  <si>
    <t>Carlos Alberto Martini Bobbio</t>
  </si>
  <si>
    <t>contribuição assistencial Ster de Pindamonhangaba</t>
  </si>
  <si>
    <t>Sindicato dos Trabalhadores e Empregados Rurais de Pinda</t>
  </si>
  <si>
    <t>ref 10/25 - Apto. 91 Rua Curitiba, 289</t>
  </si>
  <si>
    <t>NF13826</t>
  </si>
  <si>
    <t>InstalFone</t>
  </si>
  <si>
    <t>SEGURO DE VEÍCULOS</t>
  </si>
  <si>
    <t>renovação seguro - parc. 04/04 Corolla GAT4063</t>
  </si>
  <si>
    <t>Porto Seguro Cia de Seguros Gerais</t>
  </si>
  <si>
    <t>NF15098832</t>
  </si>
  <si>
    <t>ISS</t>
  </si>
  <si>
    <t>ISS S/NF 16690471 Verisure Brasil Monitoramento</t>
  </si>
  <si>
    <t>Prefeitura do Muncipio de SaoPaulo</t>
  </si>
  <si>
    <t>fundo provisão trabalhista ref. Ao mês 11/25 - Lote E-06 Lot. Sta Adelia</t>
  </si>
  <si>
    <t>NF</t>
  </si>
  <si>
    <t>SAQUE LM</t>
  </si>
  <si>
    <t>Strato renovação anual_ 11.360,00- 12 parcelas</t>
  </si>
  <si>
    <t>Planet Rede Com. Import. Em Informatica Ltda</t>
  </si>
  <si>
    <t>NF116690471</t>
  </si>
  <si>
    <t>Verisure Brasil monitoramento de Alarmes S/A</t>
  </si>
  <si>
    <t>fatura de locação 0326</t>
  </si>
  <si>
    <t>(0112785271) conj. 22 Edif. Francisco Mellão</t>
  </si>
  <si>
    <t>cota condominial 11/25 - Apto. 152 Rua Estado de Israel, 577</t>
  </si>
  <si>
    <t>consumo de agua - Apto. 152 Rua Estado de Israel, 577</t>
  </si>
  <si>
    <t>ajuste rateado agua</t>
  </si>
  <si>
    <t>água apto 19/08/25 a 18/9/25 8,42m3 - Apto.51</t>
  </si>
  <si>
    <t>sinal estadia LM/RM desde o dia 27/12/25 por 10 dias</t>
  </si>
  <si>
    <t>(941978303) - Faz. Santa Clara</t>
  </si>
  <si>
    <t>NF032691 - conserto trator - Faz. SLRP parc. 02/02</t>
  </si>
  <si>
    <t>Univale Maquinas Agricolas Ltda</t>
  </si>
  <si>
    <t>reembolso remedio manipulado Rosa Monteiro - Farmatec Farmarcia</t>
  </si>
  <si>
    <t>Elisabete Dias Coelho</t>
  </si>
  <si>
    <t>(89983807) casa Dna Maria - Faz. SLRP</t>
  </si>
  <si>
    <t>Ed. Park Lane - apto. 91 - condominio 11/25(fraçao padrao 8,5595%)</t>
  </si>
  <si>
    <t>NF1957</t>
  </si>
  <si>
    <t>pedido de 2 refil para os filtros (LARM e Faz. SLRP)</t>
  </si>
  <si>
    <t>Loja Eletrolux Comercio Virtual de Eletrodomesticos Ltda</t>
  </si>
  <si>
    <t>(0112785310) conj. 23 Edif. Francisco Mellão</t>
  </si>
  <si>
    <t>Ed. Francisco Mellão conj. 23 - condominio 11/25</t>
  </si>
  <si>
    <t>Ed. Francisco Mellão conj. 22 - condominio 11/25</t>
  </si>
  <si>
    <t>Ricardo Alves Cardoso</t>
  </si>
  <si>
    <t>salario 01/2025</t>
  </si>
  <si>
    <t>EQUIPAM. DE PROC. DE DADOS</t>
  </si>
  <si>
    <t>Compra de novos computadores</t>
  </si>
  <si>
    <t>Reposição de caixa</t>
  </si>
  <si>
    <t>NF22843</t>
  </si>
  <si>
    <t>IRPJ</t>
  </si>
  <si>
    <t>IRPJ ref. 3º Trimestre/25</t>
  </si>
  <si>
    <t>CSLL</t>
  </si>
  <si>
    <t>CSLL ref. 3º Trimestre/25</t>
  </si>
  <si>
    <t>Tebel Suprimentos - Materiais de escritório</t>
  </si>
  <si>
    <t>FS Comercio de Materiais de Escritorio Ltda</t>
  </si>
  <si>
    <t>NF15097338</t>
  </si>
  <si>
    <t>MONITORA DADOS</t>
  </si>
  <si>
    <t>aluguel Yealink T31G Frandstream ref. 09/25</t>
  </si>
  <si>
    <t>NF 713</t>
  </si>
  <si>
    <t>Devolução de empréstimo</t>
  </si>
  <si>
    <t>Salário ref. 10/2025</t>
  </si>
  <si>
    <t>reembolso despesas - 2 cofres (LARM/FM)</t>
  </si>
  <si>
    <t>VR 11/25</t>
  </si>
  <si>
    <t>VR 10/25</t>
  </si>
  <si>
    <t>VR 09/25</t>
  </si>
  <si>
    <t>VR 08/25</t>
  </si>
  <si>
    <t>MULTA DE TRÂNSITO</t>
  </si>
  <si>
    <t>multa transito Toyota HILUX CD placa FRK2F51</t>
  </si>
  <si>
    <t>Prefeitura Municipal de Pindamonhangaba</t>
  </si>
  <si>
    <t>ref. 09/2025</t>
  </si>
  <si>
    <t>(202258570) Apto. 152 Rua Estado de Israrel, 577</t>
  </si>
  <si>
    <t>NF05617437</t>
  </si>
  <si>
    <t>Serasa Experian</t>
  </si>
  <si>
    <t>PIS ref.09/25</t>
  </si>
  <si>
    <t>(151017092) - Faz. Sta. Clara</t>
  </si>
  <si>
    <t>CONSULTORIA E ASSESSORIA TECNICA</t>
  </si>
  <si>
    <t>NF010274 - consultoria tributaria parc.03/03</t>
  </si>
  <si>
    <t>PP&amp;C Pachikoski, Pachikoski &amp; Carvalho Auditores e Consultores</t>
  </si>
  <si>
    <t>COFINS ref.09/25</t>
  </si>
  <si>
    <t>PASSAGENS</t>
  </si>
  <si>
    <t>FT 010210891 - diferença viagem RM (06/25) transfer</t>
  </si>
  <si>
    <t>Multicidades Viagens e Turismo Ltda</t>
  </si>
  <si>
    <t>eSocial ref. 09/25</t>
  </si>
  <si>
    <t>Salário 10/2025</t>
  </si>
  <si>
    <t>ADIANT. PGTO-LM_IPTU/25 parcela 09/10 Apto.91 Rua Curitiba, 289</t>
  </si>
  <si>
    <t>Prefeitura da Cidade de São Paulo</t>
  </si>
  <si>
    <t>IPTU/25 parc 09 - Lote E-06 - Lot. Santa Adelia (tx única)</t>
  </si>
  <si>
    <t>Prefeitura Municipal de Vargem Grande Paulista</t>
  </si>
  <si>
    <t>DCTFWeb 09/25</t>
  </si>
  <si>
    <t>ref. 09/25_LM (PIX)</t>
  </si>
  <si>
    <t>ref. 09/25_ (PIX)</t>
  </si>
  <si>
    <t>(24761486) Apto. 51 Rua Pirapora, 250</t>
  </si>
  <si>
    <t>Notre Dame Intermedica SP</t>
  </si>
  <si>
    <t>Prefeitura da Cidade de São Paulo-Reemb. PGTO-LM_IPTU/25 parcela 09/10 Apto.91 Rua Curitiba, 289</t>
  </si>
  <si>
    <t>Tintas - casa Gde. - Faz. SLRP</t>
  </si>
  <si>
    <t>Varejão Tintas Comercial Ltda</t>
  </si>
  <si>
    <t>reembolso despesas_Marisa Bobbio_Dra. Cyntia - RM</t>
  </si>
  <si>
    <t>AgroProsperidade_ 20sc ração cavalo Nutrividas Classic 11% 40Kg - Caes - Faz. SLRP</t>
  </si>
  <si>
    <t>Pereira &amp; Faria Com.</t>
  </si>
  <si>
    <t>FGTS ref. 09/25 - (PIX)</t>
  </si>
  <si>
    <t>(56199716) Apto.61 Rua Curitiba, 289</t>
  </si>
  <si>
    <t>exame biospia pele - Dra. Ana Thereza</t>
  </si>
  <si>
    <t>Laboratorio Paulista</t>
  </si>
  <si>
    <t>Reembolso despesa paga_LM_Prefeitura da Cidade de São Paulo-Reemb. PGTO-LM_IPTU/25 parcela 09/10 Apto.91 Rua Curitiba, 289</t>
  </si>
  <si>
    <t>Reembolso despesa paga_LM_FGTS ref. 09/25 - (PIX)</t>
  </si>
  <si>
    <t>CONTJET NF 36759 - serviços contabil</t>
  </si>
  <si>
    <t>NF 10171 - serviços cartorarios</t>
  </si>
  <si>
    <t>NF004.877</t>
  </si>
  <si>
    <t>J A Araujo e Araujo Ltda</t>
  </si>
  <si>
    <t>NF004.862</t>
  </si>
  <si>
    <t>CONTJET NF 36946- serviços contabil</t>
  </si>
  <si>
    <t>prestadora de serviços</t>
  </si>
  <si>
    <t>NF13767</t>
  </si>
  <si>
    <t>renovação seguro - parc. 03/04 Corolla GAT4063</t>
  </si>
  <si>
    <t>CONTJET NF 36939 - serviços contabil</t>
  </si>
  <si>
    <t>sinal retrofit AR COND 4/6 Ed. Francisco Mellão conj. 23</t>
  </si>
  <si>
    <t>sinal retrofit AR COND 4/6 Ed. Francisco Mellão conj. 22</t>
  </si>
  <si>
    <t>Honorários processo</t>
  </si>
  <si>
    <t>Ricardos Alves Cardoso Sociedade de Advogados</t>
  </si>
  <si>
    <t>reembolso despesas_mão de obra Ademir - Faz. Sta. Clara</t>
  </si>
  <si>
    <t>ref. 09/25</t>
  </si>
  <si>
    <t>ISS S/NF 16413611 Verisure Brasil Monitoramento</t>
  </si>
  <si>
    <t>CLARO ref. 09/2025</t>
  </si>
  <si>
    <t>taxa associativa ref. Ao mês 10/25 - Lote E-06 Lot. Sta Adelia</t>
  </si>
  <si>
    <t>NF conserto</t>
  </si>
  <si>
    <t>Charles Willian Coceição Jorge</t>
  </si>
  <si>
    <t>NF42</t>
  </si>
  <si>
    <t>NF16413611</t>
  </si>
  <si>
    <t>LAVAGEM E HIGIENIZAÇÃO</t>
  </si>
  <si>
    <t>lavagem de veiculos da empresa</t>
  </si>
  <si>
    <t>Araujo Holanda Serviços</t>
  </si>
  <si>
    <t>fatura de locação 0248</t>
  </si>
  <si>
    <t>(0112785271) conj. 23 Edif. Francisco Mellão</t>
  </si>
  <si>
    <t>cota condominial 10/25 - Apto. 152 Rua Estado de Israel, 577</t>
  </si>
  <si>
    <t>água apto 18/06/25 a 18/74/25 10m3 - Apto.51</t>
  </si>
  <si>
    <t>reembolso despesa paga_ serviço encanador - casa grane - Faz. SLRP</t>
  </si>
  <si>
    <t>pintura da Horta - casa grande - Faz. SLRP</t>
  </si>
  <si>
    <t>Léurison Dérliz dos Santos</t>
  </si>
  <si>
    <t>parcela 05/06 - pintor - casa grande - Faz.SLRP</t>
  </si>
  <si>
    <t>NF16635071 - ref.modificação do sensor da porta</t>
  </si>
  <si>
    <t xml:space="preserve">Verisure Brasil monitoramento de Alarmes S/A </t>
  </si>
  <si>
    <t>FT 01020241 - diferença viagem RM (06/26)</t>
  </si>
  <si>
    <t>NF032691 - conserto trator - Faz. SLRP</t>
  </si>
  <si>
    <t>Centro Animal Amo Vida Animal - despesas de cachorros - Faz. SLRP</t>
  </si>
  <si>
    <t>Rister &amp; Valise</t>
  </si>
  <si>
    <t>170diaria x 250,00 + 10sc de adubo NPK4:14:8 50sc x 155,00 - Faz. SLRP</t>
  </si>
  <si>
    <t>HMS Plantio e Serviços Florestais Ltda</t>
  </si>
  <si>
    <t>reembolso despesa_BhubContjet NF38021</t>
  </si>
  <si>
    <t>NF63121378</t>
  </si>
  <si>
    <t>Ed. Francisco Mellão conj. 23 - condominio 10/25</t>
  </si>
  <si>
    <t>Ed. Francisco Mellão conj. 22 - condominio 10/25</t>
  </si>
  <si>
    <t>serviços prestados ref.01/2025</t>
  </si>
  <si>
    <t>salario ref. 01/2025</t>
  </si>
  <si>
    <t>Dra. Julyanna Rezende - protocolos: LM/RM/BC</t>
  </si>
  <si>
    <t>Mariana Mattedi</t>
  </si>
  <si>
    <t>consulta oftalmologica LM</t>
  </si>
  <si>
    <t>Licia Matielli</t>
  </si>
  <si>
    <t>cheque devolvido sem fundo - reposição caixa</t>
  </si>
  <si>
    <t>PIS ref. 08/25</t>
  </si>
  <si>
    <t>ITR 2025 - Fazenda Santa Clara</t>
  </si>
  <si>
    <t>COFINS ref. 08/25</t>
  </si>
  <si>
    <t>execução portao da horta - casa grande - Faz. SLRP</t>
  </si>
  <si>
    <t>Elda Alice de Jesus Silva</t>
  </si>
  <si>
    <t>eletricista - serviços casa grande - Faz. SLRP</t>
  </si>
  <si>
    <t>Heli Palma da Silva</t>
  </si>
  <si>
    <t>ITR 2025 - Fazenda São Manoel</t>
  </si>
  <si>
    <t>ITR 2025 - Fazenda São Luiz do Rio Pequento - Glebas 3 e 4</t>
  </si>
  <si>
    <t>ITR 2025 - Fazenda São Luiz do Rio Pequento - Glebas 1 e 2</t>
  </si>
  <si>
    <t>NF002.332 - materiais casa grande - Faz. SLRP</t>
  </si>
  <si>
    <t>Geral Comercial Ltda</t>
  </si>
  <si>
    <t>NF 700</t>
  </si>
  <si>
    <t>NF5491378</t>
  </si>
  <si>
    <t>NF22646</t>
  </si>
  <si>
    <t>IPTU/25 divida LOTE A-25 - NE111140005000 Francisco de Assis Oliveira da Silva</t>
  </si>
  <si>
    <t>VT ref.10/2025</t>
  </si>
  <si>
    <t>roçada do Loteamento Sta. Clara</t>
  </si>
  <si>
    <t>Valdir de Lima</t>
  </si>
  <si>
    <t>reembolso despesa_enel - (56199716) Apto. 91 Rua Curitiba, 289</t>
  </si>
  <si>
    <t>salario 09/2025</t>
  </si>
  <si>
    <t>NF14999217</t>
  </si>
  <si>
    <t>taxa iluminação exercicio 2025 - Lote E-06 Santa Adelia</t>
  </si>
  <si>
    <t>(24761486) Apto. 51 - Rua Pirapora, 250</t>
  </si>
  <si>
    <t>IPTU/25 divida LOTE Z2-34 - NE111147034000 Jose Reynaldo Goffi Neto</t>
  </si>
  <si>
    <t>IPTU/25 divida LOTE Z1-08 - NE111148019000 Giovana França Carlota Figueira</t>
  </si>
  <si>
    <t>IPTU/25 divida LOTE K-01 - NE111139001000 Aurimar da Silva Fernandes Rocha</t>
  </si>
  <si>
    <t>IPTU/25 divida LOTE J-13 - NE111137010000 Paulo Fernandes de Oliveira</t>
  </si>
  <si>
    <t>IPTU/25 divida LOTE F-04 - NE111143004000 Caio Ramos da Silva</t>
  </si>
  <si>
    <t>IPTU/25 divida LOTE E-04 - NE111138004000 Hailton Mariano Alves</t>
  </si>
  <si>
    <t>IPTU/25 divida LOTE C-27 - NE111134027000 Orivaldo Costa Junior</t>
  </si>
  <si>
    <t>IPTU/25 divida LOTE B-21 - NE11113201000 Jose Reynaldo Goffi Neto</t>
  </si>
  <si>
    <t>IPTU/25 divida LOTE B-20 - NE111132020000 Jose Reinaldo de Souza Rocha</t>
  </si>
  <si>
    <t>IPTU/25 divida LOTE B-03 - NE111132003000 Melissa Sabrina Salgado de Melo</t>
  </si>
  <si>
    <t>contribuição assitencial ref. 09/25</t>
  </si>
  <si>
    <t>Sind. Dos Trabalhadores e Empregados Rurais e Pindamonhangaba</t>
  </si>
  <si>
    <t>conserto da caçamba do trator - Faz. SLRP</t>
  </si>
  <si>
    <t>Sidnei da Silva do Nascimento</t>
  </si>
  <si>
    <t>DCTFWEB ref. 08/25</t>
  </si>
  <si>
    <t>reembolso de despesa paga_ FGTS ref. 08/25</t>
  </si>
  <si>
    <t>IPTU/25 parc.8/11 - Lote E-06 - Lot. Santa Adelia</t>
  </si>
  <si>
    <t>IPTU/25 divida LOTE M-08 - NE111145008000 Leonardo Lourezzzo da Silva Santos</t>
  </si>
  <si>
    <t>IPTU/25 divida LOTE L-15 - NE111146016000 Maicon Augusto Guimaraes Batista</t>
  </si>
  <si>
    <t>IPTU/25 divida LOTE L-08 - NE111146008000 Francisca Ferreira dos Santos</t>
  </si>
  <si>
    <t>DCTFWeb REF. 08/2025</t>
  </si>
  <si>
    <t>ref. 08/25_LM (PIX)</t>
  </si>
  <si>
    <t>ref. 08/25_ (PIX)</t>
  </si>
  <si>
    <t>taxa de serviço diversos / 25 limpeza terreno - lote X-13- Lot. Sta.Clara</t>
  </si>
  <si>
    <t>taxa de serviço diversos / 25 limpeza terreno - lote B-21 - Lot. Sta.Clara</t>
  </si>
  <si>
    <t>taxa de serviço diversos / 25 - lote A-20 - Lot. Sta.Clara</t>
  </si>
  <si>
    <t>CONTJET NF 34825 - serviços contabil</t>
  </si>
  <si>
    <t>despesas NF falta boleto</t>
  </si>
  <si>
    <t>Int. Andre Ribeiro - 15 Cartorio T N S</t>
  </si>
  <si>
    <t>e social re. 08/25</t>
  </si>
  <si>
    <t>(3529622) ref. 08/25 - Apto. 91 Rua Curitiba</t>
  </si>
  <si>
    <t>CONTJET NF 34797 - serviços contabil</t>
  </si>
  <si>
    <t>NF 13714</t>
  </si>
  <si>
    <t>InstallFone Comecio e Serv</t>
  </si>
  <si>
    <t>renovação seguro - parc. 02/04 Corolla GAT4063</t>
  </si>
  <si>
    <t>ref. 08/25</t>
  </si>
  <si>
    <t>ref. 08/2025</t>
  </si>
  <si>
    <t>CONTJET NF 34524 - serviços contabil</t>
  </si>
  <si>
    <t>sinal retrofit AR COND 3/6 Ed. Francisco Mellão conj. 22</t>
  </si>
  <si>
    <t>tradução necessaria para obtenção do CNPJ de não residente EXPERT</t>
  </si>
  <si>
    <t>Just Traduções SS</t>
  </si>
  <si>
    <t>casa conectada - Apto. 51 Rua Pirapora, 250</t>
  </si>
  <si>
    <t>reembolso_lamina e oleo para motoserra - roçada do Loteamento Santa Clara</t>
  </si>
  <si>
    <t>reembolso_gasolina 42,33 litros - roçada do Loteamento Santa Clara</t>
  </si>
  <si>
    <t>TED DEVOLVIDA - conserto da caçamba do trator - Faz. SLRP</t>
  </si>
  <si>
    <t>(813242191) Casa Grande - Faz. SLRP</t>
  </si>
  <si>
    <t>(81324138) Casa Francisco - Faz. SLRP</t>
  </si>
  <si>
    <t>(0122785271) conjunto 22</t>
  </si>
  <si>
    <t>( 0112785271) conjunto 22</t>
  </si>
  <si>
    <t>taxa associativa ref. Ao mês 09/25 - Lote E-06 Lot. Sta Adelia</t>
  </si>
  <si>
    <t>NF41</t>
  </si>
  <si>
    <t>AgroProsperidade ração cavalos 10sc Royal horse original 11% sc 40kg</t>
  </si>
  <si>
    <t>Pereira &amp; Faria Com de Rações</t>
  </si>
  <si>
    <t>AgroProsperidade adubo 12.06.12 (saco 50kg)</t>
  </si>
  <si>
    <t>reembolso despesas_material para instalação do gas - Faz. Esperança</t>
  </si>
  <si>
    <t>Roberto Salvato</t>
  </si>
  <si>
    <t>NF 16134212</t>
  </si>
  <si>
    <t>lavagens dos veiculos da LARM Part.</t>
  </si>
  <si>
    <t>Ed. Park Lane - apto. 91 - condominio 08/25(fraçao padrao 8,5595%)</t>
  </si>
  <si>
    <t>SMART empresas 100GB E 8GB</t>
  </si>
  <si>
    <t>recibo 0179</t>
  </si>
  <si>
    <t>NF 62346158</t>
  </si>
  <si>
    <t>Ed. Francisco Mellão conj. 22 - fundo de reserva 07/25</t>
  </si>
  <si>
    <t>Ed. Francisco Mellão conj. 22 - condominio 09/25</t>
  </si>
  <si>
    <t>cota condominial 09/25 - Apto. 152 Rua Estado de Israel, 577</t>
  </si>
  <si>
    <t>Rendimento de aplicação</t>
  </si>
  <si>
    <t>reembolso de pgto_multa de transito - Fiat Strada DZL739</t>
  </si>
  <si>
    <t>(54 diarias * 250,00 p/dia) limpeza de pastagem com uso de herbicida, roçadeira mecanica e enxadão - Faz. Santa Clara</t>
  </si>
  <si>
    <t>(50diarias * 250,00 p/dia) limpeza de pastagem com uso de herbicida, roçadeira mecanica e enxadão - Faz. SLRP</t>
  </si>
  <si>
    <t>VENDA DE GADO</t>
  </si>
  <si>
    <t>venda de 50 cabeças de gado - Faz. Santa Clara</t>
  </si>
  <si>
    <t>Thiago Faria Muriato</t>
  </si>
  <si>
    <t>REEMBOLSO PGTO. LM_multa de transito - Fiat Strada DZL739</t>
  </si>
  <si>
    <t>multas de transito - RAV4 GHY6C41</t>
  </si>
  <si>
    <t>Sefaz SP</t>
  </si>
  <si>
    <t>multas de transito - Hilux SW4 BSY2565</t>
  </si>
  <si>
    <t>multas de transito - Hilux CD FRK2F51</t>
  </si>
  <si>
    <t>multas de transito - Corolla GAT4063</t>
  </si>
  <si>
    <t>ADIANT. PGTO. LM_multa de transito - Fiat Strada DZL739</t>
  </si>
  <si>
    <t>consulta Dr. Luiz Monteiro dia 26/08/25 - Dra. Ana Tereza</t>
  </si>
  <si>
    <t>Rumo Clinica Medica</t>
  </si>
  <si>
    <t>PIS ref. 07/25</t>
  </si>
  <si>
    <t>SEF</t>
  </si>
  <si>
    <t>COFINS ref. 07/25</t>
  </si>
  <si>
    <t>NF 686</t>
  </si>
  <si>
    <t>VT ref.09/2025</t>
  </si>
  <si>
    <t>salario ref. 08/2025</t>
  </si>
  <si>
    <t>PRESTACAO SERVIÇO</t>
  </si>
  <si>
    <t>FT01017774 - diferença despesas viagem Rosa Monteiro SET/25</t>
  </si>
  <si>
    <t>contribuição assistencial ref. 08/25</t>
  </si>
  <si>
    <t>Sindicato ldos Trabalhadores e Empregados Rurais de Pindamonhangaba</t>
  </si>
  <si>
    <t>contribuição assistencial ref. 07/25</t>
  </si>
  <si>
    <t>REEMBOLSO LARM PART_Alpargatas S/A_sandalia Despesas Rosa Monteiro</t>
  </si>
  <si>
    <t>reembolso despesas_exame da esposa do Sr. Francisco</t>
  </si>
  <si>
    <t>aluguel Yealink T31G Frandstream ref. 08/25</t>
  </si>
  <si>
    <t>(202258570) Apto. 152 Rua Estado de Israel, 577</t>
  </si>
  <si>
    <t>Adiantamento venda de 50 cabeças de gado - Faz. Santa Clara</t>
  </si>
  <si>
    <t>salario 08/2025</t>
  </si>
  <si>
    <t>NF5352540</t>
  </si>
  <si>
    <t xml:space="preserve">DCTFWEB ref. 07/25 </t>
  </si>
  <si>
    <t>(151017092) Faz. Santa Clara</t>
  </si>
  <si>
    <t>LM_esocial ref. 07/25</t>
  </si>
  <si>
    <t>LM_DCTF Web 07/25</t>
  </si>
  <si>
    <t>reembolso despesa paga_Enel - (56199716) Apto. 91 Rua Curitiba, 289</t>
  </si>
  <si>
    <t>DESPESAS DE VETERINÁRIA</t>
  </si>
  <si>
    <t>visita atendimento - Faz. Santa Clara</t>
  </si>
  <si>
    <t>Bruno Carvalho Abbatepaolo</t>
  </si>
  <si>
    <t>vacinação e declaração - Faz. Santa Clara</t>
  </si>
  <si>
    <t>reembolso despesa paga_Rister &amp; Valise - Centro Veterinario Amo Vida Animal - Chico Bento dia 17/06/25</t>
  </si>
  <si>
    <t>reembolso despesa paga_Bhub Serviços e Tecnologia Ltda - CONTJET NF 30240 - serviços contabil</t>
  </si>
  <si>
    <t>DCTFWEB ref. 07/25</t>
  </si>
  <si>
    <t>Alpargatas S.A.</t>
  </si>
  <si>
    <t>FGTS ref.07/25 - pix consignado</t>
  </si>
  <si>
    <t>FGTS ref.07/25 - LM PIX</t>
  </si>
  <si>
    <t>FGTS ref. 07/25</t>
  </si>
  <si>
    <t>custas da intimação da ação de escritura lote B-29 - Lot. Sta.Clara</t>
  </si>
  <si>
    <t>São Paulo Tribunal de Justiça</t>
  </si>
  <si>
    <t>reembolso_mao de obra e material da instalação de tubulação do gas - Faz. Esperança</t>
  </si>
  <si>
    <t>reembolso_esocial ref. 07/25</t>
  </si>
  <si>
    <t>reembolso_ DCTF Web 07/25</t>
  </si>
  <si>
    <t>reembolso_peça usada banheiro_casa Gde. - Faz. SLRP</t>
  </si>
  <si>
    <t>reembolso_lamina e oleo para roçadeira - Lot. Sta.Clara</t>
  </si>
  <si>
    <t>reembolso_gasolina para roçada - Lot. Sta.Clara</t>
  </si>
  <si>
    <t>reembolso_cloro para piscina - Casa Gde. - Faz. SLRP</t>
  </si>
  <si>
    <t>3 cópias de chave do cadeado_casa Gde. Faz. SLRP</t>
  </si>
  <si>
    <t>NF39</t>
  </si>
  <si>
    <t>NF30268 - CONTJET</t>
  </si>
  <si>
    <t>despesas NF 7559</t>
  </si>
  <si>
    <t>IPTU/25 parc. 7/11 - Lote E-06 - Lot. Santa Adelia</t>
  </si>
  <si>
    <t>ref. 07/2025</t>
  </si>
  <si>
    <t>reembolso despesa paga LM_(56199716) Apto. 91 Rua Curitiba, 289</t>
  </si>
  <si>
    <t>reembolso despesa paga LM_Centro Veterinario Amo Vida Animal - Chico Bento dia 17/06/25</t>
  </si>
  <si>
    <t>NF30253 - CONTJET</t>
  </si>
  <si>
    <t>reembolso_FGTS rescisão Anderson Luis Sant Anna</t>
  </si>
  <si>
    <t>Serviços contábeis ref. 08/2025</t>
  </si>
  <si>
    <t>ISS/ s/nf 3550;24815;24836;24862;24885;24915;24939</t>
  </si>
  <si>
    <t>Municipio de Pindamonhangaba</t>
  </si>
  <si>
    <t>ISS/ s/nf 24763; 24789</t>
  </si>
  <si>
    <t>ISS/ s/nf 24158</t>
  </si>
  <si>
    <t>serviços de eletricista - Faz. SLRP</t>
  </si>
  <si>
    <t>Heli de Palma Silva</t>
  </si>
  <si>
    <t>ref. 07/25</t>
  </si>
  <si>
    <t>casa conectada - Apto. 51 Rua Pirapora</t>
  </si>
  <si>
    <t>reembolso_Esocial ref. 06/25</t>
  </si>
  <si>
    <t>reembolso_medicamentos Samuel</t>
  </si>
  <si>
    <t>reembolso_consulta esposa Sr. Francisco-FAZ SLRP</t>
  </si>
  <si>
    <t>reembolso_ consulta medica Samuel</t>
  </si>
  <si>
    <t>Apto. 91 Rua Curitiba,289</t>
  </si>
  <si>
    <t>NF 13649</t>
  </si>
  <si>
    <t>renovação assinatura (Valor Economico) periodo de 31/7/25 a 30/07/26</t>
  </si>
  <si>
    <t>Editora Globo S/A</t>
  </si>
  <si>
    <t>renovação seguro - parc. 01/04 Corolla GAT4063</t>
  </si>
  <si>
    <t>ISS S/ NF 15853260 - Verisure Brasil Monitoramento</t>
  </si>
  <si>
    <t>PMSP</t>
  </si>
  <si>
    <t>NF 851 - parte de pagamento _serviços de topografia; regularização de imóveis rurais; mátriculas 3675;26526;53188;27370;53187. (50%final no protocolo)</t>
  </si>
  <si>
    <t>Topoh Engenharia Ltda</t>
  </si>
  <si>
    <t>taxa associativa ref. Ao mês 08/25 - Lote E-06 Lot. Sta Adelia</t>
  </si>
  <si>
    <t>e-social ref. 06/25 LM</t>
  </si>
  <si>
    <t>AgroProsperidade ração cavalos 10sc</t>
  </si>
  <si>
    <t>NF 1583260</t>
  </si>
  <si>
    <t>Adiant. Pgto_ LM_FGTS rescisão Anderson Luis Sant Anna</t>
  </si>
  <si>
    <t>reembolso de despesa paga_GOOGLE SUIT NF 13794661</t>
  </si>
  <si>
    <t>reembolso despesas_materiais - Obra padaria - Faz. Esperança</t>
  </si>
  <si>
    <t>reembolso despesas_frete blocos casa do gas - Obra padaria - Faz. Esperança</t>
  </si>
  <si>
    <t>reembolso despesas_cloro piscina - Casa Gde. Faz.SLRP</t>
  </si>
  <si>
    <t>reembolso despesas_ verniz - Casa Gde. Faz. SLRP</t>
  </si>
  <si>
    <t>reembolso despesas_ quadra Y; consulta filha do Francisco e Faz. Esperança</t>
  </si>
  <si>
    <t>72 diarias * R$250,00 controle de pragas invasoras de pastagem, roçada manual aplicação Roundup; Grasindim e Oleo mineral. - Faz.Sta Clara</t>
  </si>
  <si>
    <t>H M S Plantio e Serviços Florestais</t>
  </si>
  <si>
    <t>(89983807) Casa Maria - Faz. SLRP</t>
  </si>
  <si>
    <t>Consulta LM 30/07/25</t>
  </si>
  <si>
    <t>Clinicordis São Judas Tadeu</t>
  </si>
  <si>
    <t>Ed. Park Lane - apto. 91 - condominio 06/25(fraçao padrao 8,5595%)</t>
  </si>
  <si>
    <t>recibo 1506</t>
  </si>
  <si>
    <t>Ref. 05/25</t>
  </si>
  <si>
    <t>NF61549897</t>
  </si>
  <si>
    <t>Ed. Francisco Mellão conj. 22 - fundo de reserva 08/25</t>
  </si>
  <si>
    <t>Ed. Francisco Mellão conj. 22 - condominio 08/25</t>
  </si>
  <si>
    <t>cota condominial 08/25 - Apto. 152 Rua Estado de Israel, 577</t>
  </si>
  <si>
    <t>água apto 18/05/25 a 18/06/25 10,03m3 - Apto.51</t>
  </si>
  <si>
    <t>aluguel Yealink T31G Frandstream ref. 03/25</t>
  </si>
  <si>
    <t>2º Trimestre/25 IRPJ</t>
  </si>
  <si>
    <t>2º Trimestre/25 CSLL</t>
  </si>
  <si>
    <t>segurança - Lot. Sta. Clara</t>
  </si>
  <si>
    <t>Nigro Manutenção filtros - manutenção total filtro central 1.500l - Casa Gde. Faz.SLRP</t>
  </si>
  <si>
    <t>S.A.S. Nascimento Eletrodomesticos - ME</t>
  </si>
  <si>
    <t>NF81415 - revisão Corolla GAT4063</t>
  </si>
  <si>
    <t>NF 110.930 - revisão Corolla GAT4063</t>
  </si>
  <si>
    <t>HostGator Brasil Ltda</t>
  </si>
  <si>
    <t>PIS ref. 06/25</t>
  </si>
  <si>
    <t>COFINS ref. 06/25</t>
  </si>
  <si>
    <t>NF677</t>
  </si>
  <si>
    <t>NF5229372</t>
  </si>
  <si>
    <t>VT ref.08/2025</t>
  </si>
  <si>
    <t>serviços prestados</t>
  </si>
  <si>
    <t>salario ref. 07/2025</t>
  </si>
  <si>
    <t>ENEL (56199716) Ato.91 Rua Curitiba, 289 - ref. 07/2025</t>
  </si>
  <si>
    <t>ENEL (56199716) Ato.91 Rua Curitiba, 289 - ref. 06/2025</t>
  </si>
  <si>
    <t>7 consultas R$350,00, de LM com a Dra. Elaine Gambirasio - Psicologa</t>
  </si>
  <si>
    <t>G&amp;G Agile Mind</t>
  </si>
  <si>
    <t>NF1931</t>
  </si>
  <si>
    <t>salario 07/2025</t>
  </si>
  <si>
    <t>Israel Dias da Silva Junior_ref. Serviços sistema de cameras - recepção</t>
  </si>
  <si>
    <t>Nota de debito 4667</t>
  </si>
  <si>
    <t>reembolso despesas</t>
  </si>
  <si>
    <t>IPTU/25 parc.06/11 - Lote E-06 - Terras de Santa Adelia</t>
  </si>
  <si>
    <t>DCTFWEB ref. 06/25</t>
  </si>
  <si>
    <t>reembolso pagto DCTF WEB 06/25 - Faz. SLRP</t>
  </si>
  <si>
    <t>NF 26543 - CONTJET</t>
  </si>
  <si>
    <t>renovação seguro Corolla CROSS Placa FWY6B91 parc. 03/03</t>
  </si>
  <si>
    <t>Porto Seguro Cia de Seguro Gerais</t>
  </si>
  <si>
    <t>DCTFWEB ref. 06/25 - LM Faz.SLRP</t>
  </si>
  <si>
    <t>DCTFWEB ref. 06/25 - consignado</t>
  </si>
  <si>
    <t>NF26573 - CONTJET</t>
  </si>
  <si>
    <t>NF 6191</t>
  </si>
  <si>
    <t>Int. Andre Ribeiro Jeremias - 15 Cartorio T N SP</t>
  </si>
  <si>
    <t>NF 13548</t>
  </si>
  <si>
    <t>InstalFone Comercio e Serv.</t>
  </si>
  <si>
    <t>NF 811511 - revisão 60.000KM Corolla GAT4063</t>
  </si>
  <si>
    <t>NF 110.603 - revisão 60.000KM Corolla GAT4063</t>
  </si>
  <si>
    <t>NF26418 - CONTJET</t>
  </si>
  <si>
    <t>REEMBOLSO DESPESA PAGA_FGTS ref. 04/2025 (PIX)</t>
  </si>
  <si>
    <t>reembolso despesas encanador serviços de reparo -casa gde. - Faz SLRP</t>
  </si>
  <si>
    <t>NF 3592 manutenção impressoras</t>
  </si>
  <si>
    <t>Charles Wilian Jorge Me</t>
  </si>
  <si>
    <t>taxa associativa ref. Ao mês 07/25 - Lote E-06 Lot. Sta Adelia</t>
  </si>
  <si>
    <t>(81324219) - Casa Grande - FAZENDA São Luiz do Rio Pequeno</t>
  </si>
  <si>
    <t>(81324138) - Casa Sr. Francisco - FAZENDA São Luiz do Rio Pequeno</t>
  </si>
  <si>
    <t>NF 38</t>
  </si>
  <si>
    <t>taxa de fiscalização de estabelecimento - incidência 2025</t>
  </si>
  <si>
    <t>Prefeitura Municipal de São Paulo</t>
  </si>
  <si>
    <t>ISS S/NF16 SAZO CONTRUTORA;</t>
  </si>
  <si>
    <t>FT01014512 ref. hospedagem viagem setembro/25</t>
  </si>
  <si>
    <t>serviços eletricos - Faz. SLRP</t>
  </si>
  <si>
    <t>Heli de Palma</t>
  </si>
  <si>
    <t>pilares para ducha da piscina - casa Gde. - Faz. SLRP</t>
  </si>
  <si>
    <t>Colinoni Materiais de Construçao</t>
  </si>
  <si>
    <t>Pagar.ME Instituição de Pagamento S/A_Certidão na Mão Cerdidoes pela Internet_Certidão de nascimento atualizada Aparecida Juliana de Melo Alves-filha do Sr. Francisco (Faz.SLRP)</t>
  </si>
  <si>
    <t>NF 1924</t>
  </si>
  <si>
    <t>NF 15579873</t>
  </si>
  <si>
    <t>multas de transito -TOYOTA RAV 4 - placa GHY6C41</t>
  </si>
  <si>
    <t>Prefeitura Cidade de São Paulo</t>
  </si>
  <si>
    <t>NF 163064</t>
  </si>
  <si>
    <t>ISS S/NF 15579873 Verisure Brasil</t>
  </si>
  <si>
    <t>reembolso de despesa paga_GOOGLE SUIT NF 13678259</t>
  </si>
  <si>
    <t>LARM Participações Ltda_Pagar.ME Instituição de Pagamento S/A_Certidão na Mão Cerdidoes pela Internet_Certidão de nascimento atualizada Aparecida Juliana de Melo Alves-filha do Sr. Francisco (Faz.SLRP)</t>
  </si>
  <si>
    <t>taxa de fiscalização de estabelecimento - incidência 2025 - HOLDING</t>
  </si>
  <si>
    <t>LARM HOLDING lltda</t>
  </si>
  <si>
    <t>Prefeitura Municipal de São Paulo _taxa de fiscalização de estabelecimento - incidência 2025 HOLDING</t>
  </si>
  <si>
    <t>Ed. Park Lane - apto. 91 - condominio 07/25(fraçao padrao 8,5595%)</t>
  </si>
  <si>
    <t>NessPresso - 60 capsulas Nesspresso descafeinado</t>
  </si>
  <si>
    <t>Adyen BR Ltda</t>
  </si>
  <si>
    <t>Certidão na Mão Cerdidoes pela Internet_Certidão de nascimento atualizada Aparecida Juliana de Melo Alves-filha do Sr. Francisco (Faz.SLRP)</t>
  </si>
  <si>
    <t>Pagar.ME Instituição de Pagamento S/A</t>
  </si>
  <si>
    <t>NF60766719</t>
  </si>
  <si>
    <t>Ed. Francisco Mellão conj. 22 - condominio 07/25</t>
  </si>
  <si>
    <t>cota condominial 05/25 - Apto. 152 Rua Estado de Israel, 577</t>
  </si>
  <si>
    <t>água apto 18/04/25 a 18/04/25 15,7m3 - Apto.51</t>
  </si>
  <si>
    <t>Centro Animal Amo Vida Animal - despesas ref. Despesas cachorros dia 17/06/25 - Faz. SLRP</t>
  </si>
  <si>
    <t>Sheila do Prado</t>
  </si>
  <si>
    <t>Ricardo Vitorino de Lima</t>
  </si>
  <si>
    <t>Custo inicial Storage House</t>
  </si>
  <si>
    <t>ref. 06/25</t>
  </si>
  <si>
    <t>NF667</t>
  </si>
  <si>
    <t>PIS ref. 05/25</t>
  </si>
  <si>
    <t>COFINS ref. 05/25</t>
  </si>
  <si>
    <t>VT ref.07/2025</t>
  </si>
  <si>
    <t>salario ref. 06/2025</t>
  </si>
  <si>
    <t>VR 07/25</t>
  </si>
  <si>
    <t>salario 06/2025</t>
  </si>
  <si>
    <t>NF5101344</t>
  </si>
  <si>
    <t>NF22146</t>
  </si>
  <si>
    <t>NF 557 - grama esmeralda - Quadra Y e Z</t>
  </si>
  <si>
    <t>Valerio Donizete dos Santos</t>
  </si>
  <si>
    <t>(151017092) Fazenda Santa Clara</t>
  </si>
  <si>
    <t>FT01014461ref. Despesas viagem maio/25</t>
  </si>
  <si>
    <t>NF22655 - CONTJET</t>
  </si>
  <si>
    <t>NF 1920</t>
  </si>
  <si>
    <t>cabo aluminio; azul decantador;cartela de gel - piscina - Casa Gde.</t>
  </si>
  <si>
    <t>Altair de Souza</t>
  </si>
  <si>
    <t>reembolso de pgto LM DCTFWeb ref. 05/25</t>
  </si>
  <si>
    <t>DCTFWEB ref. 05/25</t>
  </si>
  <si>
    <t>adiantamento de pgto LM DCTFWeb ref. 05/25</t>
  </si>
  <si>
    <t>NF 5019 - despesas cartorarias</t>
  </si>
  <si>
    <t>Int Andre Ribeiro Jeremias</t>
  </si>
  <si>
    <t>NF 4936 - despesas cartorarias</t>
  </si>
  <si>
    <t>e Social ref. 05/25</t>
  </si>
  <si>
    <t>Cia da Terra - 6galoes de 10 litros TORDON NF072.300 e 6galoes de 20litros Round up - Faz. SLRP</t>
  </si>
  <si>
    <t>H R F de M e Silva Agricola</t>
  </si>
  <si>
    <t>prestadora serviços</t>
  </si>
  <si>
    <t>renovação seguro Corolla CROSS Placa FWY6B91 parc. 02/03</t>
  </si>
  <si>
    <t>IPTU/25 parcela 05/11 E-06 Sta. Adelia</t>
  </si>
  <si>
    <t>NF22918 - serviços de contabilidade CONTJET</t>
  </si>
  <si>
    <t>Sylvio Eduardo Correia Novello</t>
  </si>
  <si>
    <t>Fase 3-Revisão e entrega DCBE e DIRPF</t>
  </si>
  <si>
    <t>resposição caixa</t>
  </si>
  <si>
    <t>REEMBOLSO DESPESA PAGA_FGTS rescisorio Sheila Prado</t>
  </si>
  <si>
    <t>EDP (813242191) Casa Grande - Faz. SLRP</t>
  </si>
  <si>
    <t>ISS S/NF 15309015 Verisure Brasil</t>
  </si>
  <si>
    <t>taxa associativa ref. Ao mês 06/25 - Lote E-06 Lot. Sta Adelia</t>
  </si>
  <si>
    <t>NF 37</t>
  </si>
  <si>
    <t>ISS S/NF 1027 Lorenposte Eletricidade, Eng. E Com de Postes Ltda</t>
  </si>
  <si>
    <t>reembolso NF 3497 - Pereira Silva Caçambas - limpeza lixo Quadra Y</t>
  </si>
  <si>
    <t>Contribuição assistencial - 05/25 (será descontado dos funcionarios)</t>
  </si>
  <si>
    <t>11 9822-4847</t>
  </si>
  <si>
    <t>NF 1914</t>
  </si>
  <si>
    <t>renovação seguro RAV4 parc.03/03</t>
  </si>
  <si>
    <t>Kabum Comercio Eletronico_hd SSD disco solido interno 480gb original note Viviane</t>
  </si>
  <si>
    <t>HUB Fintech</t>
  </si>
  <si>
    <t>protocolo da garantia da Quadra Z</t>
  </si>
  <si>
    <t>consulta medica da filha do Francisco</t>
  </si>
  <si>
    <t>NF 15309015</t>
  </si>
  <si>
    <t>01273696392 LM 1 parcela 13º</t>
  </si>
  <si>
    <t>01507549684 RM 1 parcela 13º</t>
  </si>
  <si>
    <t>(0202258570) Apto. 152 Rua Estado de Israel, 577</t>
  </si>
  <si>
    <t>reembolso despesas_ vacinas para raiva e manqueira - Gado - Faz. SLRP e Faz. Sta. Clara</t>
  </si>
  <si>
    <t>reembolso despesas_ pe da maquina de larvar - Casa Gde. - Faz. SLRP</t>
  </si>
  <si>
    <t>reembolso despesas_ lamina e oleo para roçar Lot.Sta. Clara</t>
  </si>
  <si>
    <t>consulta LM dia 30/05/25 - Dr Abrão Cury</t>
  </si>
  <si>
    <t>Ed. Park Lane - apto. 91 - condominio 05/25(fraçao padrao 8,5595%)</t>
  </si>
  <si>
    <t>nf29949 - manutenção maquina café</t>
  </si>
  <si>
    <t>Seeco São Paulo Com de Maq de Café e Suprimentos Ltda</t>
  </si>
  <si>
    <t>NF 80381 - revisão 40.000km RAV 4</t>
  </si>
  <si>
    <t>NF 106706 - revisão 40.000km RAV 4</t>
  </si>
  <si>
    <t>recibo 1505</t>
  </si>
  <si>
    <t>NF60016125</t>
  </si>
  <si>
    <t>Ed. Francisco Mellão conj. 22 - fundo de reserva 06/25</t>
  </si>
  <si>
    <t>Ed. Francisco Mellão conj. 22 - condominio 06/25</t>
  </si>
  <si>
    <t>água apto 19/03/25 a 18/04/25 11,25m3 - Apto.51</t>
  </si>
  <si>
    <t>VENDAS CANCELADAS</t>
  </si>
  <si>
    <t>Distrato lote T-28</t>
  </si>
  <si>
    <t>Felipe e Renata</t>
  </si>
  <si>
    <t>Monitor de computador</t>
  </si>
  <si>
    <t>NF659</t>
  </si>
  <si>
    <t>IPTU/25 parcelas 3,4,5,6 - LOTE J-03 - NE-11113707000</t>
  </si>
  <si>
    <t>Laudo técnico e orçamento de restauro - São Gonçalo</t>
  </si>
  <si>
    <t>Taluhama Rocha</t>
  </si>
  <si>
    <t>Marialva dia 21/5 - consulta</t>
  </si>
  <si>
    <t>Vital Paulino Costa</t>
  </si>
  <si>
    <t>hd SSD disco solido interno 480gb original note Viviane</t>
  </si>
  <si>
    <t>Mercado Pago</t>
  </si>
  <si>
    <t>IRPF Declaração de Ajuste Anual</t>
  </si>
  <si>
    <t>NF14690224</t>
  </si>
  <si>
    <t>NF 124736</t>
  </si>
  <si>
    <t>Inove Higiene Comercio e Serviços de Descartaveis</t>
  </si>
  <si>
    <t>COFINS ref. 04/25</t>
  </si>
  <si>
    <t>serviços prestados ref. 05/2025</t>
  </si>
  <si>
    <t>salario ref. 05/2025</t>
  </si>
  <si>
    <t>consulta Dr. Luiz Monteiro dia 19/05/25 - Dra. Ana Tereza</t>
  </si>
  <si>
    <t>VR 06/25</t>
  </si>
  <si>
    <t>salario 05/2025</t>
  </si>
  <si>
    <t>PIS ref. 04/2025</t>
  </si>
  <si>
    <t>VT - complementar ref. A reajuste de tarifa onibus e metrô</t>
  </si>
  <si>
    <t>DCTF WEB ref. 04/25</t>
  </si>
  <si>
    <t>NF04959445</t>
  </si>
  <si>
    <t>NF9528 - consultoria tributaria parc.02/03</t>
  </si>
  <si>
    <t>serviço de conserto rufo - Faz Esperança</t>
  </si>
  <si>
    <t>roçada loteamento Santa Clara</t>
  </si>
  <si>
    <t>lamina e oleo para roçar o loteamento Sta Clara</t>
  </si>
  <si>
    <t>gasolina para Toninho - Faz. Sta Clara</t>
  </si>
  <si>
    <t>gasolina para roçar o loteamento Sta Clara</t>
  </si>
  <si>
    <t>cloro para piscina - Casa Grande - Faz. SLRP</t>
  </si>
  <si>
    <t>e Social ref. 04/25</t>
  </si>
  <si>
    <t>reembolso farmacia LM</t>
  </si>
  <si>
    <t>exames demissionais dos caseiros - total de 84,00 - credito com Alexandre de 80,00</t>
  </si>
  <si>
    <t>Centro Animal Amo Vida Animal - despesas de cachorros CHICO Bento - Faz. SLRP</t>
  </si>
  <si>
    <t>(058199716) apto. 91 Rua Curitiba,289</t>
  </si>
  <si>
    <t>renovaçao Suzuki</t>
  </si>
  <si>
    <t>IPTU/25 parcela 04/11 E-06 Sta. Adelia</t>
  </si>
  <si>
    <t>FGTS ref. 04/2025 (PIX)</t>
  </si>
  <si>
    <t>mudança</t>
  </si>
  <si>
    <t>NF 002 - materiais utilizados na rotatoria Quadra Y Lot.StaClara</t>
  </si>
  <si>
    <t>CONTABEIS</t>
  </si>
  <si>
    <t>NF 19618 - CONTJET</t>
  </si>
  <si>
    <t>NF3680</t>
  </si>
  <si>
    <t>NF6773 tinta esmalte para pintar o poste - Quadra Y Lot. Sta.Clara</t>
  </si>
  <si>
    <t>Helton Cavalcanti - a pedido de LM</t>
  </si>
  <si>
    <t>REEMBOLSO DESPESA PAGA_ FGTS rescisorio Ricardo Vitorino</t>
  </si>
  <si>
    <t>NF 19617 - CONTJET</t>
  </si>
  <si>
    <t>NF 13501</t>
  </si>
  <si>
    <t>ISS S/ NF 15034511 - Verisure Brasil Monitoramento</t>
  </si>
  <si>
    <t>rescisorio Sheila Prado (PIX)</t>
  </si>
  <si>
    <t>rescisorio Ricardo Vitorino (PIX)</t>
  </si>
  <si>
    <t>NF 19597 - CONTJET</t>
  </si>
  <si>
    <t>taxa associativa ref. Ao mês 05/25 - Lote E-06 Lot. Sta Adelia</t>
  </si>
  <si>
    <t>SEGUROS RISCOS DIVERSOS</t>
  </si>
  <si>
    <t>renovação seguro escritorio LARM conj. 22 parc. 02/04</t>
  </si>
  <si>
    <t>Mensalidade plano de saúde familia Monteiro</t>
  </si>
  <si>
    <t>Sul America Companhia de Seguros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</si>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</sst>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0" fontId="0" fillId="0" borderId="0" xfId="0" applyAlignment="1">
      <alignment vertical="top"/>
    </xf>
    <xf numFmtId="0" fontId="0" fillId="0" borderId="0" xfId="0" applyProtection="1"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/>
      <protection locked="0"/>
    </xf>
    <xf numFmtId="43" fontId="0" fillId="0" borderId="0" xfId="1" applyFont="1" applyFill="1" applyBorder="1" applyAlignment="1" applyProtection="1">
      <alignment vertical="top"/>
      <protection locked="0"/>
    </xf>
    <xf numFmtId="43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2" borderId="1" xfId="1" applyNumberFormat="1" applyFont="1" applyFill="1" applyBorder="1" applyAlignment="1">
      <alignment horizontal="center" vertical="top"/>
    </xf>
    <xf numFmtId="0" fontId="0" fillId="2" borderId="1" xfId="1" applyNumberFormat="1" applyFont="1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14" fontId="0" fillId="3" borderId="1" xfId="1" applyNumberFormat="1" applyFont="1" applyFill="1" applyBorder="1" applyAlignment="1">
      <alignment horizontal="center" vertical="top"/>
    </xf>
    <xf numFmtId="0" fontId="0" fillId="3" borderId="1" xfId="1" applyNumberFormat="1" applyFont="1" applyFill="1" applyBorder="1" applyAlignment="1">
      <alignment vertical="top"/>
    </xf>
    <xf numFmtId="43" fontId="0" fillId="3" borderId="1" xfId="1" applyFon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14" fontId="0" fillId="3" borderId="1" xfId="0" applyNumberForma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14" fontId="3" fillId="3" borderId="1" xfId="0" applyNumberFormat="1" applyFont="1" applyFill="1" applyBorder="1" applyAlignment="1">
      <alignment vertical="top"/>
    </xf>
    <xf numFmtId="14" fontId="0" fillId="2" borderId="2" xfId="0" applyNumberFormat="1" applyFill="1" applyBorder="1" applyAlignment="1">
      <alignment vertical="top"/>
    </xf>
    <xf numFmtId="0" fontId="5" fillId="3" borderId="1" xfId="2" applyFont="1" applyFill="1" applyBorder="1" applyAlignment="1">
      <alignment horizontal="left"/>
    </xf>
    <xf numFmtId="14" fontId="3" fillId="2" borderId="1" xfId="1" applyNumberFormat="1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14" fontId="3" fillId="3" borderId="1" xfId="1" applyNumberFormat="1" applyFont="1" applyFill="1" applyBorder="1" applyAlignment="1">
      <alignment horizontal="center" vertical="top"/>
    </xf>
    <xf numFmtId="14" fontId="0" fillId="3" borderId="1" xfId="0" quotePrefix="1" applyNumberFormat="1" applyFill="1" applyBorder="1" applyAlignment="1">
      <alignment vertical="top"/>
    </xf>
    <xf numFmtId="14" fontId="0" fillId="0" borderId="1" xfId="0" applyNumberFormat="1" applyBorder="1"/>
    <xf numFmtId="14" fontId="3" fillId="2" borderId="1" xfId="0" applyNumberFormat="1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vertical="top"/>
    </xf>
    <xf numFmtId="14" fontId="0" fillId="2" borderId="1" xfId="0" applyNumberForma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vertical="top"/>
    </xf>
    <xf numFmtId="43" fontId="0" fillId="2" borderId="1" xfId="1" applyFont="1" applyFill="1" applyBorder="1" applyAlignment="1">
      <alignment horizontal="right" vertical="top"/>
    </xf>
    <xf numFmtId="39" fontId="0" fillId="3" borderId="1" xfId="0" applyNumberFormat="1" applyFill="1" applyBorder="1" applyAlignment="1">
      <alignment vertical="top"/>
    </xf>
    <xf numFmtId="14" fontId="0" fillId="2" borderId="1" xfId="0" quotePrefix="1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43" fontId="0" fillId="3" borderId="1" xfId="1" applyFont="1" applyFill="1" applyBorder="1" applyAlignment="1">
      <alignment horizontal="right" vertical="top"/>
    </xf>
    <xf numFmtId="39" fontId="0" fillId="2" borderId="1" xfId="0" applyNumberFormat="1" applyFill="1" applyBorder="1" applyAlignment="1">
      <alignment vertical="top"/>
    </xf>
    <xf numFmtId="0" fontId="0" fillId="2" borderId="3" xfId="0" applyFill="1" applyBorder="1" applyAlignment="1">
      <alignment vertical="top"/>
    </xf>
    <xf numFmtId="14" fontId="0" fillId="2" borderId="3" xfId="1" applyNumberFormat="1" applyFont="1" applyFill="1" applyBorder="1" applyAlignment="1">
      <alignment horizontal="center" vertical="top"/>
    </xf>
    <xf numFmtId="0" fontId="0" fillId="2" borderId="3" xfId="1" applyNumberFormat="1" applyFont="1" applyFill="1" applyBorder="1" applyAlignment="1">
      <alignment vertical="top"/>
    </xf>
    <xf numFmtId="43" fontId="0" fillId="2" borderId="3" xfId="1" applyFont="1" applyFill="1" applyBorder="1" applyAlignment="1">
      <alignment vertical="top"/>
    </xf>
    <xf numFmtId="0" fontId="0" fillId="3" borderId="3" xfId="0" applyFill="1" applyBorder="1" applyAlignment="1">
      <alignment vertical="top"/>
    </xf>
    <xf numFmtId="14" fontId="0" fillId="3" borderId="3" xfId="1" applyNumberFormat="1" applyFont="1" applyFill="1" applyBorder="1" applyAlignment="1">
      <alignment horizontal="center" vertical="top"/>
    </xf>
    <xf numFmtId="0" fontId="0" fillId="3" borderId="3" xfId="1" applyNumberFormat="1" applyFont="1" applyFill="1" applyBorder="1" applyAlignment="1">
      <alignment vertical="top"/>
    </xf>
    <xf numFmtId="43" fontId="0" fillId="3" borderId="3" xfId="1" applyFont="1" applyFill="1" applyBorder="1" applyAlignment="1">
      <alignment vertical="top"/>
    </xf>
    <xf numFmtId="14" fontId="0" fillId="3" borderId="4" xfId="0" applyNumberFormat="1" applyFill="1" applyBorder="1" applyAlignment="1">
      <alignment vertical="top"/>
    </xf>
    <xf numFmtId="14" fontId="0" fillId="3" borderId="3" xfId="0" applyNumberFormat="1" applyFill="1" applyBorder="1" applyAlignment="1">
      <alignment horizontal="center" vertical="top"/>
    </xf>
    <xf numFmtId="0" fontId="0" fillId="2" borderId="1" xfId="0" applyFill="1" applyBorder="1"/>
    <xf numFmtId="14" fontId="0" fillId="2" borderId="4" xfId="0" applyNumberFormat="1" applyFill="1" applyBorder="1" applyAlignment="1">
      <alignment vertical="top"/>
    </xf>
    <xf numFmtId="0" fontId="0" fillId="2" borderId="1" xfId="1" applyNumberFormat="1" applyFont="1" applyFill="1" applyBorder="1" applyAlignment="1">
      <alignment horizontal="center" vertical="top"/>
    </xf>
    <xf numFmtId="14" fontId="0" fillId="2" borderId="1" xfId="1" applyNumberFormat="1" applyFont="1" applyFill="1" applyBorder="1" applyAlignment="1">
      <alignment horizontal="left" vertical="top"/>
    </xf>
    <xf numFmtId="0" fontId="0" fillId="3" borderId="1" xfId="1" applyNumberFormat="1" applyFont="1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14" fontId="0" fillId="2" borderId="6" xfId="1" applyNumberFormat="1" applyFont="1" applyFill="1" applyBorder="1" applyAlignment="1">
      <alignment horizontal="center" vertical="top"/>
    </xf>
    <xf numFmtId="14" fontId="0" fillId="3" borderId="6" xfId="1" applyNumberFormat="1" applyFont="1" applyFill="1" applyBorder="1" applyAlignment="1">
      <alignment horizontal="center" vertical="top"/>
    </xf>
    <xf numFmtId="0" fontId="0" fillId="3" borderId="1" xfId="0" applyFill="1" applyBorder="1"/>
    <xf numFmtId="14" fontId="0" fillId="3" borderId="1" xfId="1" applyNumberFormat="1" applyFont="1" applyFill="1" applyBorder="1" applyAlignment="1">
      <alignment horizontal="left" vertical="top"/>
    </xf>
    <xf numFmtId="43" fontId="0" fillId="3" borderId="5" xfId="1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39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9" fontId="0" fillId="3" borderId="1" xfId="1" applyNumberFormat="1" applyFont="1" applyFill="1" applyBorder="1" applyAlignment="1">
      <alignment vertical="top"/>
    </xf>
    <xf numFmtId="9" fontId="0" fillId="2" borderId="1" xfId="1" applyNumberFormat="1" applyFont="1" applyFill="1" applyBorder="1" applyAlignment="1">
      <alignment vertical="top"/>
    </xf>
    <xf numFmtId="14" fontId="3" fillId="3" borderId="4" xfId="0" applyNumberFormat="1" applyFont="1" applyFill="1" applyBorder="1" applyAlignment="1">
      <alignment vertical="top"/>
    </xf>
    <xf numFmtId="14" fontId="0" fillId="2" borderId="4" xfId="0" quotePrefix="1" applyNumberFormat="1" applyFill="1" applyBorder="1" applyAlignment="1">
      <alignment vertical="top"/>
    </xf>
    <xf numFmtId="43" fontId="0" fillId="0" borderId="7" xfId="0" applyNumberFormat="1" applyBorder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14" fontId="0" fillId="0" borderId="1" xfId="1" applyNumberFormat="1" applyFont="1" applyFill="1" applyBorder="1" applyAlignment="1" applyProtection="1">
      <alignment horizontal="center" vertical="top"/>
      <protection locked="0"/>
    </xf>
    <xf numFmtId="0" fontId="1" fillId="0" borderId="1" xfId="1" applyNumberFormat="1" applyFont="1" applyFill="1" applyBorder="1" applyAlignment="1" applyProtection="1">
      <alignment horizontal="center" vertical="top"/>
      <protection locked="0"/>
    </xf>
    <xf numFmtId="43" fontId="0" fillId="0" borderId="1" xfId="1" applyFont="1" applyFill="1" applyBorder="1" applyAlignment="1" applyProtection="1">
      <alignment vertical="top"/>
      <protection locked="0"/>
    </xf>
    <xf numFmtId="43" fontId="1" fillId="0" borderId="1" xfId="1" applyFont="1" applyFill="1" applyBorder="1" applyAlignment="1" applyProtection="1">
      <alignment vertical="top"/>
      <protection locked="0"/>
    </xf>
    <xf numFmtId="14" fontId="0" fillId="0" borderId="6" xfId="0" applyNumberFormat="1" applyBorder="1" applyAlignment="1" applyProtection="1">
      <alignment vertical="top"/>
      <protection locked="0"/>
    </xf>
    <xf numFmtId="0" fontId="0" fillId="4" borderId="1" xfId="0" applyFill="1" applyBorder="1" applyAlignment="1" applyProtection="1">
      <alignment vertical="top"/>
      <protection locked="0"/>
    </xf>
    <xf numFmtId="14" fontId="0" fillId="4" borderId="1" xfId="1" applyNumberFormat="1" applyFont="1" applyFill="1" applyBorder="1" applyAlignment="1" applyProtection="1">
      <alignment horizontal="center" vertical="top"/>
      <protection locked="0"/>
    </xf>
    <xf numFmtId="0" fontId="1" fillId="4" borderId="1" xfId="1" applyNumberFormat="1" applyFont="1" applyFill="1" applyBorder="1" applyAlignment="1" applyProtection="1">
      <alignment horizontal="center" vertical="top"/>
      <protection locked="0"/>
    </xf>
    <xf numFmtId="43" fontId="0" fillId="4" borderId="1" xfId="1" applyFont="1" applyFill="1" applyBorder="1" applyAlignment="1" applyProtection="1">
      <alignment vertical="top"/>
      <protection locked="0"/>
    </xf>
    <xf numFmtId="43" fontId="1" fillId="4" borderId="1" xfId="1" applyFont="1" applyFill="1" applyBorder="1" applyAlignment="1" applyProtection="1">
      <alignment vertical="top"/>
      <protection locked="0"/>
    </xf>
    <xf numFmtId="14" fontId="0" fillId="4" borderId="6" xfId="0" applyNumberFormat="1" applyFill="1" applyBorder="1" applyAlignment="1" applyProtection="1">
      <alignment vertical="top"/>
      <protection locked="0"/>
    </xf>
    <xf numFmtId="14" fontId="2" fillId="0" borderId="8" xfId="0" applyNumberFormat="1" applyFont="1" applyBorder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43" fontId="2" fillId="0" borderId="8" xfId="1" applyFont="1" applyFill="1" applyBorder="1" applyAlignment="1">
      <alignment horizontal="center" vertical="top"/>
    </xf>
    <xf numFmtId="14" fontId="2" fillId="0" borderId="10" xfId="0" applyNumberFormat="1" applyFont="1" applyBorder="1" applyAlignment="1">
      <alignment horizontal="center" vertical="top"/>
    </xf>
  </cellXfs>
  <cellStyles count="3">
    <cellStyle name="Normal" xfId="0" builtinId="0"/>
    <cellStyle name="Vírgula" xfId="1" builtinId="3"/>
    <cellStyle name="標準_⑪資金計画表" xfId="2" xr:uid="{769861F7-994F-4261-9243-9BE0D8552271}"/>
  </cellStyles>
  <dxfs count="42"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35" formatCode="_-* #,##0.00_-;\-* #,##0.00_-;_-* &quot;-&quot;??_-;_-@_-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top style="thin">
          <color indexed="64"/>
        </top>
      </border>
    </dxf>
    <dxf>
      <numFmt numFmtId="165" formatCode="dd/mm/\y\y\y\y"/>
      <fill>
        <patternFill patternType="none">
          <bgColor auto="1"/>
        </patternFill>
      </fill>
      <alignment textRotation="0" wrapTex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\y\y\y\y"/>
      <fill>
        <patternFill patternType="none">
          <fgColor indexed="64"/>
          <bgColor auto="1"/>
        </patternFill>
      </fill>
      <alignment vertical="top" textRotation="0" wrapTex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image" Target="../media/image10.png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190200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6EBC2939-3537-4E2F-B00F-492BDE53B25F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190200</xdr:colOff>
      <xdr:row>2115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CBB904C-64B5-4016-8658-D70F79552FD7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190200</xdr:colOff>
      <xdr:row>283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61E5D6A4-49B6-4295-BB6E-D360D3249C2D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190200</xdr:colOff>
      <xdr:row>265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610D3B96-E7BE-4B52-B154-9FEF83C1DC1D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ovimento%20Banc&#225;rio-2026.xlsx" TargetMode="External"/><Relationship Id="rId2" Type="http://schemas.openxmlformats.org/officeDocument/2006/relationships/externalLinkPath" Target="file:///C:\Users\backup\Downloads\Movimento%20Banc&#225;rio-2026.xlsx" TargetMode="External"/><Relationship Id="rId1" Type="http://schemas.openxmlformats.org/officeDocument/2006/relationships/externalLinkPath" Target="/Users/backup/Downloads/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gtos fora orçado"/>
      <sheetName val="Relatório"/>
      <sheetName val="Estrutura"/>
      <sheetName val="2021"/>
    </sheetNames>
    <sheetDataSet>
      <sheetData sheetId="0"/>
      <sheetData sheetId="1"/>
      <sheetData sheetId="2">
        <row r="1">
          <cell r="C1" t="str">
            <v>DESCRIÇÃO</v>
          </cell>
          <cell r="D1" t="str">
            <v>TP</v>
          </cell>
          <cell r="E1" t="str">
            <v>SUP</v>
          </cell>
        </row>
        <row r="2">
          <cell r="C2" t="str">
            <v>RECEITAS OPERACIONAIS</v>
          </cell>
          <cell r="D2" t="str">
            <v>T</v>
          </cell>
        </row>
        <row r="3">
          <cell r="C3" t="str">
            <v>VENDA DE IMÓVEIS</v>
          </cell>
          <cell r="D3" t="str">
            <v>S</v>
          </cell>
          <cell r="E3" t="str">
            <v>1.1</v>
          </cell>
        </row>
        <row r="4">
          <cell r="C4" t="str">
            <v>Residencial Santa Clara</v>
          </cell>
          <cell r="D4" t="str">
            <v>A</v>
          </cell>
          <cell r="E4" t="str">
            <v>1.1</v>
          </cell>
        </row>
        <row r="5">
          <cell r="C5" t="str">
            <v>Residencial Santa Adélia</v>
          </cell>
          <cell r="D5" t="str">
            <v>A</v>
          </cell>
          <cell r="E5" t="str">
            <v>1.1</v>
          </cell>
        </row>
        <row r="6">
          <cell r="C6" t="str">
            <v>Residencial Santa Clara II</v>
          </cell>
          <cell r="D6" t="str">
            <v>A</v>
          </cell>
          <cell r="E6" t="str">
            <v>1.1</v>
          </cell>
        </row>
        <row r="7">
          <cell r="C7" t="str">
            <v>ALUGUÉIS</v>
          </cell>
          <cell r="D7" t="str">
            <v>S</v>
          </cell>
          <cell r="E7" t="str">
            <v>1.2</v>
          </cell>
        </row>
        <row r="8">
          <cell r="C8" t="str">
            <v>Conjunto 23</v>
          </cell>
          <cell r="D8" t="str">
            <v>A</v>
          </cell>
          <cell r="E8" t="str">
            <v>1.2</v>
          </cell>
        </row>
        <row r="9">
          <cell r="C9" t="str">
            <v>Apto. Vila Mariana</v>
          </cell>
          <cell r="D9" t="str">
            <v>A</v>
          </cell>
          <cell r="E9" t="str">
            <v>1.2</v>
          </cell>
        </row>
        <row r="10">
          <cell r="C10" t="str">
            <v>Global Link</v>
          </cell>
          <cell r="D10" t="str">
            <v>A</v>
          </cell>
          <cell r="E10" t="str">
            <v>1.2</v>
          </cell>
        </row>
        <row r="11">
          <cell r="C11" t="str">
            <v>VENDA DE MARCADORIAS/GADO</v>
          </cell>
          <cell r="D11" t="str">
            <v>S</v>
          </cell>
          <cell r="E11" t="str">
            <v>1.3</v>
          </cell>
        </row>
        <row r="12">
          <cell r="C12" t="str">
            <v>Venda de Gado</v>
          </cell>
          <cell r="D12" t="str">
            <v>A</v>
          </cell>
          <cell r="E12" t="str">
            <v>1.3</v>
          </cell>
        </row>
        <row r="13">
          <cell r="C13" t="str">
            <v>Venda de Madeira</v>
          </cell>
          <cell r="D13" t="str">
            <v>A</v>
          </cell>
          <cell r="E13" t="str">
            <v>1.3</v>
          </cell>
        </row>
        <row r="14">
          <cell r="C14" t="str">
            <v>OUTRAS RECEITAS OPERACIONAIS</v>
          </cell>
          <cell r="D14" t="str">
            <v>S</v>
          </cell>
          <cell r="E14" t="str">
            <v>1.4</v>
          </cell>
        </row>
        <row r="15">
          <cell r="C15" t="str">
            <v>Rendimentos de Pro-Labore</v>
          </cell>
          <cell r="D15" t="str">
            <v>A</v>
          </cell>
          <cell r="E15" t="str">
            <v>1.4</v>
          </cell>
        </row>
        <row r="16">
          <cell r="C16" t="str">
            <v>Aposentadoria LM</v>
          </cell>
          <cell r="D16" t="str">
            <v>A</v>
          </cell>
          <cell r="E16" t="str">
            <v>1.4</v>
          </cell>
        </row>
        <row r="17">
          <cell r="C17" t="str">
            <v>Aposentadoria RM</v>
          </cell>
          <cell r="D17" t="str">
            <v>A</v>
          </cell>
          <cell r="E17" t="str">
            <v>1.4</v>
          </cell>
        </row>
        <row r="18">
          <cell r="C18" t="str">
            <v>OUTRAS RECEITAS OPERACIONAIS</v>
          </cell>
          <cell r="D18" t="str">
            <v>A</v>
          </cell>
          <cell r="E18" t="str">
            <v>1.4</v>
          </cell>
        </row>
        <row r="19">
          <cell r="C19" t="str">
            <v>VENDAS CANCELADAS</v>
          </cell>
          <cell r="D19" t="str">
            <v>S</v>
          </cell>
          <cell r="E19" t="str">
            <v>1.9</v>
          </cell>
        </row>
        <row r="20">
          <cell r="C20" t="str">
            <v>Distrato Santa Clara</v>
          </cell>
          <cell r="D20" t="str">
            <v>A</v>
          </cell>
          <cell r="E20" t="str">
            <v>1.9</v>
          </cell>
        </row>
        <row r="21">
          <cell r="C21" t="str">
            <v>Distrato Santa Adélia</v>
          </cell>
          <cell r="D21" t="str">
            <v>A</v>
          </cell>
          <cell r="E21" t="str">
            <v>1.9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  <cell r="D23" t="str">
            <v>T</v>
          </cell>
        </row>
        <row r="24">
          <cell r="C24" t="str">
            <v>IMPOSTOS S/ VENDAS</v>
          </cell>
          <cell r="D24" t="str">
            <v>S</v>
          </cell>
          <cell r="E24" t="str">
            <v>2.1</v>
          </cell>
        </row>
        <row r="25">
          <cell r="C25" t="str">
            <v>PIS</v>
          </cell>
          <cell r="D25" t="str">
            <v>A</v>
          </cell>
          <cell r="E25" t="str">
            <v>2.1</v>
          </cell>
        </row>
        <row r="26">
          <cell r="C26" t="str">
            <v>COFINS</v>
          </cell>
          <cell r="D26" t="str">
            <v>A</v>
          </cell>
          <cell r="E26" t="str">
            <v>2.1</v>
          </cell>
        </row>
        <row r="27">
          <cell r="C27" t="str">
            <v>IRPJ</v>
          </cell>
          <cell r="D27" t="str">
            <v>A</v>
          </cell>
          <cell r="E27" t="str">
            <v>2.1</v>
          </cell>
        </row>
        <row r="28">
          <cell r="C28" t="str">
            <v>CSLL</v>
          </cell>
          <cell r="D28" t="str">
            <v>A</v>
          </cell>
          <cell r="E28" t="str">
            <v>2.1</v>
          </cell>
        </row>
        <row r="29">
          <cell r="C29" t="str">
            <v>CUSTOS</v>
          </cell>
          <cell r="D29" t="str">
            <v>T</v>
          </cell>
        </row>
        <row r="30">
          <cell r="C30" t="str">
            <v>CUSTO DOS IMOVEIS</v>
          </cell>
          <cell r="D30" t="str">
            <v>S</v>
          </cell>
          <cell r="E30" t="str">
            <v>3.1</v>
          </cell>
        </row>
        <row r="31">
          <cell r="C31" t="str">
            <v>CUSTO DOS IMOVEIS VENDIDOS</v>
          </cell>
          <cell r="D31" t="str">
            <v>A</v>
          </cell>
          <cell r="E31" t="str">
            <v>3.1</v>
          </cell>
        </row>
        <row r="32">
          <cell r="C32" t="str">
            <v>CMV</v>
          </cell>
          <cell r="D32" t="str">
            <v>S</v>
          </cell>
          <cell r="E32" t="str">
            <v>3.2</v>
          </cell>
        </row>
        <row r="33">
          <cell r="C33" t="str">
            <v>Custo das Mercadorias Vendidas</v>
          </cell>
          <cell r="D33" t="str">
            <v>A</v>
          </cell>
          <cell r="E33" t="str">
            <v>3.2</v>
          </cell>
        </row>
        <row r="34">
          <cell r="C34" t="str">
            <v>DESPESAS OPERACIONAIS</v>
          </cell>
          <cell r="D34" t="str">
            <v>T</v>
          </cell>
        </row>
        <row r="35">
          <cell r="C35" t="str">
            <v>DESPESAS COM PESSOAL (1)</v>
          </cell>
          <cell r="D35" t="str">
            <v>S</v>
          </cell>
          <cell r="E35" t="str">
            <v>4.1</v>
          </cell>
        </row>
        <row r="36">
          <cell r="C36" t="str">
            <v>PRO-LABORE</v>
          </cell>
          <cell r="D36" t="str">
            <v>A</v>
          </cell>
          <cell r="E36" t="str">
            <v>4.1</v>
          </cell>
        </row>
        <row r="37">
          <cell r="C37" t="str">
            <v>SALÁRIOS E ORDENADOS</v>
          </cell>
          <cell r="D37" t="str">
            <v>A</v>
          </cell>
          <cell r="E37" t="str">
            <v>4.1</v>
          </cell>
        </row>
        <row r="38">
          <cell r="C38" t="str">
            <v>HORAS EXTRAS</v>
          </cell>
          <cell r="D38" t="str">
            <v>A</v>
          </cell>
          <cell r="E38" t="str">
            <v>4.1</v>
          </cell>
        </row>
        <row r="39">
          <cell r="C39" t="str">
            <v>FÉRIAS</v>
          </cell>
          <cell r="D39" t="str">
            <v>A</v>
          </cell>
          <cell r="E39" t="str">
            <v>4.1</v>
          </cell>
        </row>
        <row r="40">
          <cell r="C40" t="str">
            <v>13o. SALARIO</v>
          </cell>
          <cell r="D40" t="str">
            <v>A</v>
          </cell>
          <cell r="E40" t="str">
            <v>4.1</v>
          </cell>
        </row>
        <row r="41">
          <cell r="C41" t="str">
            <v>INSS</v>
          </cell>
          <cell r="D41" t="str">
            <v>A</v>
          </cell>
          <cell r="E41" t="str">
            <v>4.1</v>
          </cell>
        </row>
        <row r="42">
          <cell r="C42" t="str">
            <v>FGTS</v>
          </cell>
          <cell r="D42" t="str">
            <v>A</v>
          </cell>
          <cell r="E42" t="str">
            <v>4.1</v>
          </cell>
        </row>
        <row r="43">
          <cell r="C43" t="str">
            <v>CONTRIBUIÇÃO SINDICAL</v>
          </cell>
          <cell r="D43" t="str">
            <v>A</v>
          </cell>
          <cell r="E43" t="str">
            <v>4.1</v>
          </cell>
        </row>
        <row r="44">
          <cell r="C44" t="str">
            <v>ALIMENTAÇÃO DO TRABALHADOR</v>
          </cell>
          <cell r="D44" t="str">
            <v>A</v>
          </cell>
          <cell r="E44" t="str">
            <v>4.1</v>
          </cell>
        </row>
        <row r="45">
          <cell r="C45" t="str">
            <v>VALE TRANSPORTE</v>
          </cell>
          <cell r="D45" t="str">
            <v>A</v>
          </cell>
          <cell r="E45" t="str">
            <v>4.1</v>
          </cell>
        </row>
        <row r="47">
          <cell r="C47" t="str">
            <v>RESCISÃO</v>
          </cell>
          <cell r="D47" t="str">
            <v>A</v>
          </cell>
          <cell r="E47" t="str">
            <v>4.1</v>
          </cell>
        </row>
        <row r="48">
          <cell r="C48" t="str">
            <v>VALE REFEIÇÃO</v>
          </cell>
          <cell r="D48" t="str">
            <v>A</v>
          </cell>
          <cell r="E48" t="str">
            <v>4.1</v>
          </cell>
        </row>
        <row r="49">
          <cell r="C49" t="str">
            <v>DESPESAS EXTRAS/REEMB. FERNANDO</v>
          </cell>
          <cell r="D49" t="str">
            <v>A</v>
          </cell>
          <cell r="E49" t="str">
            <v>4.1</v>
          </cell>
        </row>
        <row r="51">
          <cell r="C51" t="str">
            <v>SERVIÇOS ADMINISTRATIVOS</v>
          </cell>
          <cell r="D51" t="str">
            <v>A</v>
          </cell>
          <cell r="E51" t="str">
            <v>4.1</v>
          </cell>
        </row>
        <row r="53">
          <cell r="C53" t="str">
            <v>OCUPACÃO (2)</v>
          </cell>
          <cell r="D53" t="str">
            <v>S</v>
          </cell>
          <cell r="E53" t="str">
            <v>4.2</v>
          </cell>
        </row>
        <row r="54">
          <cell r="C54" t="str">
            <v>ALUGUEIS E CONDOMINIOS</v>
          </cell>
          <cell r="D54" t="str">
            <v>A</v>
          </cell>
          <cell r="E54" t="str">
            <v>4.2</v>
          </cell>
        </row>
        <row r="55">
          <cell r="C55" t="str">
            <v>SEGUROS RISCOS DIVERSOS</v>
          </cell>
          <cell r="D55" t="str">
            <v>A</v>
          </cell>
          <cell r="E55" t="str">
            <v>4.2</v>
          </cell>
        </row>
        <row r="56">
          <cell r="C56" t="str">
            <v>MANUTENÇÕES E PEQUENOS CONSERTOS</v>
          </cell>
          <cell r="D56" t="str">
            <v>A</v>
          </cell>
          <cell r="E56" t="str">
            <v>4.2</v>
          </cell>
        </row>
        <row r="57">
          <cell r="C57" t="str">
            <v>UTILIDADES E SERVICOS (3)</v>
          </cell>
          <cell r="D57" t="str">
            <v>S</v>
          </cell>
          <cell r="E57" t="str">
            <v>4.3</v>
          </cell>
        </row>
        <row r="58">
          <cell r="C58" t="str">
            <v>ENERGIA ELÉTRICA</v>
          </cell>
          <cell r="D58" t="str">
            <v>A</v>
          </cell>
          <cell r="E58" t="str">
            <v>4.3</v>
          </cell>
        </row>
        <row r="59">
          <cell r="C59" t="str">
            <v>TELEFONE</v>
          </cell>
          <cell r="D59" t="str">
            <v>A</v>
          </cell>
          <cell r="E59" t="str">
            <v>4.3</v>
          </cell>
        </row>
        <row r="60">
          <cell r="C60" t="str">
            <v>CORREIOS E MALOTES</v>
          </cell>
          <cell r="D60" t="str">
            <v>A</v>
          </cell>
          <cell r="E60" t="str">
            <v>4.3</v>
          </cell>
        </row>
        <row r="61">
          <cell r="C61" t="str">
            <v>INTERNET</v>
          </cell>
          <cell r="D61" t="str">
            <v>A</v>
          </cell>
          <cell r="E61" t="str">
            <v>4.3</v>
          </cell>
        </row>
        <row r="62">
          <cell r="C62" t="str">
            <v>CARTORARIAS</v>
          </cell>
          <cell r="D62" t="str">
            <v>A</v>
          </cell>
          <cell r="E62" t="str">
            <v>4.3</v>
          </cell>
        </row>
        <row r="63">
          <cell r="C63" t="str">
            <v>CONSUMO DE AGUA</v>
          </cell>
          <cell r="D63" t="str">
            <v>A</v>
          </cell>
          <cell r="E63" t="str">
            <v>4.3</v>
          </cell>
        </row>
        <row r="64">
          <cell r="C64" t="str">
            <v>GÁS</v>
          </cell>
          <cell r="D64" t="str">
            <v>A</v>
          </cell>
          <cell r="E64" t="str">
            <v>4.3</v>
          </cell>
        </row>
        <row r="65">
          <cell r="C65" t="str">
            <v>DESPESAS GERAIS/TERCEIROS (4)</v>
          </cell>
          <cell r="D65" t="str">
            <v>S</v>
          </cell>
          <cell r="E65" t="str">
            <v>4.4</v>
          </cell>
        </row>
        <row r="66">
          <cell r="C66" t="str">
            <v>MATERIAL DE ESCRITORIO</v>
          </cell>
          <cell r="D66" t="str">
            <v>A</v>
          </cell>
          <cell r="E66" t="str">
            <v>4.4</v>
          </cell>
        </row>
        <row r="67">
          <cell r="C67" t="str">
            <v>MATERIAIS AUXILIARES DE CONSUMO</v>
          </cell>
          <cell r="D67" t="str">
            <v>A</v>
          </cell>
          <cell r="E67" t="str">
            <v>4.4</v>
          </cell>
        </row>
        <row r="68">
          <cell r="C68" t="str">
            <v>COPA</v>
          </cell>
          <cell r="D68" t="str">
            <v>A</v>
          </cell>
          <cell r="E68" t="str">
            <v>4.4</v>
          </cell>
        </row>
        <row r="69">
          <cell r="C69" t="str">
            <v>CONDUCOES E LANCHES</v>
          </cell>
          <cell r="D69" t="str">
            <v>A</v>
          </cell>
          <cell r="E69" t="str">
            <v>4.4</v>
          </cell>
        </row>
        <row r="70">
          <cell r="C70" t="str">
            <v>REVISTAS E PUBLICACOES</v>
          </cell>
          <cell r="D70" t="str">
            <v>A</v>
          </cell>
          <cell r="E70" t="str">
            <v>4.4</v>
          </cell>
        </row>
        <row r="71">
          <cell r="C71" t="str">
            <v>ACADEMIAS, CLUBES E OFICINAS DE ARTES</v>
          </cell>
          <cell r="D71" t="str">
            <v>A</v>
          </cell>
          <cell r="E71" t="str">
            <v>4.4</v>
          </cell>
        </row>
        <row r="72">
          <cell r="C72" t="str">
            <v>HIGIENE, LIMPEZA E CONSERVACAO</v>
          </cell>
          <cell r="D72" t="str">
            <v>A</v>
          </cell>
          <cell r="E72" t="str">
            <v>4.4</v>
          </cell>
        </row>
        <row r="73">
          <cell r="C73" t="str">
            <v>ASSINATURAS/JORNAIS/PUBLICACOES</v>
          </cell>
          <cell r="D73" t="str">
            <v>A</v>
          </cell>
          <cell r="E73" t="str">
            <v>4.4</v>
          </cell>
        </row>
        <row r="74">
          <cell r="C74" t="str">
            <v>ASSOCIAÇÃO DE CLASSE</v>
          </cell>
          <cell r="D74" t="str">
            <v>A</v>
          </cell>
          <cell r="E74" t="str">
            <v>4.4</v>
          </cell>
        </row>
        <row r="75">
          <cell r="C75" t="str">
            <v>BENS DE NATUREZA PERMANENTE</v>
          </cell>
          <cell r="D75" t="str">
            <v>A</v>
          </cell>
          <cell r="E75" t="str">
            <v>4.4</v>
          </cell>
        </row>
        <row r="76">
          <cell r="C76" t="str">
            <v>LICENÇA DE USO</v>
          </cell>
          <cell r="D76" t="str">
            <v>A</v>
          </cell>
          <cell r="E76" t="str">
            <v>4.4</v>
          </cell>
        </row>
        <row r="77">
          <cell r="C77" t="str">
            <v>GASTOS DIVERSOS</v>
          </cell>
          <cell r="D77" t="str">
            <v>A</v>
          </cell>
          <cell r="E77" t="str">
            <v>4.4</v>
          </cell>
        </row>
        <row r="78">
          <cell r="C78" t="str">
            <v>SUPRIMENTO DE CAIXA</v>
          </cell>
          <cell r="D78" t="str">
            <v>A</v>
          </cell>
          <cell r="E78" t="str">
            <v>4.4</v>
          </cell>
        </row>
        <row r="79">
          <cell r="C79" t="str">
            <v>SERVICOS PROFISSIONAIS (5)</v>
          </cell>
          <cell r="D79" t="str">
            <v>S</v>
          </cell>
          <cell r="E79" t="str">
            <v>4.5</v>
          </cell>
        </row>
        <row r="80">
          <cell r="C80" t="str">
            <v>ADVOCATÍCIOS</v>
          </cell>
          <cell r="D80" t="str">
            <v>A</v>
          </cell>
          <cell r="E80" t="str">
            <v>4.5</v>
          </cell>
        </row>
        <row r="81">
          <cell r="C81" t="str">
            <v>CONSULTORIA E ASSESSORIA EMPRESARIAL</v>
          </cell>
          <cell r="D81" t="str">
            <v>A</v>
          </cell>
          <cell r="E81" t="str">
            <v>4.5</v>
          </cell>
        </row>
        <row r="82">
          <cell r="C82" t="str">
            <v>CONSULTORIA E ASSESSORIA TECNICA</v>
          </cell>
          <cell r="D82" t="str">
            <v>A</v>
          </cell>
          <cell r="E82" t="str">
            <v>4.5</v>
          </cell>
        </row>
        <row r="83">
          <cell r="C83" t="str">
            <v>CONTÁBEIS</v>
          </cell>
          <cell r="D83" t="str">
            <v>A</v>
          </cell>
          <cell r="E83" t="str">
            <v>4.5</v>
          </cell>
        </row>
        <row r="84">
          <cell r="C84" t="str">
            <v>FRETES E CARRETOS</v>
          </cell>
          <cell r="D84" t="str">
            <v>A</v>
          </cell>
          <cell r="E84" t="str">
            <v>4.5</v>
          </cell>
        </row>
        <row r="85">
          <cell r="C85" t="str">
            <v>PROCESSAMENTOS DE DADOS</v>
          </cell>
          <cell r="D85" t="str">
            <v>A</v>
          </cell>
          <cell r="E85" t="str">
            <v>4.5</v>
          </cell>
        </row>
        <row r="86">
          <cell r="C86" t="str">
            <v>SEGURANÇA E VIGILÂNCIA</v>
          </cell>
          <cell r="D86" t="str">
            <v>A</v>
          </cell>
          <cell r="E86" t="str">
            <v>4.5</v>
          </cell>
        </row>
        <row r="87">
          <cell r="C87" t="str">
            <v>SERVIÇOS DE ENTREGAS</v>
          </cell>
          <cell r="D87" t="str">
            <v>A</v>
          </cell>
          <cell r="E87" t="str">
            <v>4.5</v>
          </cell>
        </row>
        <row r="88">
          <cell r="C88" t="str">
            <v>SERVIÇOS GRÁFICOS</v>
          </cell>
          <cell r="D88" t="str">
            <v>A</v>
          </cell>
          <cell r="E88" t="str">
            <v>4.5</v>
          </cell>
        </row>
        <row r="89">
          <cell r="C89" t="str">
            <v>SUPORTE TÉCNICO EM TELECOMUNICAÇÃO</v>
          </cell>
          <cell r="D89" t="str">
            <v>A</v>
          </cell>
          <cell r="E89" t="str">
            <v>4.5</v>
          </cell>
        </row>
        <row r="90">
          <cell r="C90" t="str">
            <v>SUPORTE TÉCNICO INFORMÁTICA</v>
          </cell>
          <cell r="D90" t="str">
            <v>A</v>
          </cell>
          <cell r="E90" t="str">
            <v>4.5</v>
          </cell>
        </row>
        <row r="91">
          <cell r="C91" t="str">
            <v>OUTROS SERVICOS P.J.</v>
          </cell>
          <cell r="D91" t="str">
            <v>A</v>
          </cell>
          <cell r="E91" t="str">
            <v>4.5</v>
          </cell>
        </row>
        <row r="92">
          <cell r="C92" t="str">
            <v>DESPESAS DE VIAGENS (6)</v>
          </cell>
          <cell r="D92" t="str">
            <v>S</v>
          </cell>
          <cell r="E92" t="str">
            <v>4.6</v>
          </cell>
        </row>
        <row r="93">
          <cell r="C93" t="str">
            <v>PASSAGENS</v>
          </cell>
          <cell r="D93" t="str">
            <v>A</v>
          </cell>
          <cell r="E93" t="str">
            <v>4.6</v>
          </cell>
        </row>
        <row r="94">
          <cell r="C94" t="str">
            <v>HOSPEDAGENS</v>
          </cell>
          <cell r="D94" t="str">
            <v>A</v>
          </cell>
          <cell r="E94" t="str">
            <v>4.6</v>
          </cell>
        </row>
        <row r="95">
          <cell r="C95" t="str">
            <v>DIÁRIAS, TRANPORTE E ALIMENTAÇÃO</v>
          </cell>
          <cell r="D95" t="str">
            <v>A</v>
          </cell>
          <cell r="E95" t="str">
            <v>4.6</v>
          </cell>
        </row>
        <row r="96">
          <cell r="C96" t="str">
            <v>ESTACIONAMENTO/PEDAGIO/QUILOMETRAGEM</v>
          </cell>
          <cell r="D96" t="str">
            <v>A</v>
          </cell>
          <cell r="E96" t="str">
            <v>4.6</v>
          </cell>
        </row>
        <row r="97">
          <cell r="C97" t="str">
            <v>DESPESAS COM VEÍCULOS (7)</v>
          </cell>
          <cell r="D97" t="str">
            <v>S</v>
          </cell>
          <cell r="E97" t="str">
            <v>4.7</v>
          </cell>
        </row>
        <row r="98">
          <cell r="C98" t="str">
            <v>COMBUSTIVEIS E LUBRIFICANTES</v>
          </cell>
          <cell r="D98" t="str">
            <v>A</v>
          </cell>
          <cell r="E98" t="str">
            <v>4.7</v>
          </cell>
        </row>
        <row r="99">
          <cell r="C99" t="str">
            <v>MANUTENÇÃO E REPARO DE VEÍCULOS</v>
          </cell>
          <cell r="D99" t="str">
            <v>A</v>
          </cell>
          <cell r="E99" t="str">
            <v>4.7</v>
          </cell>
        </row>
        <row r="100">
          <cell r="C100" t="str">
            <v>ESTACIONAMENTO DE VEÍCULOS</v>
          </cell>
          <cell r="D100" t="str">
            <v>A</v>
          </cell>
          <cell r="E100" t="str">
            <v>4.7</v>
          </cell>
        </row>
        <row r="101">
          <cell r="C101" t="str">
            <v>LAVAGEM E HIGIENIZAÇÃO</v>
          </cell>
          <cell r="D101" t="str">
            <v>A</v>
          </cell>
          <cell r="E101" t="str">
            <v>4.7</v>
          </cell>
        </row>
        <row r="102">
          <cell r="C102" t="str">
            <v>SEGURO DE VEÍCULOS</v>
          </cell>
          <cell r="D102" t="str">
            <v>A</v>
          </cell>
          <cell r="E102" t="str">
            <v>4.7</v>
          </cell>
        </row>
        <row r="103">
          <cell r="C103" t="str">
            <v>TAXAS,LICENCIAMENTO</v>
          </cell>
          <cell r="D103" t="str">
            <v>A</v>
          </cell>
          <cell r="E103" t="str">
            <v>4.7</v>
          </cell>
        </row>
        <row r="104">
          <cell r="C104" t="str">
            <v>DESPESAS COMERCIAIS (8)</v>
          </cell>
          <cell r="D104" t="str">
            <v>S</v>
          </cell>
          <cell r="E104" t="str">
            <v>4.8</v>
          </cell>
        </row>
        <row r="105">
          <cell r="C105" t="str">
            <v>PROMOÇÃO DE VENDAS</v>
          </cell>
          <cell r="D105" t="str">
            <v>A</v>
          </cell>
          <cell r="E105" t="str">
            <v>4.8</v>
          </cell>
        </row>
        <row r="106">
          <cell r="C106" t="str">
            <v>SERVIÇO DE PROTEÇÃO AO CRÉDITO</v>
          </cell>
          <cell r="D106" t="str">
            <v>A</v>
          </cell>
          <cell r="E106" t="str">
            <v>4.8</v>
          </cell>
        </row>
        <row r="107">
          <cell r="C107" t="str">
            <v>IMPOSTOS E TAXAS (9)</v>
          </cell>
          <cell r="D107" t="str">
            <v>S</v>
          </cell>
          <cell r="E107" t="str">
            <v>4.9</v>
          </cell>
        </row>
        <row r="108">
          <cell r="C108" t="str">
            <v>IPVA</v>
          </cell>
          <cell r="D108" t="str">
            <v>A</v>
          </cell>
          <cell r="E108" t="str">
            <v>4.9</v>
          </cell>
        </row>
        <row r="109">
          <cell r="C109" t="str">
            <v>IPTU</v>
          </cell>
          <cell r="D109" t="str">
            <v>A</v>
          </cell>
          <cell r="E109" t="str">
            <v>4.9</v>
          </cell>
        </row>
        <row r="110">
          <cell r="C110" t="str">
            <v>ISS</v>
          </cell>
          <cell r="D110" t="str">
            <v>A</v>
          </cell>
          <cell r="E110" t="str">
            <v>4.9</v>
          </cell>
        </row>
        <row r="111">
          <cell r="C111" t="str">
            <v>IRRF</v>
          </cell>
          <cell r="D111" t="str">
            <v>A</v>
          </cell>
          <cell r="E111" t="str">
            <v>4.9</v>
          </cell>
        </row>
        <row r="112">
          <cell r="C112" t="str">
            <v>CSRF</v>
          </cell>
          <cell r="D112" t="str">
            <v>A</v>
          </cell>
          <cell r="E112" t="str">
            <v>4.9</v>
          </cell>
        </row>
        <row r="113">
          <cell r="C113" t="str">
            <v>IRRF S/ SALÁRIOS</v>
          </cell>
          <cell r="D113" t="str">
            <v>A</v>
          </cell>
          <cell r="E113" t="str">
            <v>4.9</v>
          </cell>
        </row>
        <row r="114">
          <cell r="C114" t="str">
            <v>CONTRIBUICÃO SINDICAL</v>
          </cell>
          <cell r="D114" t="str">
            <v>A</v>
          </cell>
          <cell r="E114" t="str">
            <v>4.9</v>
          </cell>
        </row>
        <row r="115">
          <cell r="C115" t="str">
            <v>OUTROS IMPOSTOS E TAXAS</v>
          </cell>
          <cell r="D115" t="str">
            <v>A</v>
          </cell>
          <cell r="E115" t="str">
            <v>4.9</v>
          </cell>
        </row>
        <row r="117">
          <cell r="C117" t="str">
            <v>DESPESAS INDEDUTIVEIS (10)</v>
          </cell>
          <cell r="D117" t="str">
            <v>S</v>
          </cell>
          <cell r="E117" t="str">
            <v>4.10</v>
          </cell>
        </row>
        <row r="118">
          <cell r="C118" t="str">
            <v>MULTA DE TRÂNSITO</v>
          </cell>
          <cell r="D118" t="str">
            <v>A</v>
          </cell>
          <cell r="E118" t="str">
            <v>4.10</v>
          </cell>
        </row>
        <row r="119">
          <cell r="C119" t="str">
            <v>DESPESAS INDEDUTIVEIS</v>
          </cell>
          <cell r="D119" t="str">
            <v>A</v>
          </cell>
          <cell r="E119" t="str">
            <v>4.10</v>
          </cell>
        </row>
        <row r="120">
          <cell r="C120" t="str">
            <v>CUSTO DO GADO (11)</v>
          </cell>
          <cell r="D120" t="str">
            <v>S</v>
          </cell>
          <cell r="E120" t="str">
            <v>4.11</v>
          </cell>
        </row>
        <row r="121">
          <cell r="C121" t="str">
            <v>MANUTENÇÃO DO GADO</v>
          </cell>
          <cell r="D121" t="str">
            <v>A</v>
          </cell>
          <cell r="E121" t="str">
            <v>4.11</v>
          </cell>
        </row>
        <row r="122">
          <cell r="C122" t="str">
            <v>PASTAGENS</v>
          </cell>
          <cell r="D122" t="str">
            <v>A</v>
          </cell>
          <cell r="E122" t="str">
            <v>4.11</v>
          </cell>
        </row>
        <row r="123">
          <cell r="C123" t="str">
            <v>DESPESAS DE VETERINÁRIA</v>
          </cell>
          <cell r="D123" t="str">
            <v>A</v>
          </cell>
          <cell r="E123" t="str">
            <v>4.11</v>
          </cell>
        </row>
        <row r="125">
          <cell r="C125" t="str">
            <v>DESPESAS MÉDICAS (12)</v>
          </cell>
          <cell r="D125" t="str">
            <v>S</v>
          </cell>
          <cell r="E125" t="str">
            <v>4.12</v>
          </cell>
        </row>
        <row r="126">
          <cell r="C126" t="str">
            <v>DESPESAS MÉDICAS</v>
          </cell>
          <cell r="D126" t="str">
            <v>A</v>
          </cell>
          <cell r="E126" t="str">
            <v>4.12</v>
          </cell>
        </row>
        <row r="127">
          <cell r="C127" t="str">
            <v>ASSISTÊNCIA MÉDICA</v>
          </cell>
          <cell r="D127" t="str">
            <v>A</v>
          </cell>
          <cell r="E127" t="str">
            <v>4.12</v>
          </cell>
        </row>
        <row r="128">
          <cell r="C128" t="str">
            <v>DESP. COM FARMÁCIAS</v>
          </cell>
          <cell r="D128" t="str">
            <v>A</v>
          </cell>
          <cell r="E128" t="str">
            <v>4.12</v>
          </cell>
        </row>
        <row r="129">
          <cell r="C129" t="str">
            <v>Resultado Financeiro</v>
          </cell>
          <cell r="D129" t="str">
            <v>T</v>
          </cell>
        </row>
        <row r="130">
          <cell r="C130" t="str">
            <v>RECEITAS FINANCEIRAS</v>
          </cell>
          <cell r="D130" t="str">
            <v>S</v>
          </cell>
          <cell r="E130" t="str">
            <v>5.1</v>
          </cell>
        </row>
        <row r="131">
          <cell r="C131" t="str">
            <v>DESCONTOS OBTIDOS</v>
          </cell>
          <cell r="D131" t="str">
            <v>A</v>
          </cell>
          <cell r="E131" t="str">
            <v>5.1</v>
          </cell>
        </row>
        <row r="132">
          <cell r="C132" t="str">
            <v>JUROS RECEBIDOS OU AUFERIDOS</v>
          </cell>
          <cell r="D132" t="str">
            <v>A</v>
          </cell>
          <cell r="E132" t="str">
            <v>5.1</v>
          </cell>
        </row>
        <row r="133">
          <cell r="C133" t="str">
            <v>REND. S/APLICACOES FINANCEIRAS</v>
          </cell>
          <cell r="D133" t="str">
            <v>A</v>
          </cell>
          <cell r="E133" t="str">
            <v>5.1</v>
          </cell>
        </row>
        <row r="134">
          <cell r="C134" t="str">
            <v>VARIACAO MONETARIA ATIVA</v>
          </cell>
          <cell r="D134" t="str">
            <v>A</v>
          </cell>
          <cell r="E134" t="str">
            <v>5.1</v>
          </cell>
        </row>
        <row r="135">
          <cell r="C135" t="str">
            <v>DESPESAS FINANCEIRAS</v>
          </cell>
          <cell r="D135" t="str">
            <v>S</v>
          </cell>
          <cell r="E135" t="str">
            <v>5.2</v>
          </cell>
        </row>
        <row r="136">
          <cell r="C136" t="str">
            <v>JUROS PAGOS OU INCORRIDOS</v>
          </cell>
          <cell r="D136" t="str">
            <v>A</v>
          </cell>
          <cell r="E136" t="str">
            <v>5.2</v>
          </cell>
        </row>
        <row r="137">
          <cell r="C137" t="str">
            <v>DESPESAS BANCARIAS E COMISSOES</v>
          </cell>
          <cell r="D137" t="str">
            <v>A</v>
          </cell>
          <cell r="E137" t="str">
            <v>5.2</v>
          </cell>
        </row>
        <row r="138">
          <cell r="C138" t="str">
            <v>IOF</v>
          </cell>
          <cell r="D138" t="str">
            <v>A</v>
          </cell>
          <cell r="E138" t="str">
            <v>5.2</v>
          </cell>
        </row>
        <row r="139">
          <cell r="C139" t="str">
            <v>ENCARGOS FINANCEIROS LIQUIDOS</v>
          </cell>
          <cell r="D139" t="str">
            <v>A</v>
          </cell>
          <cell r="E139" t="str">
            <v>5.2</v>
          </cell>
        </row>
        <row r="140">
          <cell r="C140" t="str">
            <v>IRRF S/ APLICAÇÃO</v>
          </cell>
          <cell r="D140" t="str">
            <v>A</v>
          </cell>
          <cell r="E140" t="str">
            <v>5.2</v>
          </cell>
        </row>
        <row r="141">
          <cell r="C141" t="str">
            <v>MULTAS POR ATRASO</v>
          </cell>
          <cell r="D141" t="str">
            <v>A</v>
          </cell>
          <cell r="E141" t="str">
            <v>5.2</v>
          </cell>
        </row>
        <row r="142">
          <cell r="C142" t="str">
            <v>TRANSFERENCIAS ENTRE CONTAS</v>
          </cell>
          <cell r="D142" t="str">
            <v>A</v>
          </cell>
          <cell r="E142" t="str">
            <v>5.2</v>
          </cell>
        </row>
        <row r="143">
          <cell r="C143" t="str">
            <v>RESULTADO NÃO OPERACIONAL</v>
          </cell>
          <cell r="D143" t="str">
            <v>T</v>
          </cell>
        </row>
        <row r="144">
          <cell r="C144" t="str">
            <v>RECEITAS/DESPESAS NÃO OPERACIONAIS</v>
          </cell>
          <cell r="D144" t="str">
            <v>S</v>
          </cell>
          <cell r="E144" t="str">
            <v>6.1</v>
          </cell>
        </row>
        <row r="145">
          <cell r="C145" t="str">
            <v>REEMBOLSO DE DESPESAS</v>
          </cell>
          <cell r="D145" t="str">
            <v>A</v>
          </cell>
          <cell r="E145" t="str">
            <v>6.1</v>
          </cell>
        </row>
        <row r="146">
          <cell r="C146" t="str">
            <v>DESPESAS NÃO OPERACIONAIS</v>
          </cell>
          <cell r="D146" t="str">
            <v>A</v>
          </cell>
          <cell r="E146" t="str">
            <v>6.1</v>
          </cell>
        </row>
        <row r="147">
          <cell r="C147" t="str">
            <v>DOAÇÕES</v>
          </cell>
          <cell r="D147" t="str">
            <v>A</v>
          </cell>
          <cell r="E147" t="str">
            <v>6.1</v>
          </cell>
        </row>
        <row r="148">
          <cell r="C148" t="str">
            <v>INVESTIMENTOS</v>
          </cell>
          <cell r="D148" t="str">
            <v>T</v>
          </cell>
        </row>
        <row r="149">
          <cell r="C149" t="str">
            <v>Aplicações CP</v>
          </cell>
          <cell r="D149" t="str">
            <v>S</v>
          </cell>
          <cell r="E149" t="str">
            <v>7.1</v>
          </cell>
        </row>
        <row r="150">
          <cell r="C150" t="str">
            <v>APLICAÇÕES FINANCEIRAS</v>
          </cell>
          <cell r="D150" t="str">
            <v>A</v>
          </cell>
          <cell r="E150" t="str">
            <v>7.1</v>
          </cell>
        </row>
        <row r="151">
          <cell r="C151" t="str">
            <v>CDB</v>
          </cell>
          <cell r="D151" t="str">
            <v>A</v>
          </cell>
          <cell r="E151" t="str">
            <v>CDB</v>
          </cell>
        </row>
        <row r="152">
          <cell r="C152" t="str">
            <v>FUNDOS DE INVESTIMENTOS</v>
          </cell>
          <cell r="D152" t="str">
            <v>A</v>
          </cell>
          <cell r="E152" t="str">
            <v>FI</v>
          </cell>
        </row>
        <row r="153">
          <cell r="C153" t="str">
            <v>OUTROS INVESTIMENTOS</v>
          </cell>
          <cell r="E153" t="str">
            <v>7.1</v>
          </cell>
        </row>
        <row r="154">
          <cell r="C154" t="str">
            <v>Aplicações LP</v>
          </cell>
          <cell r="D154" t="str">
            <v>S</v>
          </cell>
          <cell r="E154" t="str">
            <v>7.2</v>
          </cell>
        </row>
        <row r="155">
          <cell r="C155" t="str">
            <v>CDB-LP</v>
          </cell>
          <cell r="D155" t="str">
            <v>A</v>
          </cell>
          <cell r="E155" t="str">
            <v>CDBLP</v>
          </cell>
        </row>
        <row r="156">
          <cell r="C156" t="str">
            <v>CRI-LP</v>
          </cell>
          <cell r="D156" t="str">
            <v>A</v>
          </cell>
          <cell r="E156" t="str">
            <v>CRILP</v>
          </cell>
        </row>
        <row r="157">
          <cell r="C157" t="str">
            <v>LCA-LP</v>
          </cell>
          <cell r="D157" t="str">
            <v>A</v>
          </cell>
          <cell r="E157" t="str">
            <v>LCALP</v>
          </cell>
        </row>
        <row r="158">
          <cell r="C158" t="str">
            <v>OUTROS INVESTIMENTOS-LP</v>
          </cell>
          <cell r="E158" t="str">
            <v>7.2</v>
          </cell>
        </row>
        <row r="159">
          <cell r="C159" t="str">
            <v>ATIVO IMOBILIZADO</v>
          </cell>
          <cell r="D159" t="str">
            <v>S</v>
          </cell>
          <cell r="E159" t="str">
            <v>7.3</v>
          </cell>
        </row>
        <row r="160">
          <cell r="C160" t="str">
            <v>TERRENOS</v>
          </cell>
          <cell r="D160" t="str">
            <v>A</v>
          </cell>
          <cell r="E160" t="str">
            <v>7.3</v>
          </cell>
        </row>
        <row r="161">
          <cell r="C161" t="str">
            <v>IMOVEIS</v>
          </cell>
          <cell r="D161" t="str">
            <v>A</v>
          </cell>
          <cell r="E161" t="str">
            <v>7.3</v>
          </cell>
        </row>
        <row r="162">
          <cell r="C162" t="str">
            <v>MAQUINAS E EQUIPAMENTOS</v>
          </cell>
          <cell r="D162" t="str">
            <v>A</v>
          </cell>
          <cell r="E162" t="str">
            <v>7.3</v>
          </cell>
        </row>
        <row r="163">
          <cell r="C163" t="str">
            <v>VEÍCULOS</v>
          </cell>
          <cell r="D163" t="str">
            <v>A</v>
          </cell>
          <cell r="E163" t="str">
            <v>7.3</v>
          </cell>
        </row>
        <row r="164">
          <cell r="C164" t="str">
            <v>MÓVEIS E UTENSÍLIOS</v>
          </cell>
          <cell r="D164" t="str">
            <v>A</v>
          </cell>
          <cell r="E164" t="str">
            <v>7.3</v>
          </cell>
        </row>
        <row r="165">
          <cell r="C165" t="str">
            <v>EQUIPAM. DE PROC. DE DADOS</v>
          </cell>
          <cell r="D165" t="str">
            <v>A</v>
          </cell>
          <cell r="E165" t="str">
            <v>7.3</v>
          </cell>
        </row>
        <row r="166">
          <cell r="C166" t="str">
            <v>BENFEITORIAS</v>
          </cell>
          <cell r="D166" t="str">
            <v>A</v>
          </cell>
          <cell r="E166" t="str">
            <v>7.3</v>
          </cell>
        </row>
        <row r="167">
          <cell r="C167" t="str">
            <v>DIREITO DE USO</v>
          </cell>
          <cell r="D167" t="str">
            <v>A</v>
          </cell>
          <cell r="E167" t="str">
            <v>7.3</v>
          </cell>
        </row>
        <row r="168">
          <cell r="C168" t="str">
            <v>SISTEMA DE PROCESSAMENTO DE DADOS</v>
          </cell>
          <cell r="D168" t="str">
            <v>A</v>
          </cell>
          <cell r="E168" t="str">
            <v>7.3</v>
          </cell>
        </row>
        <row r="169">
          <cell r="C169" t="str">
            <v>EMPRÉSTIMOS</v>
          </cell>
          <cell r="D169" t="str">
            <v>A</v>
          </cell>
          <cell r="E169" t="str">
            <v>7.4</v>
          </cell>
        </row>
        <row r="170">
          <cell r="C170" t="str">
            <v>ADIANTAMENTO A TERCEIROS</v>
          </cell>
          <cell r="D170" t="str">
            <v>A</v>
          </cell>
          <cell r="E170" t="str">
            <v>7.4</v>
          </cell>
        </row>
        <row r="171">
          <cell r="C171" t="str">
            <v>EMPRÉSTIMOS</v>
          </cell>
          <cell r="D171" t="str">
            <v>A</v>
          </cell>
          <cell r="E171" t="str">
            <v>7.4</v>
          </cell>
        </row>
        <row r="172">
          <cell r="C172" t="str">
            <v>ESTOQUES</v>
          </cell>
          <cell r="D172" t="str">
            <v>T</v>
          </cell>
        </row>
        <row r="173">
          <cell r="C173" t="str">
            <v>ED. FCO. MELAO-CJ 23</v>
          </cell>
          <cell r="D173" t="str">
            <v>S</v>
          </cell>
          <cell r="E173" t="str">
            <v>8.1</v>
          </cell>
        </row>
        <row r="174">
          <cell r="C174" t="str">
            <v>ED. VENDOME-AP 131</v>
          </cell>
          <cell r="D174" t="str">
            <v>S</v>
          </cell>
          <cell r="E174" t="str">
            <v>8.2</v>
          </cell>
        </row>
        <row r="175">
          <cell r="C175" t="str">
            <v>FAZENDA-SÃO MANOEL</v>
          </cell>
          <cell r="D175" t="str">
            <v>S</v>
          </cell>
          <cell r="E175" t="str">
            <v>8.3</v>
          </cell>
        </row>
        <row r="176">
          <cell r="C176" t="str">
            <v>LOTEAMENTO-RES. SANTA CLARA</v>
          </cell>
          <cell r="D176" t="str">
            <v>S</v>
          </cell>
          <cell r="E176" t="str">
            <v>8.4</v>
          </cell>
        </row>
        <row r="177">
          <cell r="C177" t="str">
            <v>LOTEAMENTO-RES. SANTA CLARA QY</v>
          </cell>
          <cell r="D177" t="str">
            <v>S</v>
          </cell>
          <cell r="E177" t="str">
            <v>8.5</v>
          </cell>
        </row>
        <row r="178">
          <cell r="D178" t="str">
            <v>A</v>
          </cell>
          <cell r="E178" t="str">
            <v>8.5</v>
          </cell>
        </row>
        <row r="179">
          <cell r="D179" t="str">
            <v>A</v>
          </cell>
          <cell r="E179" t="str">
            <v>8.5</v>
          </cell>
        </row>
        <row r="180">
          <cell r="D180" t="str">
            <v>A</v>
          </cell>
          <cell r="E180" t="str">
            <v>8.5</v>
          </cell>
        </row>
        <row r="181">
          <cell r="D181" t="str">
            <v>A</v>
          </cell>
          <cell r="E181" t="str">
            <v>8.5</v>
          </cell>
        </row>
        <row r="182">
          <cell r="D182" t="str">
            <v>A</v>
          </cell>
          <cell r="E182" t="str">
            <v>8.5</v>
          </cell>
        </row>
        <row r="183">
          <cell r="D183" t="str">
            <v>A</v>
          </cell>
          <cell r="E183" t="str">
            <v>8.5</v>
          </cell>
        </row>
        <row r="184">
          <cell r="D184" t="str">
            <v>A</v>
          </cell>
          <cell r="E184" t="str">
            <v>8.5</v>
          </cell>
        </row>
        <row r="185">
          <cell r="D185" t="str">
            <v>A</v>
          </cell>
          <cell r="E185" t="str">
            <v>8.5</v>
          </cell>
        </row>
        <row r="186">
          <cell r="C186" t="str">
            <v>LOTEAMENTO-RES. SANTA CLARA QZ</v>
          </cell>
          <cell r="D186" t="str">
            <v>S</v>
          </cell>
          <cell r="E186" t="str">
            <v>8.6</v>
          </cell>
        </row>
        <row r="187">
          <cell r="C187" t="str">
            <v>GRAPROHAB</v>
          </cell>
          <cell r="D187" t="str">
            <v>A</v>
          </cell>
          <cell r="E187" t="str">
            <v>8.6</v>
          </cell>
        </row>
        <row r="188">
          <cell r="C188" t="str">
            <v>Serviços Preliminares</v>
          </cell>
          <cell r="D188" t="str">
            <v>A</v>
          </cell>
          <cell r="E188" t="str">
            <v>8.6</v>
          </cell>
        </row>
        <row r="189">
          <cell r="C189" t="str">
            <v>Terraplenagem</v>
          </cell>
          <cell r="D189" t="str">
            <v>A</v>
          </cell>
          <cell r="E189" t="str">
            <v>8.6</v>
          </cell>
        </row>
        <row r="190">
          <cell r="C190" t="str">
            <v>Drenagem de Águas Pluviais</v>
          </cell>
          <cell r="D190" t="str">
            <v>A</v>
          </cell>
          <cell r="E190" t="str">
            <v>8.6</v>
          </cell>
        </row>
        <row r="191">
          <cell r="C191" t="str">
            <v>Abastecimento de água</v>
          </cell>
          <cell r="D191" t="str">
            <v>A</v>
          </cell>
          <cell r="E191" t="str">
            <v>8.6</v>
          </cell>
        </row>
        <row r="192">
          <cell r="C192" t="str">
            <v>Rede de Coleta de Esgotos</v>
          </cell>
          <cell r="D192" t="str">
            <v>A</v>
          </cell>
          <cell r="E192" t="str">
            <v>8.6</v>
          </cell>
        </row>
        <row r="193">
          <cell r="C193" t="str">
            <v>Guias e Sarjetas</v>
          </cell>
          <cell r="D193" t="str">
            <v>A</v>
          </cell>
          <cell r="E193" t="str">
            <v>8.6</v>
          </cell>
        </row>
        <row r="194">
          <cell r="C194" t="str">
            <v>Pavimentação</v>
          </cell>
          <cell r="D194" t="str">
            <v>A</v>
          </cell>
          <cell r="E194" t="str">
            <v>8.6</v>
          </cell>
        </row>
        <row r="195">
          <cell r="C195" t="str">
            <v>LOTEAMENTO-RES. SANTA CLARA II</v>
          </cell>
          <cell r="E195" t="str">
            <v>8.7</v>
          </cell>
        </row>
        <row r="196">
          <cell r="C196" t="str">
            <v>LOTEAMENTO-RES. SANTA CLARA II</v>
          </cell>
          <cell r="E196" t="str">
            <v>8.7</v>
          </cell>
        </row>
        <row r="198">
          <cell r="C198" t="str">
            <v>SEMOVENTES</v>
          </cell>
          <cell r="D198" t="str">
            <v>S</v>
          </cell>
          <cell r="E198" t="str">
            <v>8.10</v>
          </cell>
        </row>
        <row r="199">
          <cell r="C199" t="str">
            <v>GADO</v>
          </cell>
          <cell r="D199" t="str">
            <v>A</v>
          </cell>
          <cell r="E199" t="str">
            <v>8.10</v>
          </cell>
        </row>
        <row r="200">
          <cell r="C200" t="str">
            <v>EQUINOS</v>
          </cell>
          <cell r="D200" t="str">
            <v>A</v>
          </cell>
          <cell r="E200" t="str">
            <v>8.10</v>
          </cell>
        </row>
        <row r="201">
          <cell r="C201" t="str">
            <v>CASA2-ESPERANÇA</v>
          </cell>
          <cell r="D201" t="str">
            <v>S</v>
          </cell>
          <cell r="E201" t="str">
            <v>8.11</v>
          </cell>
        </row>
        <row r="202">
          <cell r="C202" t="str">
            <v>BRASIL AGRO II</v>
          </cell>
          <cell r="D202" t="str">
            <v>A</v>
          </cell>
          <cell r="E202" t="str">
            <v>8.12</v>
          </cell>
        </row>
        <row r="203">
          <cell r="C203" t="str">
            <v>BRASIL AGRO III</v>
          </cell>
          <cell r="D203" t="str">
            <v>A</v>
          </cell>
          <cell r="E203" t="str">
            <v>8.13</v>
          </cell>
        </row>
        <row r="205">
          <cell r="C205" t="str">
            <v>Distribuição de Lucros</v>
          </cell>
          <cell r="E205" t="str">
            <v>9.1</v>
          </cell>
        </row>
        <row r="206">
          <cell r="C206" t="str">
            <v>RESULTADO EM PARTICIPACAO SOCIETARIA</v>
          </cell>
          <cell r="D206" t="str">
            <v>A</v>
          </cell>
          <cell r="E206" t="str">
            <v>9.1</v>
          </cell>
        </row>
      </sheetData>
      <sheetData sheetId="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47:11.8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8FE30-3D88-4DE5-99D4-464DFF99EB9C}" name="Tabela1" displayName="Tabela1" ref="A1:R13" totalsRowShown="0" headerRowDxfId="41" dataDxfId="39" totalsRowDxfId="37" headerRowBorderDxfId="40" tableBorderDxfId="38" totalsRowBorderDxfId="36">
  <autoFilter ref="A1:R13" xr:uid="{00000000-000C-0000-FFFF-FFFF00000000}"/>
  <sortState xmlns:xlrd2="http://schemas.microsoft.com/office/spreadsheetml/2017/richdata2" ref="A2:R13">
    <sortCondition ref="A2:A13"/>
    <sortCondition ref="B2:B13"/>
    <sortCondition ref="C2:C13"/>
    <sortCondition ref="D2:D13"/>
    <sortCondition ref="F2:F13"/>
    <sortCondition ref="J2:J13"/>
  </sortState>
  <tableColumns count="18">
    <tableColumn id="1" xr3:uid="{00000000-0010-0000-0000-000001000000}" name="Data" dataDxfId="35" totalsRowDxfId="34"/>
    <tableColumn id="2" xr3:uid="{00000000-0010-0000-0000-000002000000}" name="Empresa" dataDxfId="33" totalsRowDxfId="32"/>
    <tableColumn id="3" xr3:uid="{00000000-0010-0000-0000-000003000000}" name="Banco" dataDxfId="31" totalsRowDxfId="30"/>
    <tableColumn id="7" xr3:uid="{00000000-0010-0000-0000-000007000000}" name="Entradas" dataDxfId="29" totalsRowDxfId="28" dataCellStyle="Vírgula"/>
    <tableColumn id="8" xr3:uid="{00000000-0010-0000-0000-000008000000}" name="Saídas" dataDxfId="27" totalsRowDxfId="26" dataCellStyle="Vírgula"/>
    <tableColumn id="18" xr3:uid="{0C6DE989-83B4-47A1-9E0E-2F4E88D2679F}" name="Fornecedor" dataDxfId="25" totalsRowDxfId="24" dataCellStyle="Vírgula"/>
    <tableColumn id="4" xr3:uid="{00000000-0010-0000-0000-000004000000}" name="Histórico" dataDxfId="23" totalsRowDxfId="22"/>
    <tableColumn id="5" xr3:uid="{00000000-0010-0000-0000-000005000000}" name="NF/DOC" dataDxfId="21" totalsRowDxfId="20" dataCellStyle="Vírgula"/>
    <tableColumn id="6" xr3:uid="{00000000-0010-0000-0000-000006000000}" name="Emissão DOC" dataDxfId="19" totalsRowDxfId="18" dataCellStyle="Vírgula"/>
    <tableColumn id="9" xr3:uid="{00000000-0010-0000-0000-000009000000}" name="Conta Contábil" dataDxfId="17" totalsRowDxfId="16"/>
    <tableColumn id="10" xr3:uid="{00000000-0010-0000-0000-00000A000000}" name="Centro de Custo" dataDxfId="15" totalsRowDxfId="14"/>
    <tableColumn id="11" xr3:uid="{00000000-0010-0000-0000-00000B000000}" name="Obra" dataDxfId="13" totalsRowDxfId="12"/>
    <tableColumn id="12" xr3:uid="{00000000-0010-0000-0000-00000C000000}" name="Natureza Financeira" dataDxfId="11" totalsRowDxfId="10">
      <calculatedColumnFormula>IF(C2="Caixa","-",VLOOKUP(J2,[1]Estrutura!C:E,3,FALSE))</calculatedColumnFormula>
    </tableColumn>
    <tableColumn id="13" xr3:uid="{00000000-0010-0000-0000-00000D000000}" name="N. Cheque" dataDxfId="9" totalsRowDxfId="8"/>
    <tableColumn id="14" xr3:uid="{00000000-0010-0000-0000-00000E000000}" name="dia" dataDxfId="7" totalsRowDxfId="6"/>
    <tableColumn id="15" xr3:uid="{00000000-0010-0000-0000-00000F000000}" name="mês" dataDxfId="5" totalsRowDxfId="4"/>
    <tableColumn id="16" xr3:uid="{00000000-0010-0000-0000-000010000000}" name="ano" dataDxfId="3" totalsRowDxfId="2"/>
    <tableColumn id="17" xr3:uid="{00000000-0010-0000-0000-000011000000}" name="Saldo" dataDxfId="1" totalsRowDxfId="0">
      <calculatedColumnFormula>Tabela1[[#This Row],[Entradas]]-Tabela1[[#This Row],[Saídas]]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08A0-C564-4F57-8BB8-48D2ED9AF09E}">
  <dimension ref="A1:U2214"/>
  <sheetViews>
    <sheetView tabSelected="1" zoomScale="90" zoomScaleNormal="90" workbookViewId="0">
      <pane xSplit="7" ySplit="1" topLeftCell="H2" activePane="bottomRight" state="frozen"/>
      <selection activeCell="C2021" sqref="C2021"/>
      <selection pane="topRight" activeCell="C2021" sqref="C2021"/>
      <selection pane="bottomLeft" activeCell="C2021" sqref="C2021"/>
      <selection pane="bottomRight" activeCell="B1924" sqref="B1924"/>
    </sheetView>
  </sheetViews>
  <sheetFormatPr defaultColWidth="13" defaultRowHeight="14.4"/>
  <cols>
    <col min="1" max="1" width="12" style="3" bestFit="1" customWidth="1"/>
    <col min="2" max="2" width="10" style="3" customWidth="1"/>
    <col min="3" max="3" width="18" style="3" bestFit="1" customWidth="1"/>
    <col min="4" max="4" width="16" style="3" bestFit="1" customWidth="1"/>
    <col min="5" max="5" width="14.109375" style="3" bestFit="1" customWidth="1"/>
    <col min="6" max="6" width="33.5546875" style="5" customWidth="1"/>
    <col min="7" max="7" width="50.6640625" style="2" customWidth="1"/>
    <col min="8" max="8" width="13.33203125" style="4" bestFit="1" customWidth="1"/>
    <col min="9" max="9" width="15.44140625" style="4" customWidth="1"/>
    <col min="10" max="10" width="37.88671875" style="3" customWidth="1"/>
    <col min="11" max="11" width="34.5546875" style="3" bestFit="1" customWidth="1"/>
    <col min="12" max="12" width="11.33203125" style="2" bestFit="1" customWidth="1"/>
    <col min="13" max="13" width="6.44140625" style="2" customWidth="1"/>
    <col min="14" max="14" width="15.88671875" style="3" bestFit="1" customWidth="1"/>
    <col min="15" max="15" width="9.5546875" style="3" bestFit="1" customWidth="1"/>
    <col min="16" max="16" width="10.6640625" style="3" bestFit="1" customWidth="1"/>
    <col min="17" max="17" width="10.109375" style="3" bestFit="1" customWidth="1"/>
    <col min="18" max="18" width="12.33203125" style="3" bestFit="1" customWidth="1"/>
    <col min="19" max="19" width="13" style="1"/>
    <col min="20" max="20" width="46.6640625" style="1" bestFit="1" customWidth="1"/>
    <col min="21" max="21" width="167.33203125" style="2" bestFit="1" customWidth="1"/>
    <col min="22" max="22" width="247.88671875" style="1" bestFit="1" customWidth="1"/>
    <col min="23" max="16384" width="13" style="1"/>
  </cols>
  <sheetData>
    <row r="1" spans="1:21">
      <c r="A1" s="85" t="s">
        <v>848</v>
      </c>
      <c r="B1" s="81" t="s">
        <v>847</v>
      </c>
      <c r="C1" s="81" t="s">
        <v>846</v>
      </c>
      <c r="D1" s="84" t="s">
        <v>845</v>
      </c>
      <c r="E1" s="84" t="s">
        <v>844</v>
      </c>
      <c r="F1" s="84" t="s">
        <v>843</v>
      </c>
      <c r="G1" s="81" t="s">
        <v>842</v>
      </c>
      <c r="H1" s="83" t="s">
        <v>841</v>
      </c>
      <c r="I1" s="81" t="s">
        <v>840</v>
      </c>
      <c r="J1" s="81" t="s">
        <v>839</v>
      </c>
      <c r="K1" s="81" t="s">
        <v>838</v>
      </c>
      <c r="L1" s="81" t="s">
        <v>837</v>
      </c>
      <c r="M1" s="81" t="s">
        <v>836</v>
      </c>
      <c r="N1" s="81" t="s">
        <v>835</v>
      </c>
      <c r="O1" s="81" t="s">
        <v>834</v>
      </c>
      <c r="P1" s="81" t="s">
        <v>833</v>
      </c>
      <c r="Q1" s="83" t="s">
        <v>832</v>
      </c>
      <c r="R1" s="82" t="s">
        <v>831</v>
      </c>
      <c r="U1" s="81"/>
    </row>
    <row r="2" spans="1:21">
      <c r="A2" s="80">
        <v>46172</v>
      </c>
      <c r="B2" s="75" t="s">
        <v>26</v>
      </c>
      <c r="C2" s="75" t="s">
        <v>6</v>
      </c>
      <c r="D2" s="79"/>
      <c r="E2" s="79">
        <v>11600</v>
      </c>
      <c r="F2" s="78" t="s">
        <v>414</v>
      </c>
      <c r="G2" s="75" t="s">
        <v>413</v>
      </c>
      <c r="H2" s="77"/>
      <c r="I2" s="76"/>
      <c r="J2" s="75" t="s">
        <v>116</v>
      </c>
      <c r="K2" s="75" t="s">
        <v>21</v>
      </c>
      <c r="L2" s="69"/>
      <c r="M2" s="69" t="str">
        <f>IF(C2="Caixa","-",VLOOKUP(J2,[1]Estrutura!C:E,3,FALSE))</f>
        <v>4.12</v>
      </c>
      <c r="N2" s="69"/>
      <c r="O2" s="69">
        <v>30</v>
      </c>
      <c r="P2" s="69">
        <v>5</v>
      </c>
      <c r="Q2" s="69">
        <v>2026</v>
      </c>
      <c r="R2" s="68">
        <f>Tabela1[[#This Row],[Entradas]]-Tabela1[[#This Row],[Saídas]]</f>
        <v>-11600</v>
      </c>
    </row>
    <row r="3" spans="1:21">
      <c r="A3" s="74">
        <v>46199</v>
      </c>
      <c r="B3" s="69" t="s">
        <v>14</v>
      </c>
      <c r="C3" s="69" t="s">
        <v>9</v>
      </c>
      <c r="D3" s="73"/>
      <c r="E3" s="73">
        <v>33665.230000000003</v>
      </c>
      <c r="F3" s="72" t="s">
        <v>830</v>
      </c>
      <c r="G3" s="69" t="s">
        <v>829</v>
      </c>
      <c r="H3" s="71"/>
      <c r="I3" s="70"/>
      <c r="J3" s="69" t="s">
        <v>210</v>
      </c>
      <c r="K3" s="69"/>
      <c r="L3" s="69"/>
      <c r="M3" s="69" t="str">
        <f>IF(C3="Caixa","-",VLOOKUP(J3,[1]Estrutura!C:E,3,FALSE))</f>
        <v>4.12</v>
      </c>
      <c r="N3" s="69"/>
      <c r="O3" s="69">
        <v>0</v>
      </c>
      <c r="P3" s="69">
        <v>1</v>
      </c>
      <c r="Q3" s="69">
        <v>1900</v>
      </c>
      <c r="R3" s="68">
        <f>Tabela1[[#This Row],[Entradas]]-Tabela1[[#This Row],[Saídas]]</f>
        <v>-33665.230000000003</v>
      </c>
    </row>
    <row r="4" spans="1:21">
      <c r="A4" s="80">
        <v>46203</v>
      </c>
      <c r="B4" s="75" t="s">
        <v>26</v>
      </c>
      <c r="C4" s="75" t="s">
        <v>6</v>
      </c>
      <c r="D4" s="79"/>
      <c r="E4" s="79">
        <v>5800</v>
      </c>
      <c r="F4" s="78" t="s">
        <v>414</v>
      </c>
      <c r="G4" s="75" t="s">
        <v>413</v>
      </c>
      <c r="H4" s="77"/>
      <c r="I4" s="76"/>
      <c r="J4" s="75" t="s">
        <v>116</v>
      </c>
      <c r="K4" s="75" t="s">
        <v>21</v>
      </c>
      <c r="L4" s="69"/>
      <c r="M4" s="69" t="str">
        <f>IF(C4="Caixa","-",VLOOKUP(J4,[1]Estrutura!C:E,3,FALSE))</f>
        <v>4.12</v>
      </c>
      <c r="N4" s="69"/>
      <c r="O4" s="69">
        <v>30</v>
      </c>
      <c r="P4" s="69">
        <v>6</v>
      </c>
      <c r="Q4" s="69">
        <v>2026</v>
      </c>
      <c r="R4" s="68">
        <f>Tabela1[[#This Row],[Entradas]]-Tabela1[[#This Row],[Saídas]]</f>
        <v>-5800</v>
      </c>
    </row>
    <row r="5" spans="1:21">
      <c r="A5" s="74">
        <v>46229</v>
      </c>
      <c r="B5" s="69" t="s">
        <v>14</v>
      </c>
      <c r="C5" s="69" t="s">
        <v>9</v>
      </c>
      <c r="D5" s="73"/>
      <c r="E5" s="73">
        <v>33665.230000000003</v>
      </c>
      <c r="F5" s="72" t="s">
        <v>830</v>
      </c>
      <c r="G5" s="69" t="s">
        <v>829</v>
      </c>
      <c r="H5" s="71"/>
      <c r="I5" s="70"/>
      <c r="J5" s="69" t="s">
        <v>210</v>
      </c>
      <c r="K5" s="69"/>
      <c r="L5" s="69"/>
      <c r="M5" s="69" t="str">
        <f>IF(C5="Caixa","-",VLOOKUP(J5,[1]Estrutura!C:E,3,FALSE))</f>
        <v>4.12</v>
      </c>
      <c r="N5" s="69"/>
      <c r="O5" s="69">
        <v>0</v>
      </c>
      <c r="P5" s="69">
        <v>1</v>
      </c>
      <c r="Q5" s="69">
        <v>1900</v>
      </c>
      <c r="R5" s="68">
        <f>Tabela1[[#This Row],[Entradas]]-Tabela1[[#This Row],[Saídas]]</f>
        <v>-33665.230000000003</v>
      </c>
    </row>
    <row r="6" spans="1:21">
      <c r="A6" s="80">
        <v>46233</v>
      </c>
      <c r="B6" s="75" t="s">
        <v>26</v>
      </c>
      <c r="C6" s="75" t="s">
        <v>6</v>
      </c>
      <c r="D6" s="79"/>
      <c r="E6" s="79">
        <v>19000</v>
      </c>
      <c r="F6" s="78" t="s">
        <v>414</v>
      </c>
      <c r="G6" s="75" t="s">
        <v>413</v>
      </c>
      <c r="H6" s="77"/>
      <c r="I6" s="76"/>
      <c r="J6" s="75" t="s">
        <v>116</v>
      </c>
      <c r="K6" s="75" t="s">
        <v>21</v>
      </c>
      <c r="L6" s="69"/>
      <c r="M6" s="69" t="str">
        <f>IF(C6="Caixa","-",VLOOKUP(J6,[1]Estrutura!C:E,3,FALSE))</f>
        <v>4.12</v>
      </c>
      <c r="N6" s="69"/>
      <c r="O6" s="69">
        <v>30</v>
      </c>
      <c r="P6" s="69">
        <v>7</v>
      </c>
      <c r="Q6" s="69">
        <v>2026</v>
      </c>
      <c r="R6" s="68">
        <f>Tabela1[[#This Row],[Entradas]]-Tabela1[[#This Row],[Saídas]]</f>
        <v>-19000</v>
      </c>
    </row>
    <row r="7" spans="1:21">
      <c r="A7" s="74">
        <v>46260</v>
      </c>
      <c r="B7" s="69" t="s">
        <v>14</v>
      </c>
      <c r="C7" s="69" t="s">
        <v>9</v>
      </c>
      <c r="D7" s="73"/>
      <c r="E7" s="73">
        <v>33665.230000000003</v>
      </c>
      <c r="F7" s="72" t="s">
        <v>830</v>
      </c>
      <c r="G7" s="69" t="s">
        <v>829</v>
      </c>
      <c r="H7" s="71"/>
      <c r="I7" s="70"/>
      <c r="J7" s="69" t="s">
        <v>210</v>
      </c>
      <c r="K7" s="69"/>
      <c r="L7" s="69"/>
      <c r="M7" s="69" t="str">
        <f>IF(C7="Caixa","-",VLOOKUP(J7,[1]Estrutura!C:E,3,FALSE))</f>
        <v>4.12</v>
      </c>
      <c r="N7" s="69"/>
      <c r="O7" s="69">
        <v>0</v>
      </c>
      <c r="P7" s="69">
        <v>1</v>
      </c>
      <c r="Q7" s="69">
        <v>1900</v>
      </c>
      <c r="R7" s="68">
        <f>Tabela1[[#This Row],[Entradas]]-Tabela1[[#This Row],[Saídas]]</f>
        <v>-33665.230000000003</v>
      </c>
    </row>
    <row r="8" spans="1:21">
      <c r="A8" s="80">
        <v>46264</v>
      </c>
      <c r="B8" s="75" t="s">
        <v>26</v>
      </c>
      <c r="C8" s="75" t="s">
        <v>6</v>
      </c>
      <c r="D8" s="79"/>
      <c r="E8" s="79">
        <v>19000</v>
      </c>
      <c r="F8" s="78" t="s">
        <v>414</v>
      </c>
      <c r="G8" s="75" t="s">
        <v>413</v>
      </c>
      <c r="H8" s="77"/>
      <c r="I8" s="76"/>
      <c r="J8" s="75" t="s">
        <v>116</v>
      </c>
      <c r="K8" s="75" t="s">
        <v>21</v>
      </c>
      <c r="L8" s="69"/>
      <c r="M8" s="69" t="str">
        <f>IF(C8="Caixa","-",VLOOKUP(J8,[1]Estrutura!C:E,3,FALSE))</f>
        <v>4.12</v>
      </c>
      <c r="N8" s="69"/>
      <c r="O8" s="69">
        <v>30</v>
      </c>
      <c r="P8" s="69">
        <v>8</v>
      </c>
      <c r="Q8" s="69">
        <v>2026</v>
      </c>
      <c r="R8" s="68">
        <f>Tabela1[[#This Row],[Entradas]]-Tabela1[[#This Row],[Saídas]]</f>
        <v>-19000</v>
      </c>
    </row>
    <row r="9" spans="1:21">
      <c r="A9" s="74">
        <v>46291</v>
      </c>
      <c r="B9" s="69" t="s">
        <v>14</v>
      </c>
      <c r="C9" s="69" t="s">
        <v>9</v>
      </c>
      <c r="D9" s="73"/>
      <c r="E9" s="73">
        <v>33665.230000000003</v>
      </c>
      <c r="F9" s="72" t="s">
        <v>830</v>
      </c>
      <c r="G9" s="69" t="s">
        <v>829</v>
      </c>
      <c r="H9" s="71"/>
      <c r="I9" s="70"/>
      <c r="J9" s="69" t="s">
        <v>210</v>
      </c>
      <c r="K9" s="69"/>
      <c r="L9" s="69"/>
      <c r="M9" s="69" t="str">
        <f>IF(C9="Caixa","-",VLOOKUP(J9,[1]Estrutura!C:E,3,FALSE))</f>
        <v>4.12</v>
      </c>
      <c r="N9" s="69"/>
      <c r="O9" s="69">
        <v>0</v>
      </c>
      <c r="P9" s="69">
        <v>1</v>
      </c>
      <c r="Q9" s="69">
        <v>1900</v>
      </c>
      <c r="R9" s="68">
        <f>Tabela1[[#This Row],[Entradas]]-Tabela1[[#This Row],[Saídas]]</f>
        <v>-33665.230000000003</v>
      </c>
    </row>
    <row r="10" spans="1:21">
      <c r="A10" s="80">
        <v>46295</v>
      </c>
      <c r="B10" s="75" t="s">
        <v>26</v>
      </c>
      <c r="C10" s="75" t="s">
        <v>6</v>
      </c>
      <c r="D10" s="79"/>
      <c r="E10" s="79">
        <v>9500</v>
      </c>
      <c r="F10" s="78" t="s">
        <v>414</v>
      </c>
      <c r="G10" s="75" t="s">
        <v>413</v>
      </c>
      <c r="H10" s="77"/>
      <c r="I10" s="76"/>
      <c r="J10" s="75" t="s">
        <v>116</v>
      </c>
      <c r="K10" s="75" t="s">
        <v>21</v>
      </c>
      <c r="L10" s="69"/>
      <c r="M10" s="69" t="str">
        <f>IF(C10="Caixa","-",VLOOKUP(J10,[1]Estrutura!C:E,3,FALSE))</f>
        <v>4.12</v>
      </c>
      <c r="N10" s="69"/>
      <c r="O10" s="69">
        <v>30</v>
      </c>
      <c r="P10" s="69">
        <v>9</v>
      </c>
      <c r="Q10" s="69">
        <v>2026</v>
      </c>
      <c r="R10" s="68">
        <f>Tabela1[[#This Row],[Entradas]]-Tabela1[[#This Row],[Saídas]]</f>
        <v>-9500</v>
      </c>
    </row>
    <row r="11" spans="1:21">
      <c r="A11" s="74">
        <v>46321</v>
      </c>
      <c r="B11" s="69" t="s">
        <v>14</v>
      </c>
      <c r="C11" s="69" t="s">
        <v>9</v>
      </c>
      <c r="D11" s="73"/>
      <c r="E11" s="73">
        <v>33665.230000000003</v>
      </c>
      <c r="F11" s="72" t="s">
        <v>830</v>
      </c>
      <c r="G11" s="69" t="s">
        <v>829</v>
      </c>
      <c r="H11" s="71"/>
      <c r="I11" s="70"/>
      <c r="J11" s="69" t="s">
        <v>210</v>
      </c>
      <c r="K11" s="69"/>
      <c r="L11" s="69"/>
      <c r="M11" s="69" t="str">
        <f>IF(C11="Caixa","-",VLOOKUP(J11,[1]Estrutura!C:E,3,FALSE))</f>
        <v>4.12</v>
      </c>
      <c r="N11" s="69"/>
      <c r="O11" s="69">
        <v>0</v>
      </c>
      <c r="P11" s="69">
        <v>1</v>
      </c>
      <c r="Q11" s="69">
        <v>1900</v>
      </c>
      <c r="R11" s="68">
        <f>Tabela1[[#This Row],[Entradas]]-Tabela1[[#This Row],[Saídas]]</f>
        <v>-33665.230000000003</v>
      </c>
    </row>
    <row r="12" spans="1:21">
      <c r="A12" s="74">
        <v>46352</v>
      </c>
      <c r="B12" s="69" t="s">
        <v>14</v>
      </c>
      <c r="C12" s="69" t="s">
        <v>9</v>
      </c>
      <c r="D12" s="73"/>
      <c r="E12" s="73">
        <v>33665.230000000003</v>
      </c>
      <c r="F12" s="72" t="s">
        <v>830</v>
      </c>
      <c r="G12" s="69" t="s">
        <v>829</v>
      </c>
      <c r="H12" s="71"/>
      <c r="I12" s="70"/>
      <c r="J12" s="69" t="s">
        <v>210</v>
      </c>
      <c r="K12" s="69"/>
      <c r="L12" s="69"/>
      <c r="M12" s="69" t="str">
        <f>IF(C12="Caixa","-",VLOOKUP(J12,[1]Estrutura!C:E,3,FALSE))</f>
        <v>4.12</v>
      </c>
      <c r="N12" s="69"/>
      <c r="O12" s="69">
        <v>0</v>
      </c>
      <c r="P12" s="69">
        <v>1</v>
      </c>
      <c r="Q12" s="69">
        <v>1900</v>
      </c>
      <c r="R12" s="68">
        <f>Tabela1[[#This Row],[Entradas]]-Tabela1[[#This Row],[Saídas]]</f>
        <v>-33665.230000000003</v>
      </c>
    </row>
    <row r="13" spans="1:21">
      <c r="A13" s="74">
        <v>46382</v>
      </c>
      <c r="B13" s="69" t="s">
        <v>14</v>
      </c>
      <c r="C13" s="69" t="s">
        <v>9</v>
      </c>
      <c r="D13" s="73"/>
      <c r="E13" s="73">
        <v>33665.230000000003</v>
      </c>
      <c r="F13" s="72" t="s">
        <v>830</v>
      </c>
      <c r="G13" s="69" t="s">
        <v>829</v>
      </c>
      <c r="H13" s="71"/>
      <c r="I13" s="70"/>
      <c r="J13" s="69" t="s">
        <v>210</v>
      </c>
      <c r="K13" s="69"/>
      <c r="L13" s="69"/>
      <c r="M13" s="69" t="str">
        <f>IF(C13="Caixa","-",VLOOKUP(J13,[1]Estrutura!C:E,3,FALSE))</f>
        <v>4.12</v>
      </c>
      <c r="N13" s="69"/>
      <c r="O13" s="69">
        <v>0</v>
      </c>
      <c r="P13" s="69">
        <v>1</v>
      </c>
      <c r="Q13" s="69">
        <v>1900</v>
      </c>
      <c r="R13" s="68">
        <f>Tabela1[[#This Row],[Entradas]]-Tabela1[[#This Row],[Saídas]]</f>
        <v>-33665.230000000003</v>
      </c>
    </row>
    <row r="14" spans="1:21">
      <c r="A14" s="16">
        <v>46174</v>
      </c>
      <c r="B14" s="43" t="s">
        <v>14</v>
      </c>
      <c r="C14" s="39" t="s">
        <v>9</v>
      </c>
      <c r="D14" s="46">
        <v>4430.58</v>
      </c>
      <c r="E14" s="15"/>
      <c r="F14" s="15"/>
      <c r="G14" s="8" t="s">
        <v>11</v>
      </c>
      <c r="H14" s="43"/>
      <c r="I14" s="48"/>
      <c r="J14" s="43" t="s">
        <v>10</v>
      </c>
      <c r="K14" s="8"/>
      <c r="L14" s="7"/>
      <c r="M14" s="7" t="str">
        <f>IF(C14="Caixa","-",VLOOKUP(J14,[1]Estrutura!C:E,3,FALSE))</f>
        <v>1.1</v>
      </c>
      <c r="N14" s="7"/>
      <c r="O14" s="7">
        <f t="shared" ref="O14:O77" si="0">DAY(A14)</f>
        <v>1</v>
      </c>
      <c r="P14" s="7">
        <f t="shared" ref="P14:P77" si="1">MONTH(A14)</f>
        <v>6</v>
      </c>
      <c r="Q14" s="7">
        <f t="shared" ref="Q14:Q77" si="2">YEAR(A14)</f>
        <v>2026</v>
      </c>
      <c r="R14" s="6">
        <f t="shared" ref="R14:R77" si="3">D14-E14</f>
        <v>4430.58</v>
      </c>
      <c r="S14" s="16">
        <v>46152</v>
      </c>
    </row>
    <row r="15" spans="1:21">
      <c r="A15" s="16">
        <v>46174</v>
      </c>
      <c r="B15" s="8" t="s">
        <v>14</v>
      </c>
      <c r="C15" s="8" t="s">
        <v>9</v>
      </c>
      <c r="D15" s="15"/>
      <c r="E15" s="15">
        <v>300.7</v>
      </c>
      <c r="F15" s="15" t="s">
        <v>271</v>
      </c>
      <c r="G15" s="8" t="s">
        <v>828</v>
      </c>
      <c r="H15" s="45"/>
      <c r="I15" s="44"/>
      <c r="J15" s="43" t="s">
        <v>827</v>
      </c>
      <c r="K15" s="8"/>
      <c r="L15" s="8"/>
      <c r="M15" s="8" t="str">
        <f>IF(C15="Caixa","-",VLOOKUP(J15,[1]Estrutura!C:E,3,FALSE))</f>
        <v>4.2</v>
      </c>
      <c r="N15" s="8"/>
      <c r="O15" s="7">
        <f t="shared" si="0"/>
        <v>1</v>
      </c>
      <c r="P15" s="7">
        <f t="shared" si="1"/>
        <v>6</v>
      </c>
      <c r="Q15" s="7">
        <f t="shared" si="2"/>
        <v>2026</v>
      </c>
      <c r="R15" s="6">
        <f t="shared" si="3"/>
        <v>-300.7</v>
      </c>
      <c r="S15" s="16">
        <v>46153</v>
      </c>
    </row>
    <row r="16" spans="1:21">
      <c r="A16" s="16">
        <v>46174</v>
      </c>
      <c r="B16" s="7" t="s">
        <v>14</v>
      </c>
      <c r="C16" s="7" t="s">
        <v>9</v>
      </c>
      <c r="D16" s="11"/>
      <c r="E16" s="11">
        <v>300.7</v>
      </c>
      <c r="F16" s="11" t="s">
        <v>271</v>
      </c>
      <c r="G16" s="8" t="s">
        <v>828</v>
      </c>
      <c r="H16" s="10"/>
      <c r="I16" s="9"/>
      <c r="J16" s="7" t="s">
        <v>827</v>
      </c>
      <c r="K16" s="7"/>
      <c r="L16" s="7"/>
      <c r="M16" s="7" t="str">
        <f>IF(C16="Caixa","-",VLOOKUP(J16,[1]Estrutura!C:E,3,FALSE))</f>
        <v>4.2</v>
      </c>
      <c r="N16" s="7"/>
      <c r="O16" s="7">
        <f t="shared" si="0"/>
        <v>1</v>
      </c>
      <c r="P16" s="7">
        <f t="shared" si="1"/>
        <v>6</v>
      </c>
      <c r="Q16" s="7">
        <f t="shared" si="2"/>
        <v>2026</v>
      </c>
      <c r="R16" s="6">
        <f t="shared" si="3"/>
        <v>-300.7</v>
      </c>
      <c r="S16" s="16">
        <v>46153</v>
      </c>
    </row>
    <row r="17" spans="1:19">
      <c r="A17" s="16">
        <v>46174</v>
      </c>
      <c r="B17" s="7" t="s">
        <v>7</v>
      </c>
      <c r="C17" s="7" t="s">
        <v>9</v>
      </c>
      <c r="D17" s="15">
        <v>3860.34</v>
      </c>
      <c r="E17" s="15"/>
      <c r="F17" s="15"/>
      <c r="G17" s="8" t="s">
        <v>11</v>
      </c>
      <c r="H17" s="8"/>
      <c r="I17" s="17"/>
      <c r="J17" s="8" t="s">
        <v>10</v>
      </c>
      <c r="K17" s="8"/>
      <c r="L17" s="8"/>
      <c r="M17" s="8" t="str">
        <f>IF(C17="Caixa","-",VLOOKUP(J17,[1]Estrutura!C:E,3,FALSE))</f>
        <v>1.1</v>
      </c>
      <c r="N17" s="8"/>
      <c r="O17" s="7">
        <f t="shared" si="0"/>
        <v>1</v>
      </c>
      <c r="P17" s="7">
        <f t="shared" si="1"/>
        <v>6</v>
      </c>
      <c r="Q17" s="7">
        <f t="shared" si="2"/>
        <v>2026</v>
      </c>
      <c r="R17" s="6">
        <f t="shared" si="3"/>
        <v>3860.34</v>
      </c>
      <c r="S17" s="16">
        <v>46154</v>
      </c>
    </row>
    <row r="18" spans="1:19">
      <c r="A18" s="16">
        <v>46174</v>
      </c>
      <c r="B18" s="8" t="s">
        <v>14</v>
      </c>
      <c r="C18" s="7" t="s">
        <v>9</v>
      </c>
      <c r="D18" s="15">
        <v>1242.69</v>
      </c>
      <c r="E18" s="15"/>
      <c r="F18" s="15"/>
      <c r="G18" s="8" t="s">
        <v>11</v>
      </c>
      <c r="H18" s="8"/>
      <c r="I18" s="17"/>
      <c r="J18" s="8" t="s">
        <v>10</v>
      </c>
      <c r="K18" s="8"/>
      <c r="L18" s="7"/>
      <c r="M18" s="7" t="str">
        <f>IF(C18="Caixa","-",VLOOKUP(J18,[1]Estrutura!C:E,3,FALSE))</f>
        <v>1.1</v>
      </c>
      <c r="N18" s="7"/>
      <c r="O18" s="7">
        <f t="shared" si="0"/>
        <v>1</v>
      </c>
      <c r="P18" s="7">
        <f t="shared" si="1"/>
        <v>6</v>
      </c>
      <c r="Q18" s="7">
        <f t="shared" si="2"/>
        <v>2026</v>
      </c>
      <c r="R18" s="6">
        <f t="shared" si="3"/>
        <v>1242.69</v>
      </c>
      <c r="S18" s="16">
        <v>46154</v>
      </c>
    </row>
    <row r="19" spans="1:19">
      <c r="A19" s="16">
        <v>46174</v>
      </c>
      <c r="B19" s="8" t="s">
        <v>14</v>
      </c>
      <c r="C19" s="8" t="s">
        <v>9</v>
      </c>
      <c r="D19" s="15">
        <v>3121.29</v>
      </c>
      <c r="E19" s="15"/>
      <c r="F19" s="15" t="s">
        <v>109</v>
      </c>
      <c r="G19" s="8" t="s">
        <v>738</v>
      </c>
      <c r="H19" s="14"/>
      <c r="I19" s="13"/>
      <c r="J19" s="8" t="s">
        <v>178</v>
      </c>
      <c r="K19" s="8"/>
      <c r="L19" s="8"/>
      <c r="M19" s="8" t="str">
        <f>IF(C19="Caixa","-",VLOOKUP(J19,[1]Estrutura!C:E,3,FALSE))</f>
        <v>4.1</v>
      </c>
      <c r="N19" s="8"/>
      <c r="O19" s="7">
        <f t="shared" si="0"/>
        <v>1</v>
      </c>
      <c r="P19" s="7">
        <f t="shared" si="1"/>
        <v>6</v>
      </c>
      <c r="Q19" s="7">
        <f t="shared" si="2"/>
        <v>2026</v>
      </c>
      <c r="R19" s="6">
        <f t="shared" si="3"/>
        <v>3121.29</v>
      </c>
      <c r="S19" s="12">
        <v>46154</v>
      </c>
    </row>
    <row r="20" spans="1:19">
      <c r="A20" s="16">
        <v>46174</v>
      </c>
      <c r="B20" s="7" t="s">
        <v>14</v>
      </c>
      <c r="C20" s="7" t="s">
        <v>9</v>
      </c>
      <c r="D20" s="11">
        <v>4025.33</v>
      </c>
      <c r="E20" s="11"/>
      <c r="F20" s="11" t="s">
        <v>109</v>
      </c>
      <c r="G20" s="39" t="s">
        <v>819</v>
      </c>
      <c r="H20" s="41"/>
      <c r="I20" s="40"/>
      <c r="J20" s="39" t="s">
        <v>178</v>
      </c>
      <c r="K20" s="7"/>
      <c r="L20" s="7"/>
      <c r="M20" s="7" t="str">
        <f>IF(C20="Caixa","-",VLOOKUP(J20,[1]Estrutura!C:E,3,FALSE))</f>
        <v>4.1</v>
      </c>
      <c r="N20" s="7"/>
      <c r="O20" s="7">
        <f t="shared" si="0"/>
        <v>1</v>
      </c>
      <c r="P20" s="7">
        <f t="shared" si="1"/>
        <v>6</v>
      </c>
      <c r="Q20" s="7">
        <f t="shared" si="2"/>
        <v>2026</v>
      </c>
      <c r="R20" s="6">
        <f t="shared" si="3"/>
        <v>4025.33</v>
      </c>
      <c r="S20" s="16">
        <v>46154</v>
      </c>
    </row>
    <row r="21" spans="1:19">
      <c r="A21" s="16">
        <v>46174</v>
      </c>
      <c r="B21" s="24" t="s">
        <v>14</v>
      </c>
      <c r="C21" s="24" t="s">
        <v>9</v>
      </c>
      <c r="D21" s="15"/>
      <c r="E21" s="15">
        <v>1060.9000000000001</v>
      </c>
      <c r="F21" s="15" t="s">
        <v>171</v>
      </c>
      <c r="G21" s="8" t="s">
        <v>826</v>
      </c>
      <c r="H21" s="14"/>
      <c r="I21" s="13"/>
      <c r="J21" s="8" t="s">
        <v>150</v>
      </c>
      <c r="K21" s="8"/>
      <c r="L21" s="8"/>
      <c r="M21" s="8" t="str">
        <f>IF(C21="Caixa","-",VLOOKUP(J21,[1]Estrutura!C:E,3,FALSE))</f>
        <v>4.4</v>
      </c>
      <c r="N21" s="8"/>
      <c r="O21" s="7">
        <f t="shared" si="0"/>
        <v>1</v>
      </c>
      <c r="P21" s="7">
        <f t="shared" si="1"/>
        <v>6</v>
      </c>
      <c r="Q21" s="7">
        <f t="shared" si="2"/>
        <v>2026</v>
      </c>
      <c r="R21" s="6">
        <f t="shared" si="3"/>
        <v>-1060.9000000000001</v>
      </c>
      <c r="S21" s="12">
        <v>46154</v>
      </c>
    </row>
    <row r="22" spans="1:19">
      <c r="A22" s="16">
        <v>46174</v>
      </c>
      <c r="B22" s="18" t="s">
        <v>14</v>
      </c>
      <c r="C22" s="18" t="s">
        <v>9</v>
      </c>
      <c r="D22" s="11"/>
      <c r="E22" s="11">
        <v>2832.92</v>
      </c>
      <c r="F22" s="11" t="s">
        <v>104</v>
      </c>
      <c r="G22" s="7" t="s">
        <v>825</v>
      </c>
      <c r="H22" s="10"/>
      <c r="I22" s="9"/>
      <c r="J22" s="7" t="s">
        <v>814</v>
      </c>
      <c r="K22" s="7"/>
      <c r="L22" s="7"/>
      <c r="M22" s="7" t="e">
        <f>IF(C22="Caixa","-",VLOOKUP(J22,[1]Estrutura!C:E,3,FALSE))</f>
        <v>#N/A</v>
      </c>
      <c r="N22" s="7"/>
      <c r="O22" s="7">
        <f t="shared" si="0"/>
        <v>1</v>
      </c>
      <c r="P22" s="7">
        <f t="shared" si="1"/>
        <v>6</v>
      </c>
      <c r="Q22" s="7">
        <f t="shared" si="2"/>
        <v>2026</v>
      </c>
      <c r="R22" s="6">
        <f t="shared" si="3"/>
        <v>-2832.92</v>
      </c>
      <c r="S22" s="12">
        <v>46154</v>
      </c>
    </row>
    <row r="23" spans="1:19">
      <c r="A23" s="16">
        <v>46174</v>
      </c>
      <c r="B23" s="7" t="s">
        <v>14</v>
      </c>
      <c r="C23" s="7" t="s">
        <v>9</v>
      </c>
      <c r="D23" s="11"/>
      <c r="E23" s="11">
        <v>825.9</v>
      </c>
      <c r="F23" s="11" t="s">
        <v>143</v>
      </c>
      <c r="G23" s="7" t="s">
        <v>616</v>
      </c>
      <c r="H23" s="10"/>
      <c r="I23" s="9"/>
      <c r="J23" s="7" t="s">
        <v>141</v>
      </c>
      <c r="K23" s="7"/>
      <c r="L23" s="8"/>
      <c r="M23" s="8" t="str">
        <f>IF(C23="Caixa","-",VLOOKUP(J23,[1]Estrutura!C:E,3,FALSE))</f>
        <v>4.6</v>
      </c>
      <c r="N23" s="8"/>
      <c r="O23" s="7">
        <f t="shared" si="0"/>
        <v>1</v>
      </c>
      <c r="P23" s="7">
        <f t="shared" si="1"/>
        <v>6</v>
      </c>
      <c r="Q23" s="7">
        <f t="shared" si="2"/>
        <v>2026</v>
      </c>
      <c r="R23" s="6">
        <f t="shared" si="3"/>
        <v>-825.9</v>
      </c>
      <c r="S23" s="16">
        <v>46154</v>
      </c>
    </row>
    <row r="24" spans="1:19">
      <c r="A24" s="16">
        <v>46174</v>
      </c>
      <c r="B24" s="8" t="s">
        <v>14</v>
      </c>
      <c r="C24" s="8" t="s">
        <v>9</v>
      </c>
      <c r="D24" s="15"/>
      <c r="E24" s="15">
        <v>4025.33</v>
      </c>
      <c r="F24" s="15" t="s">
        <v>178</v>
      </c>
      <c r="G24" s="8" t="s">
        <v>824</v>
      </c>
      <c r="H24" s="14"/>
      <c r="I24" s="13"/>
      <c r="J24" s="8" t="s">
        <v>178</v>
      </c>
      <c r="K24" s="8"/>
      <c r="L24" s="7"/>
      <c r="M24" s="7" t="str">
        <f>IF(C24="Caixa","-",VLOOKUP(J24,[1]Estrutura!C:E,3,FALSE))</f>
        <v>4.1</v>
      </c>
      <c r="N24" s="7"/>
      <c r="O24" s="7">
        <f t="shared" si="0"/>
        <v>1</v>
      </c>
      <c r="P24" s="7">
        <f t="shared" si="1"/>
        <v>6</v>
      </c>
      <c r="Q24" s="7">
        <f t="shared" si="2"/>
        <v>2026</v>
      </c>
      <c r="R24" s="6">
        <f t="shared" si="3"/>
        <v>-4025.33</v>
      </c>
      <c r="S24" s="12">
        <v>46154</v>
      </c>
    </row>
    <row r="25" spans="1:19">
      <c r="A25" s="16">
        <v>46174</v>
      </c>
      <c r="B25" s="7" t="s">
        <v>14</v>
      </c>
      <c r="C25" s="7" t="s">
        <v>9</v>
      </c>
      <c r="D25" s="11"/>
      <c r="E25" s="11">
        <v>3121.29</v>
      </c>
      <c r="F25" s="11" t="s">
        <v>178</v>
      </c>
      <c r="G25" s="7" t="s">
        <v>823</v>
      </c>
      <c r="H25" s="10"/>
      <c r="I25" s="9"/>
      <c r="J25" s="7" t="s">
        <v>178</v>
      </c>
      <c r="K25" s="7"/>
      <c r="L25" s="8"/>
      <c r="M25" s="8" t="str">
        <f>IF(C25="Caixa","-",VLOOKUP(J25,[1]Estrutura!C:E,3,FALSE))</f>
        <v>4.1</v>
      </c>
      <c r="N25" s="8"/>
      <c r="O25" s="7">
        <f t="shared" si="0"/>
        <v>1</v>
      </c>
      <c r="P25" s="7">
        <f t="shared" si="1"/>
        <v>6</v>
      </c>
      <c r="Q25" s="7">
        <f t="shared" si="2"/>
        <v>2026</v>
      </c>
      <c r="R25" s="6">
        <f t="shared" si="3"/>
        <v>-3121.29</v>
      </c>
      <c r="S25" s="16">
        <v>46154</v>
      </c>
    </row>
    <row r="26" spans="1:19">
      <c r="A26" s="16">
        <v>46174</v>
      </c>
      <c r="B26" s="24" t="s">
        <v>14</v>
      </c>
      <c r="C26" s="24" t="s">
        <v>9</v>
      </c>
      <c r="D26" s="15"/>
      <c r="E26" s="15">
        <v>103.44</v>
      </c>
      <c r="F26" s="15" t="s">
        <v>168</v>
      </c>
      <c r="G26" s="8" t="s">
        <v>616</v>
      </c>
      <c r="H26" s="14"/>
      <c r="I26" s="13"/>
      <c r="J26" s="8" t="s">
        <v>77</v>
      </c>
      <c r="K26" s="8"/>
      <c r="L26" s="7"/>
      <c r="M26" s="7" t="str">
        <f>IF(C26="Caixa","-",VLOOKUP(J26,[1]Estrutura!C:E,3,FALSE))</f>
        <v>4.3</v>
      </c>
      <c r="N26" s="7"/>
      <c r="O26" s="7">
        <f t="shared" si="0"/>
        <v>1</v>
      </c>
      <c r="P26" s="7">
        <f t="shared" si="1"/>
        <v>6</v>
      </c>
      <c r="Q26" s="7">
        <f t="shared" si="2"/>
        <v>2026</v>
      </c>
      <c r="R26" s="6">
        <f t="shared" si="3"/>
        <v>-103.44</v>
      </c>
      <c r="S26" s="12">
        <v>46154</v>
      </c>
    </row>
    <row r="27" spans="1:19">
      <c r="A27" s="16">
        <v>46174</v>
      </c>
      <c r="B27" s="18" t="s">
        <v>14</v>
      </c>
      <c r="C27" s="18" t="s">
        <v>9</v>
      </c>
      <c r="D27" s="29"/>
      <c r="E27" s="11">
        <v>4.38</v>
      </c>
      <c r="F27" s="11" t="s">
        <v>595</v>
      </c>
      <c r="G27" s="18" t="s">
        <v>822</v>
      </c>
      <c r="H27" s="18"/>
      <c r="I27" s="28"/>
      <c r="J27" s="7" t="s">
        <v>273</v>
      </c>
      <c r="K27" s="7"/>
      <c r="L27" s="8"/>
      <c r="M27" s="8" t="str">
        <f>IF(C27="Caixa","-",VLOOKUP(J27,[1]Estrutura!C:E,3,FALSE))</f>
        <v>4.9</v>
      </c>
      <c r="N27" s="8"/>
      <c r="O27" s="7">
        <f t="shared" si="0"/>
        <v>1</v>
      </c>
      <c r="P27" s="7">
        <f t="shared" si="1"/>
        <v>6</v>
      </c>
      <c r="Q27" s="7">
        <f t="shared" si="2"/>
        <v>2026</v>
      </c>
      <c r="R27" s="6">
        <f t="shared" si="3"/>
        <v>-4.38</v>
      </c>
      <c r="S27" s="16">
        <v>46154</v>
      </c>
    </row>
    <row r="28" spans="1:19">
      <c r="A28" s="16">
        <v>46174</v>
      </c>
      <c r="B28" s="24" t="s">
        <v>14</v>
      </c>
      <c r="C28" s="24" t="s">
        <v>9</v>
      </c>
      <c r="D28" s="15"/>
      <c r="E28" s="15">
        <v>410</v>
      </c>
      <c r="F28" s="15" t="s">
        <v>659</v>
      </c>
      <c r="G28" s="8" t="s">
        <v>821</v>
      </c>
      <c r="H28" s="14"/>
      <c r="I28" s="13"/>
      <c r="J28" s="8" t="s">
        <v>22</v>
      </c>
      <c r="K28" s="8"/>
      <c r="L28" s="7"/>
      <c r="M28" s="7" t="str">
        <f>IF(C28="Caixa","-",VLOOKUP(J28,[1]Estrutura!C:E,3,FALSE))</f>
        <v>4.3</v>
      </c>
      <c r="N28" s="7"/>
      <c r="O28" s="7">
        <f t="shared" si="0"/>
        <v>1</v>
      </c>
      <c r="P28" s="7">
        <f t="shared" si="1"/>
        <v>6</v>
      </c>
      <c r="Q28" s="7">
        <f t="shared" si="2"/>
        <v>2026</v>
      </c>
      <c r="R28" s="6">
        <f t="shared" si="3"/>
        <v>-410</v>
      </c>
      <c r="S28" s="12">
        <v>46154</v>
      </c>
    </row>
    <row r="29" spans="1:19">
      <c r="A29" s="16">
        <v>46174</v>
      </c>
      <c r="B29" s="18" t="s">
        <v>14</v>
      </c>
      <c r="C29" s="18" t="s">
        <v>9</v>
      </c>
      <c r="D29" s="11"/>
      <c r="E29" s="11">
        <v>176.04</v>
      </c>
      <c r="F29" s="11" t="s">
        <v>24</v>
      </c>
      <c r="G29" s="7" t="s">
        <v>371</v>
      </c>
      <c r="H29" s="10"/>
      <c r="I29" s="9"/>
      <c r="J29" s="7" t="s">
        <v>22</v>
      </c>
      <c r="K29" s="7"/>
      <c r="L29" s="8"/>
      <c r="M29" s="8" t="str">
        <f>IF(C29="Caixa","-",VLOOKUP(J29,[1]Estrutura!C:E,3,FALSE))</f>
        <v>4.3</v>
      </c>
      <c r="N29" s="8"/>
      <c r="O29" s="7">
        <f t="shared" si="0"/>
        <v>1</v>
      </c>
      <c r="P29" s="7">
        <f t="shared" si="1"/>
        <v>6</v>
      </c>
      <c r="Q29" s="7">
        <f t="shared" si="2"/>
        <v>2026</v>
      </c>
      <c r="R29" s="6">
        <f t="shared" si="3"/>
        <v>-176.04</v>
      </c>
      <c r="S29" s="16">
        <v>46154</v>
      </c>
    </row>
    <row r="30" spans="1:19">
      <c r="A30" s="16">
        <v>46174</v>
      </c>
      <c r="B30" s="8" t="s">
        <v>26</v>
      </c>
      <c r="C30" s="8" t="s">
        <v>6</v>
      </c>
      <c r="D30" s="15"/>
      <c r="E30" s="15">
        <v>1053.43</v>
      </c>
      <c r="F30" s="15" t="s">
        <v>104</v>
      </c>
      <c r="G30" s="8" t="s">
        <v>820</v>
      </c>
      <c r="H30" s="14">
        <v>19617</v>
      </c>
      <c r="I30" s="13"/>
      <c r="J30" s="8" t="s">
        <v>814</v>
      </c>
      <c r="K30" s="8" t="s">
        <v>21</v>
      </c>
      <c r="L30" s="7"/>
      <c r="M30" s="7" t="e">
        <f>IF(C30="Caixa","-",VLOOKUP(J30,[1]Estrutura!C:E,3,FALSE))</f>
        <v>#N/A</v>
      </c>
      <c r="N30" s="7"/>
      <c r="O30" s="7">
        <f t="shared" si="0"/>
        <v>1</v>
      </c>
      <c r="P30" s="7">
        <f t="shared" si="1"/>
        <v>6</v>
      </c>
      <c r="Q30" s="7">
        <f t="shared" si="2"/>
        <v>2026</v>
      </c>
      <c r="R30" s="6">
        <f t="shared" si="3"/>
        <v>-1053.43</v>
      </c>
      <c r="S30" s="12">
        <v>46154</v>
      </c>
    </row>
    <row r="31" spans="1:19">
      <c r="A31" s="16">
        <v>46174</v>
      </c>
      <c r="B31" s="7" t="s">
        <v>26</v>
      </c>
      <c r="C31" s="7" t="s">
        <v>6</v>
      </c>
      <c r="D31" s="11"/>
      <c r="E31" s="11">
        <v>4025.35</v>
      </c>
      <c r="F31" s="15" t="s">
        <v>178</v>
      </c>
      <c r="G31" s="7" t="s">
        <v>819</v>
      </c>
      <c r="H31" s="10"/>
      <c r="I31" s="9"/>
      <c r="J31" s="7" t="s">
        <v>178</v>
      </c>
      <c r="K31" s="18" t="s">
        <v>34</v>
      </c>
      <c r="L31" s="8"/>
      <c r="M31" s="8" t="str">
        <f>IF(C31="Caixa","-",VLOOKUP(J31,[1]Estrutura!C:E,3,FALSE))</f>
        <v>4.1</v>
      </c>
      <c r="N31" s="8"/>
      <c r="O31" s="7">
        <f t="shared" si="0"/>
        <v>1</v>
      </c>
      <c r="P31" s="7">
        <f t="shared" si="1"/>
        <v>6</v>
      </c>
      <c r="Q31" s="7">
        <f t="shared" si="2"/>
        <v>2026</v>
      </c>
      <c r="R31" s="6">
        <f t="shared" si="3"/>
        <v>-4025.35</v>
      </c>
      <c r="S31" s="12">
        <v>46154</v>
      </c>
    </row>
    <row r="32" spans="1:19">
      <c r="A32" s="16">
        <v>46174</v>
      </c>
      <c r="B32" s="7" t="s">
        <v>26</v>
      </c>
      <c r="C32" s="7" t="s">
        <v>6</v>
      </c>
      <c r="D32" s="11"/>
      <c r="E32" s="11">
        <v>14.71</v>
      </c>
      <c r="F32" s="11" t="s">
        <v>155</v>
      </c>
      <c r="G32" s="7" t="s">
        <v>589</v>
      </c>
      <c r="H32" s="10"/>
      <c r="I32" s="9"/>
      <c r="J32" s="7" t="s">
        <v>153</v>
      </c>
      <c r="K32" s="7" t="s">
        <v>21</v>
      </c>
      <c r="L32" s="7"/>
      <c r="M32" s="7" t="str">
        <f>IF(C32="Caixa","-",VLOOKUP(J32,[1]Estrutura!C:E,3,FALSE))</f>
        <v>4.3</v>
      </c>
      <c r="N32" s="7"/>
      <c r="O32" s="7">
        <f t="shared" si="0"/>
        <v>1</v>
      </c>
      <c r="P32" s="7">
        <f t="shared" si="1"/>
        <v>6</v>
      </c>
      <c r="Q32" s="7">
        <f t="shared" si="2"/>
        <v>2026</v>
      </c>
      <c r="R32" s="6">
        <f t="shared" si="3"/>
        <v>-14.71</v>
      </c>
      <c r="S32" s="16">
        <v>46154</v>
      </c>
    </row>
    <row r="33" spans="1:19">
      <c r="A33" s="16">
        <v>46174</v>
      </c>
      <c r="B33" s="8" t="s">
        <v>26</v>
      </c>
      <c r="C33" s="8" t="s">
        <v>6</v>
      </c>
      <c r="D33" s="15"/>
      <c r="E33" s="15">
        <v>31670</v>
      </c>
      <c r="F33" s="15" t="s">
        <v>165</v>
      </c>
      <c r="G33" s="8" t="s">
        <v>164</v>
      </c>
      <c r="H33" s="14"/>
      <c r="I33" s="13"/>
      <c r="J33" s="8" t="s">
        <v>17</v>
      </c>
      <c r="K33" s="8" t="s">
        <v>21</v>
      </c>
      <c r="L33" s="8"/>
      <c r="M33" s="8" t="str">
        <f>IF(C33="Caixa","-",VLOOKUP(J33,[1]Estrutura!C:E,3,FALSE))</f>
        <v>4.4</v>
      </c>
      <c r="N33" s="8"/>
      <c r="O33" s="7">
        <f t="shared" si="0"/>
        <v>1</v>
      </c>
      <c r="P33" s="7">
        <f t="shared" si="1"/>
        <v>6</v>
      </c>
      <c r="Q33" s="7">
        <f t="shared" si="2"/>
        <v>2026</v>
      </c>
      <c r="R33" s="6">
        <f t="shared" si="3"/>
        <v>-31670</v>
      </c>
      <c r="S33" s="12">
        <v>46154</v>
      </c>
    </row>
    <row r="34" spans="1:19">
      <c r="A34" s="16">
        <v>46174</v>
      </c>
      <c r="B34" s="7" t="s">
        <v>26</v>
      </c>
      <c r="C34" s="7" t="s">
        <v>6</v>
      </c>
      <c r="D34" s="11"/>
      <c r="E34" s="11">
        <v>1000</v>
      </c>
      <c r="F34" s="11" t="s">
        <v>138</v>
      </c>
      <c r="G34" s="7" t="s">
        <v>818</v>
      </c>
      <c r="H34" s="10"/>
      <c r="I34" s="9"/>
      <c r="J34" s="7" t="s">
        <v>17</v>
      </c>
      <c r="K34" s="7" t="s">
        <v>21</v>
      </c>
      <c r="L34" s="7"/>
      <c r="M34" s="7" t="str">
        <f>IF(C34="Caixa","-",VLOOKUP(J34,[1]Estrutura!C:E,3,FALSE))</f>
        <v>4.4</v>
      </c>
      <c r="N34" s="7"/>
      <c r="O34" s="7">
        <f t="shared" si="0"/>
        <v>1</v>
      </c>
      <c r="P34" s="7">
        <f t="shared" si="1"/>
        <v>6</v>
      </c>
      <c r="Q34" s="7">
        <f t="shared" si="2"/>
        <v>2026</v>
      </c>
      <c r="R34" s="6">
        <f t="shared" si="3"/>
        <v>-1000</v>
      </c>
      <c r="S34" s="16">
        <v>46154</v>
      </c>
    </row>
    <row r="35" spans="1:19">
      <c r="A35" s="16">
        <v>46174</v>
      </c>
      <c r="B35" s="8" t="s">
        <v>26</v>
      </c>
      <c r="C35" s="8" t="s">
        <v>6</v>
      </c>
      <c r="D35" s="15"/>
      <c r="E35" s="15">
        <v>95</v>
      </c>
      <c r="F35" s="15" t="s">
        <v>355</v>
      </c>
      <c r="G35" s="8" t="s">
        <v>817</v>
      </c>
      <c r="H35" s="14">
        <v>6773</v>
      </c>
      <c r="I35" s="13"/>
      <c r="J35" s="8" t="s">
        <v>17</v>
      </c>
      <c r="K35" s="8" t="s">
        <v>21</v>
      </c>
      <c r="L35" s="8"/>
      <c r="M35" s="8" t="str">
        <f>IF(C35="Caixa","-",VLOOKUP(J35,[1]Estrutura!C:E,3,FALSE))</f>
        <v>4.4</v>
      </c>
      <c r="N35" s="8"/>
      <c r="O35" s="7">
        <f t="shared" si="0"/>
        <v>1</v>
      </c>
      <c r="P35" s="7">
        <f t="shared" si="1"/>
        <v>6</v>
      </c>
      <c r="Q35" s="7">
        <f t="shared" si="2"/>
        <v>2026</v>
      </c>
      <c r="R35" s="6">
        <f t="shared" si="3"/>
        <v>-95</v>
      </c>
      <c r="S35" s="12">
        <v>46154</v>
      </c>
    </row>
    <row r="36" spans="1:19">
      <c r="A36" s="16">
        <v>46174</v>
      </c>
      <c r="B36" s="7" t="s">
        <v>26</v>
      </c>
      <c r="C36" s="7" t="s">
        <v>25</v>
      </c>
      <c r="D36" s="11"/>
      <c r="E36" s="11">
        <v>5000</v>
      </c>
      <c r="F36" s="11" t="s">
        <v>109</v>
      </c>
      <c r="G36" s="7" t="s">
        <v>307</v>
      </c>
      <c r="H36" s="10">
        <v>10018</v>
      </c>
      <c r="I36" s="9"/>
      <c r="J36" s="7" t="s">
        <v>17</v>
      </c>
      <c r="K36" s="7" t="s">
        <v>21</v>
      </c>
      <c r="L36" s="7"/>
      <c r="M36" s="7" t="str">
        <f>IF(C36="Caixa","-",VLOOKUP(J36,[1]Estrutura!C:E,3,FALSE))</f>
        <v>4.4</v>
      </c>
      <c r="N36" s="7"/>
      <c r="O36" s="7">
        <f t="shared" si="0"/>
        <v>1</v>
      </c>
      <c r="P36" s="7">
        <f t="shared" si="1"/>
        <v>6</v>
      </c>
      <c r="Q36" s="7">
        <f t="shared" si="2"/>
        <v>2026</v>
      </c>
      <c r="R36" s="6">
        <f t="shared" si="3"/>
        <v>-5000</v>
      </c>
      <c r="S36" s="16">
        <v>46154</v>
      </c>
    </row>
    <row r="37" spans="1:19">
      <c r="A37" s="16">
        <v>46174</v>
      </c>
      <c r="B37" s="8" t="s">
        <v>26</v>
      </c>
      <c r="C37" s="8" t="s">
        <v>6</v>
      </c>
      <c r="D37" s="15"/>
      <c r="E37" s="15">
        <v>303.07</v>
      </c>
      <c r="F37" s="15" t="s">
        <v>24</v>
      </c>
      <c r="G37" s="8" t="s">
        <v>584</v>
      </c>
      <c r="H37" s="14"/>
      <c r="I37" s="13"/>
      <c r="J37" s="8" t="s">
        <v>77</v>
      </c>
      <c r="K37" s="8" t="s">
        <v>21</v>
      </c>
      <c r="L37" s="8"/>
      <c r="M37" s="8" t="str">
        <f>IF(C37="Caixa","-",VLOOKUP(J37,[1]Estrutura!C:E,3,FALSE))</f>
        <v>4.3</v>
      </c>
      <c r="N37" s="8"/>
      <c r="O37" s="7">
        <f t="shared" si="0"/>
        <v>1</v>
      </c>
      <c r="P37" s="7">
        <f t="shared" si="1"/>
        <v>6</v>
      </c>
      <c r="Q37" s="7">
        <f t="shared" si="2"/>
        <v>2026</v>
      </c>
      <c r="R37" s="6">
        <f t="shared" si="3"/>
        <v>-303.07</v>
      </c>
      <c r="S37" s="50">
        <v>46154</v>
      </c>
    </row>
    <row r="38" spans="1:19">
      <c r="A38" s="16">
        <v>46174</v>
      </c>
      <c r="B38" s="7" t="s">
        <v>26</v>
      </c>
      <c r="C38" s="7" t="s">
        <v>6</v>
      </c>
      <c r="D38" s="11"/>
      <c r="E38" s="11">
        <v>272.95</v>
      </c>
      <c r="F38" s="11" t="s">
        <v>106</v>
      </c>
      <c r="G38" s="7" t="s">
        <v>616</v>
      </c>
      <c r="H38" s="10"/>
      <c r="I38" s="9"/>
      <c r="J38" s="7" t="s">
        <v>77</v>
      </c>
      <c r="K38" s="7" t="s">
        <v>40</v>
      </c>
      <c r="L38" s="7"/>
      <c r="M38" s="7" t="str">
        <f>IF(C38="Caixa","-",VLOOKUP(J38,[1]Estrutura!C:E,3,FALSE))</f>
        <v>4.3</v>
      </c>
      <c r="N38" s="7"/>
      <c r="O38" s="7">
        <f t="shared" si="0"/>
        <v>1</v>
      </c>
      <c r="P38" s="7">
        <f t="shared" si="1"/>
        <v>6</v>
      </c>
      <c r="Q38" s="7">
        <f t="shared" si="2"/>
        <v>2026</v>
      </c>
      <c r="R38" s="6">
        <f t="shared" si="3"/>
        <v>-272.95</v>
      </c>
      <c r="S38" s="47">
        <v>46154</v>
      </c>
    </row>
    <row r="39" spans="1:19">
      <c r="A39" s="16">
        <v>46174</v>
      </c>
      <c r="B39" s="8" t="s">
        <v>26</v>
      </c>
      <c r="C39" s="8" t="s">
        <v>6</v>
      </c>
      <c r="D39" s="15"/>
      <c r="E39" s="15">
        <v>313.29000000000002</v>
      </c>
      <c r="F39" s="15" t="s">
        <v>161</v>
      </c>
      <c r="G39" s="8" t="s">
        <v>160</v>
      </c>
      <c r="H39" s="14"/>
      <c r="I39" s="13"/>
      <c r="J39" s="8" t="s">
        <v>12</v>
      </c>
      <c r="K39" s="8" t="s">
        <v>34</v>
      </c>
      <c r="L39" s="8"/>
      <c r="M39" s="8" t="str">
        <f>IF(C39="Caixa","-",VLOOKUP(J39,[1]Estrutura!C:E,3,FALSE))</f>
        <v>4.9</v>
      </c>
      <c r="N39" s="8"/>
      <c r="O39" s="7">
        <f t="shared" si="0"/>
        <v>1</v>
      </c>
      <c r="P39" s="7">
        <f t="shared" si="1"/>
        <v>6</v>
      </c>
      <c r="Q39" s="7">
        <f t="shared" si="2"/>
        <v>2026</v>
      </c>
      <c r="R39" s="6">
        <f t="shared" si="3"/>
        <v>-313.29000000000002</v>
      </c>
      <c r="S39" s="47">
        <v>46154</v>
      </c>
    </row>
    <row r="40" spans="1:19">
      <c r="A40" s="16">
        <v>46174</v>
      </c>
      <c r="B40" s="7" t="s">
        <v>7</v>
      </c>
      <c r="C40" s="7" t="s">
        <v>9</v>
      </c>
      <c r="D40" s="15">
        <v>6298.7300000000005</v>
      </c>
      <c r="E40" s="15"/>
      <c r="F40" s="15"/>
      <c r="G40" s="8" t="s">
        <v>11</v>
      </c>
      <c r="H40" s="8"/>
      <c r="I40" s="17"/>
      <c r="J40" s="8" t="s">
        <v>10</v>
      </c>
      <c r="K40" s="8"/>
      <c r="L40" s="7"/>
      <c r="M40" s="7" t="str">
        <f>IF(C40="Caixa","-",VLOOKUP(J40,[1]Estrutura!C:E,3,FALSE))</f>
        <v>1.1</v>
      </c>
      <c r="N40" s="7"/>
      <c r="O40" s="7">
        <f t="shared" si="0"/>
        <v>1</v>
      </c>
      <c r="P40" s="7">
        <f t="shared" si="1"/>
        <v>6</v>
      </c>
      <c r="Q40" s="7">
        <f t="shared" si="2"/>
        <v>2026</v>
      </c>
      <c r="R40" s="6">
        <f t="shared" si="3"/>
        <v>6298.7300000000005</v>
      </c>
      <c r="S40" s="47">
        <v>46154</v>
      </c>
    </row>
    <row r="41" spans="1:19">
      <c r="A41" s="16">
        <v>46174</v>
      </c>
      <c r="B41" s="8" t="s">
        <v>7</v>
      </c>
      <c r="C41" s="8" t="s">
        <v>9</v>
      </c>
      <c r="D41" s="15"/>
      <c r="E41" s="15">
        <v>500.46</v>
      </c>
      <c r="F41" s="15" t="s">
        <v>657</v>
      </c>
      <c r="G41" s="8" t="s">
        <v>816</v>
      </c>
      <c r="H41" s="14"/>
      <c r="I41" s="13"/>
      <c r="J41" s="8" t="s">
        <v>173</v>
      </c>
      <c r="K41" s="8"/>
      <c r="L41" s="8"/>
      <c r="M41" s="8" t="str">
        <f>IF(C41="Caixa","-",VLOOKUP(J41,[1]Estrutura!C:E,3,FALSE))</f>
        <v>4.3</v>
      </c>
      <c r="N41" s="8"/>
      <c r="O41" s="7">
        <f t="shared" si="0"/>
        <v>1</v>
      </c>
      <c r="P41" s="7">
        <f t="shared" si="1"/>
        <v>6</v>
      </c>
      <c r="Q41" s="7">
        <f t="shared" si="2"/>
        <v>2026</v>
      </c>
      <c r="R41" s="6">
        <f t="shared" si="3"/>
        <v>-500.46</v>
      </c>
      <c r="S41" s="50">
        <v>46154</v>
      </c>
    </row>
    <row r="42" spans="1:19">
      <c r="A42" s="16">
        <v>46174</v>
      </c>
      <c r="B42" s="7" t="s">
        <v>7</v>
      </c>
      <c r="C42" s="7" t="s">
        <v>9</v>
      </c>
      <c r="D42" s="11"/>
      <c r="E42" s="11">
        <v>2717.81</v>
      </c>
      <c r="F42" s="11" t="s">
        <v>104</v>
      </c>
      <c r="G42" s="7" t="s">
        <v>815</v>
      </c>
      <c r="H42" s="10"/>
      <c r="I42" s="9"/>
      <c r="J42" s="7" t="s">
        <v>814</v>
      </c>
      <c r="K42" s="7"/>
      <c r="L42" s="7"/>
      <c r="M42" s="7" t="e">
        <f>IF(C42="Caixa","-",VLOOKUP(J42,[1]Estrutura!C:E,3,FALSE))</f>
        <v>#N/A</v>
      </c>
      <c r="N42" s="7"/>
      <c r="O42" s="7">
        <f t="shared" si="0"/>
        <v>1</v>
      </c>
      <c r="P42" s="7">
        <f t="shared" si="1"/>
        <v>6</v>
      </c>
      <c r="Q42" s="7">
        <f t="shared" si="2"/>
        <v>2026</v>
      </c>
      <c r="R42" s="6">
        <f t="shared" si="3"/>
        <v>-2717.81</v>
      </c>
      <c r="S42" s="47">
        <v>46155</v>
      </c>
    </row>
    <row r="43" spans="1:19">
      <c r="A43" s="16">
        <v>46174</v>
      </c>
      <c r="B43" s="8" t="s">
        <v>14</v>
      </c>
      <c r="C43" s="7" t="s">
        <v>9</v>
      </c>
      <c r="D43" s="15">
        <v>1469.47</v>
      </c>
      <c r="E43" s="15"/>
      <c r="F43" s="15"/>
      <c r="G43" s="8" t="s">
        <v>11</v>
      </c>
      <c r="H43" s="8"/>
      <c r="I43" s="17"/>
      <c r="J43" s="8" t="s">
        <v>10</v>
      </c>
      <c r="K43" s="8"/>
      <c r="L43" s="8"/>
      <c r="M43" s="8" t="str">
        <f>IF(C43="Caixa","-",VLOOKUP(J43,[1]Estrutura!C:E,3,FALSE))</f>
        <v>1.1</v>
      </c>
      <c r="N43" s="8"/>
      <c r="O43" s="7">
        <f t="shared" si="0"/>
        <v>1</v>
      </c>
      <c r="P43" s="7">
        <f t="shared" si="1"/>
        <v>6</v>
      </c>
      <c r="Q43" s="7">
        <f t="shared" si="2"/>
        <v>2026</v>
      </c>
      <c r="R43" s="6">
        <f t="shared" si="3"/>
        <v>1469.47</v>
      </c>
      <c r="S43" s="67">
        <v>46155</v>
      </c>
    </row>
    <row r="44" spans="1:19">
      <c r="A44" s="16">
        <v>46174</v>
      </c>
      <c r="B44" s="7" t="s">
        <v>14</v>
      </c>
      <c r="C44" s="7" t="s">
        <v>25</v>
      </c>
      <c r="D44" s="11"/>
      <c r="E44" s="11">
        <v>1123.71</v>
      </c>
      <c r="F44" s="11" t="s">
        <v>157</v>
      </c>
      <c r="G44" s="7" t="s">
        <v>156</v>
      </c>
      <c r="H44" s="10">
        <v>4151</v>
      </c>
      <c r="I44" s="9"/>
      <c r="J44" s="7" t="s">
        <v>17</v>
      </c>
      <c r="K44" s="7"/>
      <c r="L44" s="7"/>
      <c r="M44" s="7" t="str">
        <f>IF(C44="Caixa","-",VLOOKUP(J44,[1]Estrutura!C:E,3,FALSE))</f>
        <v>4.4</v>
      </c>
      <c r="N44" s="7"/>
      <c r="O44" s="7">
        <f t="shared" si="0"/>
        <v>1</v>
      </c>
      <c r="P44" s="7">
        <f t="shared" si="1"/>
        <v>6</v>
      </c>
      <c r="Q44" s="7">
        <f t="shared" si="2"/>
        <v>2026</v>
      </c>
      <c r="R44" s="6">
        <f t="shared" si="3"/>
        <v>-1123.71</v>
      </c>
      <c r="S44" s="16">
        <v>46155</v>
      </c>
    </row>
    <row r="45" spans="1:19">
      <c r="A45" s="16">
        <v>46174</v>
      </c>
      <c r="B45" s="7" t="s">
        <v>7</v>
      </c>
      <c r="C45" s="7" t="s">
        <v>9</v>
      </c>
      <c r="D45" s="15">
        <v>9864.1299999999992</v>
      </c>
      <c r="E45" s="15"/>
      <c r="F45" s="15"/>
      <c r="G45" s="8" t="s">
        <v>11</v>
      </c>
      <c r="H45" s="8"/>
      <c r="I45" s="17"/>
      <c r="J45" s="8" t="s">
        <v>10</v>
      </c>
      <c r="K45" s="8"/>
      <c r="L45" s="8"/>
      <c r="M45" s="8" t="str">
        <f>IF(C45="Caixa","-",VLOOKUP(J45,[1]Estrutura!C:E,3,FALSE))</f>
        <v>1.1</v>
      </c>
      <c r="N45" s="8"/>
      <c r="O45" s="7">
        <f t="shared" si="0"/>
        <v>1</v>
      </c>
      <c r="P45" s="7">
        <f t="shared" si="1"/>
        <v>6</v>
      </c>
      <c r="Q45" s="7">
        <f t="shared" si="2"/>
        <v>2026</v>
      </c>
      <c r="R45" s="6">
        <f t="shared" si="3"/>
        <v>9864.1299999999992</v>
      </c>
      <c r="S45" s="12">
        <v>46156</v>
      </c>
    </row>
    <row r="46" spans="1:19">
      <c r="A46" s="16">
        <v>46174</v>
      </c>
      <c r="B46" s="12" t="s">
        <v>26</v>
      </c>
      <c r="C46" s="7" t="s">
        <v>6</v>
      </c>
      <c r="D46" s="11"/>
      <c r="E46" s="11">
        <v>515.53</v>
      </c>
      <c r="F46" s="11" t="s">
        <v>429</v>
      </c>
      <c r="G46" s="7" t="s">
        <v>813</v>
      </c>
      <c r="H46" s="10">
        <v>2</v>
      </c>
      <c r="I46" s="9"/>
      <c r="J46" s="7" t="s">
        <v>17</v>
      </c>
      <c r="K46" s="7" t="s">
        <v>21</v>
      </c>
      <c r="L46" s="7"/>
      <c r="M46" s="7" t="str">
        <f>IF(C46="Caixa","-",VLOOKUP(J46,[1]Estrutura!C:E,3,FALSE))</f>
        <v>4.4</v>
      </c>
      <c r="N46" s="7"/>
      <c r="O46" s="7">
        <f t="shared" si="0"/>
        <v>1</v>
      </c>
      <c r="P46" s="7">
        <f t="shared" si="1"/>
        <v>6</v>
      </c>
      <c r="Q46" s="7">
        <f t="shared" si="2"/>
        <v>2026</v>
      </c>
      <c r="R46" s="6">
        <f t="shared" si="3"/>
        <v>-515.53</v>
      </c>
      <c r="S46" s="12">
        <v>46156</v>
      </c>
    </row>
    <row r="47" spans="1:19">
      <c r="A47" s="16">
        <v>46174</v>
      </c>
      <c r="B47" s="7" t="s">
        <v>26</v>
      </c>
      <c r="C47" s="7" t="s">
        <v>25</v>
      </c>
      <c r="D47" s="11"/>
      <c r="E47" s="11">
        <v>5000</v>
      </c>
      <c r="F47" s="11" t="s">
        <v>109</v>
      </c>
      <c r="G47" s="7" t="s">
        <v>307</v>
      </c>
      <c r="H47" s="10">
        <v>10020</v>
      </c>
      <c r="I47" s="9"/>
      <c r="J47" s="7" t="s">
        <v>17</v>
      </c>
      <c r="K47" s="7" t="s">
        <v>21</v>
      </c>
      <c r="L47" s="8"/>
      <c r="M47" s="8" t="str">
        <f>IF(C47="Caixa","-",VLOOKUP(J47,[1]Estrutura!C:E,3,FALSE))</f>
        <v>4.4</v>
      </c>
      <c r="N47" s="8"/>
      <c r="O47" s="7">
        <f t="shared" si="0"/>
        <v>1</v>
      </c>
      <c r="P47" s="7">
        <f t="shared" si="1"/>
        <v>6</v>
      </c>
      <c r="Q47" s="7">
        <f t="shared" si="2"/>
        <v>2026</v>
      </c>
      <c r="R47" s="6">
        <f t="shared" si="3"/>
        <v>-5000</v>
      </c>
      <c r="S47" s="16">
        <v>46156</v>
      </c>
    </row>
    <row r="48" spans="1:19">
      <c r="A48" s="16">
        <v>46174</v>
      </c>
      <c r="B48" s="7" t="s">
        <v>7</v>
      </c>
      <c r="C48" s="7" t="s">
        <v>9</v>
      </c>
      <c r="D48" s="15">
        <v>2564.42</v>
      </c>
      <c r="E48" s="15"/>
      <c r="F48" s="15"/>
      <c r="G48" s="8" t="s">
        <v>11</v>
      </c>
      <c r="H48" s="8"/>
      <c r="I48" s="17"/>
      <c r="J48" s="8" t="s">
        <v>10</v>
      </c>
      <c r="K48" s="8"/>
      <c r="L48" s="7"/>
      <c r="M48" s="7" t="str">
        <f>IF(C48="Caixa","-",VLOOKUP(J48,[1]Estrutura!C:E,3,FALSE))</f>
        <v>1.1</v>
      </c>
      <c r="N48" s="7"/>
      <c r="O48" s="7">
        <f t="shared" si="0"/>
        <v>1</v>
      </c>
      <c r="P48" s="7">
        <f t="shared" si="1"/>
        <v>6</v>
      </c>
      <c r="Q48" s="7">
        <f t="shared" si="2"/>
        <v>2026</v>
      </c>
      <c r="R48" s="6">
        <f t="shared" si="3"/>
        <v>2564.42</v>
      </c>
      <c r="S48" s="12">
        <v>46157</v>
      </c>
    </row>
    <row r="49" spans="1:19">
      <c r="A49" s="16">
        <v>46174</v>
      </c>
      <c r="B49" s="7" t="s">
        <v>14</v>
      </c>
      <c r="C49" s="7" t="s">
        <v>9</v>
      </c>
      <c r="D49" s="11"/>
      <c r="E49" s="11">
        <v>2874</v>
      </c>
      <c r="F49" s="15" t="s">
        <v>146</v>
      </c>
      <c r="G49" s="7" t="s">
        <v>147</v>
      </c>
      <c r="H49" s="7"/>
      <c r="I49" s="30"/>
      <c r="J49" s="7" t="s">
        <v>144</v>
      </c>
      <c r="K49" s="7"/>
      <c r="L49" s="8"/>
      <c r="M49" s="8" t="str">
        <f>IF(C49="Caixa","-",VLOOKUP(J49,[1]Estrutura!C:E,3,FALSE))</f>
        <v>4.2</v>
      </c>
      <c r="N49" s="8"/>
      <c r="O49" s="7">
        <f t="shared" si="0"/>
        <v>1</v>
      </c>
      <c r="P49" s="7">
        <f t="shared" si="1"/>
        <v>6</v>
      </c>
      <c r="Q49" s="7">
        <f t="shared" si="2"/>
        <v>2026</v>
      </c>
      <c r="R49" s="6">
        <f t="shared" si="3"/>
        <v>-2874</v>
      </c>
      <c r="S49" s="16">
        <v>46157</v>
      </c>
    </row>
    <row r="50" spans="1:19">
      <c r="A50" s="16">
        <v>46174</v>
      </c>
      <c r="B50" s="8" t="s">
        <v>14</v>
      </c>
      <c r="C50" s="8" t="s">
        <v>9</v>
      </c>
      <c r="D50" s="15"/>
      <c r="E50" s="15">
        <v>2874</v>
      </c>
      <c r="F50" s="15" t="s">
        <v>146</v>
      </c>
      <c r="G50" s="8" t="s">
        <v>145</v>
      </c>
      <c r="H50" s="8"/>
      <c r="I50" s="17"/>
      <c r="J50" s="8" t="s">
        <v>144</v>
      </c>
      <c r="K50" s="8"/>
      <c r="L50" s="7"/>
      <c r="M50" s="7" t="str">
        <f>IF(C50="Caixa","-",VLOOKUP(J50,[1]Estrutura!C:E,3,FALSE))</f>
        <v>4.2</v>
      </c>
      <c r="N50" s="7"/>
      <c r="O50" s="7">
        <f t="shared" si="0"/>
        <v>1</v>
      </c>
      <c r="P50" s="7">
        <f t="shared" si="1"/>
        <v>6</v>
      </c>
      <c r="Q50" s="7">
        <f t="shared" si="2"/>
        <v>2026</v>
      </c>
      <c r="R50" s="6">
        <f t="shared" si="3"/>
        <v>-2874</v>
      </c>
      <c r="S50" s="16">
        <v>46157</v>
      </c>
    </row>
    <row r="51" spans="1:19">
      <c r="A51" s="16">
        <v>46174</v>
      </c>
      <c r="B51" s="7" t="s">
        <v>26</v>
      </c>
      <c r="C51" s="7" t="s">
        <v>6</v>
      </c>
      <c r="D51" s="11"/>
      <c r="E51" s="11">
        <v>2000</v>
      </c>
      <c r="F51" s="7" t="s">
        <v>136</v>
      </c>
      <c r="G51" s="11" t="s">
        <v>137</v>
      </c>
      <c r="H51" s="10"/>
      <c r="I51" s="9"/>
      <c r="J51" s="7" t="s">
        <v>56</v>
      </c>
      <c r="K51" s="7" t="s">
        <v>136</v>
      </c>
      <c r="L51" s="8"/>
      <c r="M51" s="8" t="str">
        <f>IF(C51="Caixa","-",VLOOKUP(J51,[1]Estrutura!C:E,3,FALSE))</f>
        <v>6.1</v>
      </c>
      <c r="N51" s="8"/>
      <c r="O51" s="7">
        <f t="shared" si="0"/>
        <v>1</v>
      </c>
      <c r="P51" s="7">
        <f t="shared" si="1"/>
        <v>6</v>
      </c>
      <c r="Q51" s="7">
        <f t="shared" si="2"/>
        <v>2026</v>
      </c>
      <c r="R51" s="6">
        <f t="shared" si="3"/>
        <v>-2000</v>
      </c>
      <c r="S51" s="12">
        <v>46157</v>
      </c>
    </row>
    <row r="52" spans="1:19">
      <c r="A52" s="16">
        <v>46174</v>
      </c>
      <c r="B52" s="7" t="s">
        <v>26</v>
      </c>
      <c r="C52" s="7" t="s">
        <v>6</v>
      </c>
      <c r="D52" s="11"/>
      <c r="E52" s="11">
        <v>800</v>
      </c>
      <c r="F52" s="11" t="s">
        <v>702</v>
      </c>
      <c r="G52" s="7" t="s">
        <v>812</v>
      </c>
      <c r="H52" s="10"/>
      <c r="I52" s="9"/>
      <c r="J52" s="7" t="s">
        <v>17</v>
      </c>
      <c r="K52" s="7" t="s">
        <v>21</v>
      </c>
      <c r="L52" s="7"/>
      <c r="M52" s="7" t="str">
        <f>IF(C52="Caixa","-",VLOOKUP(J52,[1]Estrutura!C:E,3,FALSE))</f>
        <v>4.4</v>
      </c>
      <c r="N52" s="7"/>
      <c r="O52" s="7">
        <f t="shared" si="0"/>
        <v>1</v>
      </c>
      <c r="P52" s="7">
        <f t="shared" si="1"/>
        <v>6</v>
      </c>
      <c r="Q52" s="7">
        <f t="shared" si="2"/>
        <v>2026</v>
      </c>
      <c r="R52" s="6">
        <f t="shared" si="3"/>
        <v>-800</v>
      </c>
      <c r="S52" s="16">
        <v>46157</v>
      </c>
    </row>
    <row r="53" spans="1:19">
      <c r="A53" s="16">
        <v>46174</v>
      </c>
      <c r="B53" s="7" t="s">
        <v>7</v>
      </c>
      <c r="C53" s="7" t="s">
        <v>9</v>
      </c>
      <c r="D53" s="15">
        <v>11528.85</v>
      </c>
      <c r="E53" s="15"/>
      <c r="F53" s="15"/>
      <c r="G53" s="8" t="s">
        <v>11</v>
      </c>
      <c r="H53" s="8"/>
      <c r="I53" s="17"/>
      <c r="J53" s="8" t="s">
        <v>10</v>
      </c>
      <c r="K53" s="8"/>
      <c r="L53" s="8"/>
      <c r="M53" s="8" t="str">
        <f>IF(C53="Caixa","-",VLOOKUP(J53,[1]Estrutura!C:E,3,FALSE))</f>
        <v>1.1</v>
      </c>
      <c r="N53" s="8"/>
      <c r="O53" s="7">
        <f t="shared" si="0"/>
        <v>1</v>
      </c>
      <c r="P53" s="7">
        <f t="shared" si="1"/>
        <v>6</v>
      </c>
      <c r="Q53" s="7">
        <f t="shared" si="2"/>
        <v>2026</v>
      </c>
      <c r="R53" s="6">
        <f t="shared" si="3"/>
        <v>11528.85</v>
      </c>
      <c r="S53" s="47">
        <v>46158</v>
      </c>
    </row>
    <row r="54" spans="1:19">
      <c r="A54" s="16">
        <v>46174</v>
      </c>
      <c r="B54" s="8" t="s">
        <v>7</v>
      </c>
      <c r="C54" s="24" t="s">
        <v>9</v>
      </c>
      <c r="D54" s="15"/>
      <c r="E54" s="15">
        <v>24289.47</v>
      </c>
      <c r="F54" s="15" t="s">
        <v>773</v>
      </c>
      <c r="G54" s="24" t="s">
        <v>772</v>
      </c>
      <c r="H54" s="14"/>
      <c r="I54" s="25"/>
      <c r="J54" s="8" t="s">
        <v>771</v>
      </c>
      <c r="K54" s="24"/>
      <c r="L54" s="7"/>
      <c r="M54" s="7" t="str">
        <f>IF(C54="Caixa","-",VLOOKUP(J54,[1]Estrutura!C:E,3,FALSE))</f>
        <v>1.9</v>
      </c>
      <c r="N54" s="7"/>
      <c r="O54" s="7">
        <f t="shared" si="0"/>
        <v>1</v>
      </c>
      <c r="P54" s="7">
        <f t="shared" si="1"/>
        <v>6</v>
      </c>
      <c r="Q54" s="7">
        <f t="shared" si="2"/>
        <v>2026</v>
      </c>
      <c r="R54" s="6">
        <f t="shared" si="3"/>
        <v>-24289.47</v>
      </c>
      <c r="S54" s="50">
        <v>46158</v>
      </c>
    </row>
    <row r="55" spans="1:19">
      <c r="A55" s="16">
        <v>46174</v>
      </c>
      <c r="B55" s="8" t="s">
        <v>14</v>
      </c>
      <c r="C55" s="7" t="s">
        <v>9</v>
      </c>
      <c r="D55" s="15">
        <v>2783.2</v>
      </c>
      <c r="E55" s="15"/>
      <c r="F55" s="15"/>
      <c r="G55" s="8" t="s">
        <v>11</v>
      </c>
      <c r="H55" s="8"/>
      <c r="I55" s="17"/>
      <c r="J55" s="8" t="s">
        <v>10</v>
      </c>
      <c r="K55" s="8"/>
      <c r="L55" s="8"/>
      <c r="M55" s="8" t="str">
        <f>IF(C55="Caixa","-",VLOOKUP(J55,[1]Estrutura!C:E,3,FALSE))</f>
        <v>1.1</v>
      </c>
      <c r="N55" s="8"/>
      <c r="O55" s="7">
        <f t="shared" si="0"/>
        <v>1</v>
      </c>
      <c r="P55" s="7">
        <f t="shared" si="1"/>
        <v>6</v>
      </c>
      <c r="Q55" s="7">
        <f t="shared" si="2"/>
        <v>2026</v>
      </c>
      <c r="R55" s="6">
        <f t="shared" si="3"/>
        <v>2783.2</v>
      </c>
      <c r="S55" s="47">
        <v>46158</v>
      </c>
    </row>
    <row r="56" spans="1:19">
      <c r="A56" s="16">
        <v>46174</v>
      </c>
      <c r="B56" s="7" t="s">
        <v>14</v>
      </c>
      <c r="C56" s="7" t="s">
        <v>9</v>
      </c>
      <c r="D56" s="11"/>
      <c r="E56" s="11">
        <v>700.74</v>
      </c>
      <c r="F56" s="11" t="s">
        <v>24</v>
      </c>
      <c r="G56" s="7" t="s">
        <v>126</v>
      </c>
      <c r="H56" s="10"/>
      <c r="I56" s="9"/>
      <c r="J56" s="7" t="s">
        <v>77</v>
      </c>
      <c r="K56" s="7"/>
      <c r="L56" s="7"/>
      <c r="M56" s="7" t="str">
        <f>IF(C56="Caixa","-",VLOOKUP(J56,[1]Estrutura!C:E,3,FALSE))</f>
        <v>4.3</v>
      </c>
      <c r="N56" s="7"/>
      <c r="O56" s="7">
        <f t="shared" si="0"/>
        <v>1</v>
      </c>
      <c r="P56" s="7">
        <f t="shared" si="1"/>
        <v>6</v>
      </c>
      <c r="Q56" s="7">
        <f t="shared" si="2"/>
        <v>2026</v>
      </c>
      <c r="R56" s="6">
        <f t="shared" si="3"/>
        <v>-700.74</v>
      </c>
      <c r="S56" s="16">
        <v>46159</v>
      </c>
    </row>
    <row r="57" spans="1:19">
      <c r="A57" s="16">
        <v>46174</v>
      </c>
      <c r="B57" s="7" t="s">
        <v>7</v>
      </c>
      <c r="C57" s="7" t="s">
        <v>9</v>
      </c>
      <c r="D57" s="15">
        <v>5066.75</v>
      </c>
      <c r="E57" s="15"/>
      <c r="F57" s="15"/>
      <c r="G57" s="8" t="s">
        <v>11</v>
      </c>
      <c r="H57" s="8"/>
      <c r="I57" s="17"/>
      <c r="J57" s="8" t="s">
        <v>10</v>
      </c>
      <c r="K57" s="8"/>
      <c r="L57" s="8"/>
      <c r="M57" s="8" t="str">
        <f>IF(C57="Caixa","-",VLOOKUP(J57,[1]Estrutura!C:E,3,FALSE))</f>
        <v>1.1</v>
      </c>
      <c r="N57" s="8"/>
      <c r="O57" s="7">
        <f t="shared" si="0"/>
        <v>1</v>
      </c>
      <c r="P57" s="7">
        <f t="shared" si="1"/>
        <v>6</v>
      </c>
      <c r="Q57" s="7">
        <f t="shared" si="2"/>
        <v>2026</v>
      </c>
      <c r="R57" s="6">
        <f t="shared" si="3"/>
        <v>5066.75</v>
      </c>
      <c r="S57" s="66">
        <v>46160</v>
      </c>
    </row>
    <row r="58" spans="1:19">
      <c r="A58" s="16">
        <v>46174</v>
      </c>
      <c r="B58" s="8" t="s">
        <v>14</v>
      </c>
      <c r="C58" s="7" t="s">
        <v>9</v>
      </c>
      <c r="D58" s="15">
        <v>1240.02</v>
      </c>
      <c r="E58" s="15"/>
      <c r="F58" s="15"/>
      <c r="G58" s="8" t="s">
        <v>11</v>
      </c>
      <c r="H58" s="8"/>
      <c r="I58" s="17"/>
      <c r="J58" s="8" t="s">
        <v>10</v>
      </c>
      <c r="K58" s="8"/>
      <c r="L58" s="7"/>
      <c r="M58" s="7" t="str">
        <f>IF(C58="Caixa","-",VLOOKUP(J58,[1]Estrutura!C:E,3,FALSE))</f>
        <v>1.1</v>
      </c>
      <c r="N58" s="7"/>
      <c r="O58" s="7">
        <f t="shared" si="0"/>
        <v>1</v>
      </c>
      <c r="P58" s="7">
        <f t="shared" si="1"/>
        <v>6</v>
      </c>
      <c r="Q58" s="7">
        <f t="shared" si="2"/>
        <v>2026</v>
      </c>
      <c r="R58" s="6">
        <f t="shared" si="3"/>
        <v>1240.02</v>
      </c>
      <c r="S58" s="47">
        <v>46161</v>
      </c>
    </row>
    <row r="59" spans="1:19">
      <c r="A59" s="16">
        <v>46174</v>
      </c>
      <c r="B59" s="7" t="s">
        <v>7</v>
      </c>
      <c r="C59" s="7" t="s">
        <v>9</v>
      </c>
      <c r="D59" s="15">
        <v>4132.76</v>
      </c>
      <c r="E59" s="15"/>
      <c r="F59" s="15"/>
      <c r="G59" s="8" t="s">
        <v>11</v>
      </c>
      <c r="H59" s="8"/>
      <c r="I59" s="17"/>
      <c r="J59" s="8" t="s">
        <v>10</v>
      </c>
      <c r="K59" s="8"/>
      <c r="L59" s="8"/>
      <c r="M59" s="8" t="str">
        <f>IF(C59="Caixa","-",VLOOKUP(J59,[1]Estrutura!C:E,3,FALSE))</f>
        <v>1.1</v>
      </c>
      <c r="N59" s="8"/>
      <c r="O59" s="7">
        <f t="shared" si="0"/>
        <v>1</v>
      </c>
      <c r="P59" s="7">
        <f t="shared" si="1"/>
        <v>6</v>
      </c>
      <c r="Q59" s="7">
        <f t="shared" si="2"/>
        <v>2026</v>
      </c>
      <c r="R59" s="6">
        <f t="shared" si="3"/>
        <v>4132.76</v>
      </c>
      <c r="S59" s="47">
        <v>46161</v>
      </c>
    </row>
    <row r="60" spans="1:19">
      <c r="A60" s="16">
        <v>46174</v>
      </c>
      <c r="B60" s="8" t="s">
        <v>14</v>
      </c>
      <c r="C60" s="7" t="s">
        <v>9</v>
      </c>
      <c r="D60" s="15">
        <v>2112.06</v>
      </c>
      <c r="E60" s="15"/>
      <c r="F60" s="15"/>
      <c r="G60" s="8" t="s">
        <v>11</v>
      </c>
      <c r="H60" s="8"/>
      <c r="I60" s="17"/>
      <c r="J60" s="8" t="s">
        <v>10</v>
      </c>
      <c r="K60" s="8"/>
      <c r="L60" s="7"/>
      <c r="M60" s="7" t="str">
        <f>IF(C60="Caixa","-",VLOOKUP(J60,[1]Estrutura!C:E,3,FALSE))</f>
        <v>1.1</v>
      </c>
      <c r="N60" s="7"/>
      <c r="O60" s="7">
        <f t="shared" si="0"/>
        <v>1</v>
      </c>
      <c r="P60" s="7">
        <f t="shared" si="1"/>
        <v>6</v>
      </c>
      <c r="Q60" s="7">
        <f t="shared" si="2"/>
        <v>2026</v>
      </c>
      <c r="R60" s="6">
        <f t="shared" si="3"/>
        <v>2112.06</v>
      </c>
      <c r="S60" s="50">
        <v>46161</v>
      </c>
    </row>
    <row r="61" spans="1:19">
      <c r="A61" s="16">
        <v>46174</v>
      </c>
      <c r="B61" s="8" t="s">
        <v>14</v>
      </c>
      <c r="C61" s="8" t="s">
        <v>9</v>
      </c>
      <c r="D61" s="15"/>
      <c r="E61" s="15">
        <v>362.72</v>
      </c>
      <c r="F61" s="15" t="s">
        <v>118</v>
      </c>
      <c r="G61" s="43" t="s">
        <v>117</v>
      </c>
      <c r="H61" s="45"/>
      <c r="I61" s="44"/>
      <c r="J61" s="21" t="s">
        <v>210</v>
      </c>
      <c r="K61" s="8"/>
      <c r="L61" s="8"/>
      <c r="M61" s="8" t="str">
        <f>IF(C61="Caixa","-",VLOOKUP(J61,[1]Estrutura!C:E,3,FALSE))</f>
        <v>4.12</v>
      </c>
      <c r="N61" s="8"/>
      <c r="O61" s="7">
        <f t="shared" si="0"/>
        <v>1</v>
      </c>
      <c r="P61" s="7">
        <f t="shared" si="1"/>
        <v>6</v>
      </c>
      <c r="Q61" s="7">
        <f t="shared" si="2"/>
        <v>2026</v>
      </c>
      <c r="R61" s="6">
        <f t="shared" si="3"/>
        <v>-362.72</v>
      </c>
      <c r="S61" s="47">
        <v>46161</v>
      </c>
    </row>
    <row r="62" spans="1:19">
      <c r="A62" s="16">
        <v>46174</v>
      </c>
      <c r="B62" s="7" t="s">
        <v>14</v>
      </c>
      <c r="C62" s="7" t="s">
        <v>9</v>
      </c>
      <c r="D62" s="11"/>
      <c r="E62" s="11">
        <v>132.30000000000001</v>
      </c>
      <c r="F62" s="11" t="s">
        <v>125</v>
      </c>
      <c r="G62" s="11" t="s">
        <v>441</v>
      </c>
      <c r="H62" s="10"/>
      <c r="I62" s="9"/>
      <c r="J62" s="8" t="s">
        <v>99</v>
      </c>
      <c r="K62" s="7"/>
      <c r="L62" s="7"/>
      <c r="M62" s="7" t="str">
        <f>IF(C62="Caixa","-",VLOOKUP(J62,[1]Estrutura!C:E,3,FALSE))</f>
        <v>4.3</v>
      </c>
      <c r="N62" s="7"/>
      <c r="O62" s="7">
        <f t="shared" si="0"/>
        <v>1</v>
      </c>
      <c r="P62" s="7">
        <f t="shared" si="1"/>
        <v>6</v>
      </c>
      <c r="Q62" s="7">
        <f t="shared" si="2"/>
        <v>2026</v>
      </c>
      <c r="R62" s="6">
        <f t="shared" si="3"/>
        <v>-132.30000000000001</v>
      </c>
      <c r="S62" s="50">
        <v>46161</v>
      </c>
    </row>
    <row r="63" spans="1:19">
      <c r="A63" s="16">
        <v>46174</v>
      </c>
      <c r="B63" s="8" t="s">
        <v>14</v>
      </c>
      <c r="C63" s="8" t="s">
        <v>9</v>
      </c>
      <c r="D63" s="15"/>
      <c r="E63" s="15">
        <v>1352.76</v>
      </c>
      <c r="F63" s="15" t="s">
        <v>178</v>
      </c>
      <c r="G63" s="8" t="s">
        <v>811</v>
      </c>
      <c r="H63" s="14"/>
      <c r="I63" s="13"/>
      <c r="J63" s="8" t="s">
        <v>178</v>
      </c>
      <c r="K63" s="8"/>
      <c r="L63" s="8"/>
      <c r="M63" s="8" t="str">
        <f>IF(C63="Caixa","-",VLOOKUP(J63,[1]Estrutura!C:E,3,FALSE))</f>
        <v>4.1</v>
      </c>
      <c r="N63" s="8"/>
      <c r="O63" s="7">
        <f t="shared" si="0"/>
        <v>1</v>
      </c>
      <c r="P63" s="7">
        <f t="shared" si="1"/>
        <v>6</v>
      </c>
      <c r="Q63" s="7">
        <f t="shared" si="2"/>
        <v>2026</v>
      </c>
      <c r="R63" s="6">
        <f t="shared" si="3"/>
        <v>-1352.76</v>
      </c>
      <c r="S63" s="50">
        <v>46161</v>
      </c>
    </row>
    <row r="64" spans="1:19">
      <c r="A64" s="16">
        <v>46174</v>
      </c>
      <c r="B64" s="7" t="s">
        <v>14</v>
      </c>
      <c r="C64" s="7" t="s">
        <v>9</v>
      </c>
      <c r="D64" s="11"/>
      <c r="E64" s="11">
        <v>1220.45</v>
      </c>
      <c r="F64" s="11" t="s">
        <v>178</v>
      </c>
      <c r="G64" s="7" t="s">
        <v>811</v>
      </c>
      <c r="H64" s="10"/>
      <c r="I64" s="9"/>
      <c r="J64" s="7" t="s">
        <v>178</v>
      </c>
      <c r="K64" s="7"/>
      <c r="L64" s="7"/>
      <c r="M64" s="7" t="str">
        <f>IF(C64="Caixa","-",VLOOKUP(J64,[1]Estrutura!C:E,3,FALSE))</f>
        <v>4.1</v>
      </c>
      <c r="N64" s="7"/>
      <c r="O64" s="7">
        <f t="shared" si="0"/>
        <v>1</v>
      </c>
      <c r="P64" s="7">
        <f t="shared" si="1"/>
        <v>6</v>
      </c>
      <c r="Q64" s="7">
        <f t="shared" si="2"/>
        <v>2026</v>
      </c>
      <c r="R64" s="6">
        <f t="shared" si="3"/>
        <v>-1220.45</v>
      </c>
      <c r="S64" s="47">
        <v>46161</v>
      </c>
    </row>
    <row r="65" spans="1:19">
      <c r="A65" s="16">
        <v>46174</v>
      </c>
      <c r="B65" s="7" t="s">
        <v>14</v>
      </c>
      <c r="C65" s="7" t="s">
        <v>9</v>
      </c>
      <c r="D65" s="11"/>
      <c r="E65" s="42">
        <v>219.44</v>
      </c>
      <c r="F65" s="11" t="s">
        <v>347</v>
      </c>
      <c r="G65" s="7" t="s">
        <v>810</v>
      </c>
      <c r="H65" s="10"/>
      <c r="I65" s="9"/>
      <c r="J65" s="7" t="s">
        <v>250</v>
      </c>
      <c r="K65" s="7"/>
      <c r="L65" s="8"/>
      <c r="M65" s="8" t="str">
        <f>IF(C65="Caixa","-",VLOOKUP(J65,[1]Estrutura!C:E,3,FALSE))</f>
        <v>4.9</v>
      </c>
      <c r="N65" s="8"/>
      <c r="O65" s="7">
        <f t="shared" si="0"/>
        <v>1</v>
      </c>
      <c r="P65" s="7">
        <f t="shared" si="1"/>
        <v>6</v>
      </c>
      <c r="Q65" s="7">
        <f t="shared" si="2"/>
        <v>2026</v>
      </c>
      <c r="R65" s="6">
        <f t="shared" si="3"/>
        <v>-219.44</v>
      </c>
      <c r="S65" s="50">
        <v>46161</v>
      </c>
    </row>
    <row r="66" spans="1:19">
      <c r="A66" s="16">
        <v>46174</v>
      </c>
      <c r="B66" s="8" t="s">
        <v>14</v>
      </c>
      <c r="C66" s="8" t="s">
        <v>9</v>
      </c>
      <c r="D66" s="15"/>
      <c r="E66" s="15">
        <v>1870.32</v>
      </c>
      <c r="F66" s="15" t="s">
        <v>652</v>
      </c>
      <c r="G66" s="15" t="s">
        <v>809</v>
      </c>
      <c r="H66" s="8"/>
      <c r="I66" s="14"/>
      <c r="J66" s="8" t="s">
        <v>269</v>
      </c>
      <c r="K66" s="8"/>
      <c r="L66" s="7"/>
      <c r="M66" s="7" t="str">
        <f>IF(C66="Caixa","-",VLOOKUP(J66,[1]Estrutura!C:E,3,FALSE))</f>
        <v>4.7</v>
      </c>
      <c r="N66" s="7"/>
      <c r="O66" s="7">
        <f t="shared" si="0"/>
        <v>1</v>
      </c>
      <c r="P66" s="7">
        <f t="shared" si="1"/>
        <v>6</v>
      </c>
      <c r="Q66" s="7">
        <f t="shared" si="2"/>
        <v>2026</v>
      </c>
      <c r="R66" s="6">
        <f t="shared" si="3"/>
        <v>-1870.32</v>
      </c>
      <c r="S66" s="12">
        <v>46161</v>
      </c>
    </row>
    <row r="67" spans="1:19">
      <c r="A67" s="16">
        <v>46174</v>
      </c>
      <c r="B67" s="7" t="s">
        <v>26</v>
      </c>
      <c r="C67" s="7" t="s">
        <v>6</v>
      </c>
      <c r="D67" s="11"/>
      <c r="E67" s="11">
        <v>27.13</v>
      </c>
      <c r="F67" s="11" t="s">
        <v>125</v>
      </c>
      <c r="G67" s="7" t="s">
        <v>808</v>
      </c>
      <c r="H67" s="10"/>
      <c r="I67" s="9"/>
      <c r="J67" s="8" t="s">
        <v>99</v>
      </c>
      <c r="K67" s="7" t="s">
        <v>21</v>
      </c>
      <c r="L67" s="8"/>
      <c r="M67" s="8" t="str">
        <f>IF(C67="Caixa","-",VLOOKUP(J67,[1]Estrutura!C:E,3,FALSE))</f>
        <v>4.3</v>
      </c>
      <c r="N67" s="8"/>
      <c r="O67" s="7">
        <f t="shared" si="0"/>
        <v>1</v>
      </c>
      <c r="P67" s="7">
        <f t="shared" si="1"/>
        <v>6</v>
      </c>
      <c r="Q67" s="7">
        <f t="shared" si="2"/>
        <v>2026</v>
      </c>
      <c r="R67" s="6">
        <f t="shared" si="3"/>
        <v>-27.13</v>
      </c>
      <c r="S67" s="16">
        <v>46161</v>
      </c>
    </row>
    <row r="68" spans="1:19">
      <c r="A68" s="16">
        <v>46174</v>
      </c>
      <c r="B68" s="7" t="s">
        <v>26</v>
      </c>
      <c r="C68" s="7" t="s">
        <v>6</v>
      </c>
      <c r="D68" s="11"/>
      <c r="E68" s="11">
        <v>2407.4</v>
      </c>
      <c r="F68" s="11" t="s">
        <v>404</v>
      </c>
      <c r="G68" s="7" t="s">
        <v>807</v>
      </c>
      <c r="H68" s="10"/>
      <c r="I68" s="9"/>
      <c r="J68" s="7" t="s">
        <v>17</v>
      </c>
      <c r="K68" s="7" t="s">
        <v>40</v>
      </c>
      <c r="L68" s="7"/>
      <c r="M68" s="7" t="str">
        <f>IF(C68="Caixa","-",VLOOKUP(J68,[1]Estrutura!C:E,3,FALSE))</f>
        <v>4.4</v>
      </c>
      <c r="N68" s="7"/>
      <c r="O68" s="7">
        <f t="shared" si="0"/>
        <v>1</v>
      </c>
      <c r="P68" s="7">
        <f t="shared" si="1"/>
        <v>6</v>
      </c>
      <c r="Q68" s="7">
        <f t="shared" si="2"/>
        <v>2026</v>
      </c>
      <c r="R68" s="6">
        <f t="shared" si="3"/>
        <v>-2407.4</v>
      </c>
      <c r="S68" s="12">
        <v>46161</v>
      </c>
    </row>
    <row r="69" spans="1:19">
      <c r="A69" s="16">
        <v>46174</v>
      </c>
      <c r="B69" s="8" t="s">
        <v>26</v>
      </c>
      <c r="C69" s="8" t="s">
        <v>6</v>
      </c>
      <c r="D69" s="15"/>
      <c r="E69" s="15">
        <v>4.22</v>
      </c>
      <c r="F69" s="15" t="s">
        <v>132</v>
      </c>
      <c r="G69" s="8" t="s">
        <v>806</v>
      </c>
      <c r="H69" s="14"/>
      <c r="I69" s="13"/>
      <c r="J69" s="8" t="s">
        <v>17</v>
      </c>
      <c r="K69" s="8" t="s">
        <v>34</v>
      </c>
      <c r="L69" s="8"/>
      <c r="M69" s="8" t="str">
        <f>IF(C69="Caixa","-",VLOOKUP(J69,[1]Estrutura!C:E,3,FALSE))</f>
        <v>4.4</v>
      </c>
      <c r="N69" s="8"/>
      <c r="O69" s="7">
        <f t="shared" si="0"/>
        <v>1</v>
      </c>
      <c r="P69" s="7">
        <f t="shared" si="1"/>
        <v>6</v>
      </c>
      <c r="Q69" s="7">
        <f t="shared" si="2"/>
        <v>2026</v>
      </c>
      <c r="R69" s="6">
        <f t="shared" si="3"/>
        <v>-4.22</v>
      </c>
      <c r="S69" s="16">
        <v>46161</v>
      </c>
    </row>
    <row r="70" spans="1:19">
      <c r="A70" s="16">
        <v>46174</v>
      </c>
      <c r="B70" s="7" t="s">
        <v>26</v>
      </c>
      <c r="C70" s="7" t="s">
        <v>6</v>
      </c>
      <c r="D70" s="11"/>
      <c r="E70" s="11">
        <v>39.130000000000003</v>
      </c>
      <c r="F70" s="11" t="s">
        <v>294</v>
      </c>
      <c r="G70" s="7" t="s">
        <v>805</v>
      </c>
      <c r="H70" s="10"/>
      <c r="I70" s="9"/>
      <c r="J70" s="7" t="s">
        <v>17</v>
      </c>
      <c r="K70" s="7" t="s">
        <v>21</v>
      </c>
      <c r="L70" s="7"/>
      <c r="M70" s="7" t="str">
        <f>IF(C70="Caixa","-",VLOOKUP(J70,[1]Estrutura!C:E,3,FALSE))</f>
        <v>4.4</v>
      </c>
      <c r="N70" s="7"/>
      <c r="O70" s="7">
        <f t="shared" si="0"/>
        <v>1</v>
      </c>
      <c r="P70" s="7">
        <f t="shared" si="1"/>
        <v>6</v>
      </c>
      <c r="Q70" s="7">
        <f t="shared" si="2"/>
        <v>2026</v>
      </c>
      <c r="R70" s="6">
        <f t="shared" si="3"/>
        <v>-39.130000000000003</v>
      </c>
      <c r="S70" s="12">
        <v>46161</v>
      </c>
    </row>
    <row r="71" spans="1:19">
      <c r="A71" s="16">
        <v>46174</v>
      </c>
      <c r="B71" s="8" t="s">
        <v>26</v>
      </c>
      <c r="C71" s="8" t="s">
        <v>6</v>
      </c>
      <c r="D71" s="15"/>
      <c r="E71" s="15">
        <v>19.95</v>
      </c>
      <c r="F71" s="15" t="s">
        <v>294</v>
      </c>
      <c r="G71" s="8" t="s">
        <v>805</v>
      </c>
      <c r="H71" s="14"/>
      <c r="I71" s="13"/>
      <c r="J71" s="8" t="s">
        <v>17</v>
      </c>
      <c r="K71" s="8" t="s">
        <v>21</v>
      </c>
      <c r="L71" s="8"/>
      <c r="M71" s="8" t="str">
        <f>IF(C71="Caixa","-",VLOOKUP(J71,[1]Estrutura!C:E,3,FALSE))</f>
        <v>4.4</v>
      </c>
      <c r="N71" s="8"/>
      <c r="O71" s="7">
        <f t="shared" si="0"/>
        <v>1</v>
      </c>
      <c r="P71" s="7">
        <f t="shared" si="1"/>
        <v>6</v>
      </c>
      <c r="Q71" s="7">
        <f t="shared" si="2"/>
        <v>2026</v>
      </c>
      <c r="R71" s="6">
        <f t="shared" si="3"/>
        <v>-19.95</v>
      </c>
      <c r="S71" s="16">
        <v>46161</v>
      </c>
    </row>
    <row r="72" spans="1:19">
      <c r="A72" s="16">
        <v>46174</v>
      </c>
      <c r="B72" s="7" t="s">
        <v>26</v>
      </c>
      <c r="C72" s="7" t="s">
        <v>6</v>
      </c>
      <c r="D72" s="11"/>
      <c r="E72" s="11">
        <v>669.02</v>
      </c>
      <c r="F72" s="15" t="s">
        <v>32</v>
      </c>
      <c r="G72" s="7" t="s">
        <v>804</v>
      </c>
      <c r="H72" s="10"/>
      <c r="I72" s="9"/>
      <c r="J72" s="7" t="s">
        <v>95</v>
      </c>
      <c r="K72" s="7" t="s">
        <v>21</v>
      </c>
      <c r="L72" s="7"/>
      <c r="M72" s="7" t="str">
        <f>IF(C72="Caixa","-",VLOOKUP(J72,[1]Estrutura!C:E,3,FALSE))</f>
        <v>4.1</v>
      </c>
      <c r="N72" s="7"/>
      <c r="O72" s="7">
        <f t="shared" si="0"/>
        <v>1</v>
      </c>
      <c r="P72" s="7">
        <f t="shared" si="1"/>
        <v>6</v>
      </c>
      <c r="Q72" s="7">
        <f t="shared" si="2"/>
        <v>2026</v>
      </c>
      <c r="R72" s="6">
        <f t="shared" si="3"/>
        <v>-669.02</v>
      </c>
      <c r="S72" s="50">
        <v>46161</v>
      </c>
    </row>
    <row r="73" spans="1:19">
      <c r="A73" s="16">
        <v>46174</v>
      </c>
      <c r="B73" s="8" t="s">
        <v>26</v>
      </c>
      <c r="C73" s="8" t="s">
        <v>6</v>
      </c>
      <c r="D73" s="15"/>
      <c r="E73" s="15">
        <v>6243.4</v>
      </c>
      <c r="F73" s="15" t="s">
        <v>157</v>
      </c>
      <c r="G73" s="7" t="s">
        <v>251</v>
      </c>
      <c r="H73" s="14"/>
      <c r="I73" s="13"/>
      <c r="J73" s="8" t="s">
        <v>250</v>
      </c>
      <c r="K73" s="8" t="s">
        <v>21</v>
      </c>
      <c r="L73" s="8"/>
      <c r="M73" s="8" t="str">
        <f>IF(C73="Caixa","-",VLOOKUP(J73,[1]Estrutura!C:E,3,FALSE))</f>
        <v>4.9</v>
      </c>
      <c r="N73" s="8"/>
      <c r="O73" s="7">
        <f t="shared" si="0"/>
        <v>1</v>
      </c>
      <c r="P73" s="7">
        <f t="shared" si="1"/>
        <v>6</v>
      </c>
      <c r="Q73" s="7">
        <f t="shared" si="2"/>
        <v>2026</v>
      </c>
      <c r="R73" s="6">
        <f t="shared" si="3"/>
        <v>-6243.4</v>
      </c>
      <c r="S73" s="47">
        <v>46161</v>
      </c>
    </row>
    <row r="74" spans="1:19">
      <c r="A74" s="16">
        <v>46174</v>
      </c>
      <c r="B74" s="7" t="s">
        <v>26</v>
      </c>
      <c r="C74" s="7" t="s">
        <v>6</v>
      </c>
      <c r="D74" s="11"/>
      <c r="E74" s="11">
        <v>195</v>
      </c>
      <c r="F74" s="11" t="s">
        <v>132</v>
      </c>
      <c r="G74" s="7" t="s">
        <v>803</v>
      </c>
      <c r="H74" s="10"/>
      <c r="I74" s="9"/>
      <c r="J74" s="7" t="s">
        <v>52</v>
      </c>
      <c r="K74" s="7" t="s">
        <v>40</v>
      </c>
      <c r="L74" s="7"/>
      <c r="M74" s="7" t="str">
        <f>IF(C74="Caixa","-",VLOOKUP(J74,[1]Estrutura!C:E,3,FALSE))</f>
        <v>4.2</v>
      </c>
      <c r="N74" s="7"/>
      <c r="O74" s="7">
        <f t="shared" si="0"/>
        <v>1</v>
      </c>
      <c r="P74" s="7">
        <f t="shared" si="1"/>
        <v>6</v>
      </c>
      <c r="Q74" s="7">
        <f t="shared" si="2"/>
        <v>2026</v>
      </c>
      <c r="R74" s="6">
        <f t="shared" si="3"/>
        <v>-195</v>
      </c>
      <c r="S74" s="50">
        <v>46161</v>
      </c>
    </row>
    <row r="75" spans="1:19">
      <c r="A75" s="16">
        <v>46174</v>
      </c>
      <c r="B75" s="8" t="s">
        <v>26</v>
      </c>
      <c r="C75" s="8" t="s">
        <v>6</v>
      </c>
      <c r="D75" s="15"/>
      <c r="E75" s="15">
        <v>129.56</v>
      </c>
      <c r="F75" s="15" t="s">
        <v>132</v>
      </c>
      <c r="G75" s="8" t="s">
        <v>802</v>
      </c>
      <c r="H75" s="14"/>
      <c r="I75" s="13"/>
      <c r="J75" s="8" t="s">
        <v>52</v>
      </c>
      <c r="K75" s="8" t="s">
        <v>21</v>
      </c>
      <c r="L75" s="8"/>
      <c r="M75" s="8" t="str">
        <f>IF(C75="Caixa","-",VLOOKUP(J75,[1]Estrutura!C:E,3,FALSE))</f>
        <v>4.2</v>
      </c>
      <c r="N75" s="8"/>
      <c r="O75" s="7">
        <f t="shared" si="0"/>
        <v>1</v>
      </c>
      <c r="P75" s="7">
        <f t="shared" si="1"/>
        <v>6</v>
      </c>
      <c r="Q75" s="7">
        <f t="shared" si="2"/>
        <v>2026</v>
      </c>
      <c r="R75" s="6">
        <f t="shared" si="3"/>
        <v>-129.56</v>
      </c>
      <c r="S75" s="47">
        <v>46161</v>
      </c>
    </row>
    <row r="76" spans="1:19">
      <c r="A76" s="16">
        <v>46174</v>
      </c>
      <c r="B76" s="7" t="s">
        <v>26</v>
      </c>
      <c r="C76" s="7" t="s">
        <v>6</v>
      </c>
      <c r="D76" s="11"/>
      <c r="E76" s="11">
        <v>137.69999999999999</v>
      </c>
      <c r="F76" s="11" t="s">
        <v>132</v>
      </c>
      <c r="G76" s="7" t="s">
        <v>801</v>
      </c>
      <c r="H76" s="10"/>
      <c r="I76" s="9"/>
      <c r="J76" s="7" t="s">
        <v>52</v>
      </c>
      <c r="K76" s="7" t="s">
        <v>44</v>
      </c>
      <c r="L76" s="7"/>
      <c r="M76" s="7" t="str">
        <f>IF(C76="Caixa","-",VLOOKUP(J76,[1]Estrutura!C:E,3,FALSE))</f>
        <v>4.2</v>
      </c>
      <c r="N76" s="7"/>
      <c r="O76" s="7">
        <f t="shared" si="0"/>
        <v>1</v>
      </c>
      <c r="P76" s="7">
        <f t="shared" si="1"/>
        <v>6</v>
      </c>
      <c r="Q76" s="7">
        <f t="shared" si="2"/>
        <v>2026</v>
      </c>
      <c r="R76" s="6">
        <f t="shared" si="3"/>
        <v>-137.69999999999999</v>
      </c>
      <c r="S76" s="12">
        <v>46161</v>
      </c>
    </row>
    <row r="77" spans="1:19">
      <c r="A77" s="16">
        <v>46174</v>
      </c>
      <c r="B77" s="8" t="s">
        <v>26</v>
      </c>
      <c r="C77" s="8" t="s">
        <v>6</v>
      </c>
      <c r="D77" s="15"/>
      <c r="E77" s="15">
        <v>142</v>
      </c>
      <c r="F77" s="15" t="s">
        <v>132</v>
      </c>
      <c r="G77" s="8" t="s">
        <v>800</v>
      </c>
      <c r="H77" s="14"/>
      <c r="I77" s="13"/>
      <c r="J77" s="8" t="s">
        <v>52</v>
      </c>
      <c r="K77" s="8" t="s">
        <v>21</v>
      </c>
      <c r="L77" s="8"/>
      <c r="M77" s="8" t="str">
        <f>IF(C77="Caixa","-",VLOOKUP(J77,[1]Estrutura!C:E,3,FALSE))</f>
        <v>4.2</v>
      </c>
      <c r="N77" s="8"/>
      <c r="O77" s="7">
        <f t="shared" si="0"/>
        <v>1</v>
      </c>
      <c r="P77" s="7">
        <f t="shared" si="1"/>
        <v>6</v>
      </c>
      <c r="Q77" s="7">
        <f t="shared" si="2"/>
        <v>2026</v>
      </c>
      <c r="R77" s="6">
        <f t="shared" si="3"/>
        <v>-142</v>
      </c>
      <c r="S77" s="16">
        <v>46161</v>
      </c>
    </row>
    <row r="78" spans="1:19">
      <c r="A78" s="16">
        <v>46174</v>
      </c>
      <c r="B78" s="7" t="s">
        <v>26</v>
      </c>
      <c r="C78" s="7" t="s">
        <v>6</v>
      </c>
      <c r="D78" s="11"/>
      <c r="E78" s="11">
        <v>2500</v>
      </c>
      <c r="F78" s="11" t="s">
        <v>436</v>
      </c>
      <c r="G78" s="7" t="s">
        <v>799</v>
      </c>
      <c r="H78" s="10"/>
      <c r="I78" s="9"/>
      <c r="J78" s="7" t="s">
        <v>52</v>
      </c>
      <c r="K78" s="7" t="s">
        <v>21</v>
      </c>
      <c r="L78" s="7"/>
      <c r="M78" s="7" t="str">
        <f>IF(C78="Caixa","-",VLOOKUP(J78,[1]Estrutura!C:E,3,FALSE))</f>
        <v>4.2</v>
      </c>
      <c r="N78" s="7"/>
      <c r="O78" s="7">
        <f t="shared" ref="O78:O141" si="4">DAY(A78)</f>
        <v>1</v>
      </c>
      <c r="P78" s="7">
        <f t="shared" ref="P78:P141" si="5">MONTH(A78)</f>
        <v>6</v>
      </c>
      <c r="Q78" s="7">
        <f t="shared" ref="Q78:Q141" si="6">YEAR(A78)</f>
        <v>2026</v>
      </c>
      <c r="R78" s="6">
        <f t="shared" ref="R78:R141" si="7">D78-E78</f>
        <v>-2500</v>
      </c>
      <c r="S78" s="16">
        <v>46161</v>
      </c>
    </row>
    <row r="79" spans="1:19">
      <c r="A79" s="16">
        <v>46174</v>
      </c>
      <c r="B79" s="8" t="s">
        <v>26</v>
      </c>
      <c r="C79" s="8" t="s">
        <v>6</v>
      </c>
      <c r="D79" s="15"/>
      <c r="E79" s="15">
        <v>250</v>
      </c>
      <c r="F79" s="15" t="s">
        <v>132</v>
      </c>
      <c r="G79" s="8" t="s">
        <v>798</v>
      </c>
      <c r="H79" s="14"/>
      <c r="I79" s="13"/>
      <c r="J79" s="8" t="s">
        <v>52</v>
      </c>
      <c r="K79" s="8" t="s">
        <v>136</v>
      </c>
      <c r="L79" s="8"/>
      <c r="M79" s="8" t="str">
        <f>IF(C79="Caixa","-",VLOOKUP(J79,[1]Estrutura!C:E,3,FALSE))</f>
        <v>4.2</v>
      </c>
      <c r="N79" s="8"/>
      <c r="O79" s="7">
        <f t="shared" si="4"/>
        <v>1</v>
      </c>
      <c r="P79" s="7">
        <f t="shared" si="5"/>
        <v>6</v>
      </c>
      <c r="Q79" s="7">
        <f t="shared" si="6"/>
        <v>2026</v>
      </c>
      <c r="R79" s="6">
        <f t="shared" si="7"/>
        <v>-250</v>
      </c>
      <c r="S79" s="12">
        <v>46161</v>
      </c>
    </row>
    <row r="80" spans="1:19">
      <c r="A80" s="16">
        <v>46174</v>
      </c>
      <c r="B80" s="7" t="s">
        <v>7</v>
      </c>
      <c r="C80" s="7" t="s">
        <v>9</v>
      </c>
      <c r="D80" s="15">
        <v>12525.289999999999</v>
      </c>
      <c r="E80" s="15"/>
      <c r="F80" s="15"/>
      <c r="G80" s="8" t="s">
        <v>11</v>
      </c>
      <c r="H80" s="8"/>
      <c r="I80" s="17"/>
      <c r="J80" s="8" t="s">
        <v>10</v>
      </c>
      <c r="K80" s="8"/>
      <c r="L80" s="7"/>
      <c r="M80" s="7" t="str">
        <f>IF(C80="Caixa","-",VLOOKUP(J80,[1]Estrutura!C:E,3,FALSE))</f>
        <v>1.1</v>
      </c>
      <c r="N80" s="7"/>
      <c r="O80" s="7">
        <f t="shared" si="4"/>
        <v>1</v>
      </c>
      <c r="P80" s="7">
        <f t="shared" si="5"/>
        <v>6</v>
      </c>
      <c r="Q80" s="7">
        <f t="shared" si="6"/>
        <v>2026</v>
      </c>
      <c r="R80" s="6">
        <f t="shared" si="7"/>
        <v>12525.289999999999</v>
      </c>
      <c r="S80" s="16">
        <v>46161</v>
      </c>
    </row>
    <row r="81" spans="1:19">
      <c r="A81" s="16">
        <v>46174</v>
      </c>
      <c r="B81" s="7" t="s">
        <v>7</v>
      </c>
      <c r="C81" s="7" t="s">
        <v>9</v>
      </c>
      <c r="D81" s="11"/>
      <c r="E81" s="11">
        <v>265</v>
      </c>
      <c r="F81" s="11" t="s">
        <v>152</v>
      </c>
      <c r="G81" s="7" t="s">
        <v>151</v>
      </c>
      <c r="H81" s="10"/>
      <c r="I81" s="9"/>
      <c r="J81" s="7" t="s">
        <v>150</v>
      </c>
      <c r="K81" s="7"/>
      <c r="L81" s="8"/>
      <c r="M81" s="8" t="str">
        <f>IF(C81="Caixa","-",VLOOKUP(J81,[1]Estrutura!C:E,3,FALSE))</f>
        <v>4.4</v>
      </c>
      <c r="N81" s="8"/>
      <c r="O81" s="7">
        <f t="shared" si="4"/>
        <v>1</v>
      </c>
      <c r="P81" s="7">
        <f t="shared" si="5"/>
        <v>6</v>
      </c>
      <c r="Q81" s="7">
        <f t="shared" si="6"/>
        <v>2026</v>
      </c>
      <c r="R81" s="6">
        <f t="shared" si="7"/>
        <v>-265</v>
      </c>
      <c r="S81" s="12">
        <v>46161</v>
      </c>
    </row>
    <row r="82" spans="1:19">
      <c r="A82" s="16">
        <v>46174</v>
      </c>
      <c r="B82" s="8" t="s">
        <v>7</v>
      </c>
      <c r="C82" s="8" t="s">
        <v>9</v>
      </c>
      <c r="D82" s="15"/>
      <c r="E82" s="15">
        <v>10214.959999999999</v>
      </c>
      <c r="F82" s="15" t="s">
        <v>337</v>
      </c>
      <c r="G82" s="8" t="s">
        <v>797</v>
      </c>
      <c r="H82" s="14"/>
      <c r="I82" s="13"/>
      <c r="J82" s="8" t="s">
        <v>335</v>
      </c>
      <c r="K82" s="8"/>
      <c r="L82" s="7"/>
      <c r="M82" s="7" t="str">
        <f>IF(C82="Caixa","-",VLOOKUP(J82,[1]Estrutura!C:E,3,FALSE))</f>
        <v>4.5</v>
      </c>
      <c r="N82" s="7"/>
      <c r="O82" s="7">
        <f t="shared" si="4"/>
        <v>1</v>
      </c>
      <c r="P82" s="7">
        <f t="shared" si="5"/>
        <v>6</v>
      </c>
      <c r="Q82" s="7">
        <f t="shared" si="6"/>
        <v>2026</v>
      </c>
      <c r="R82" s="6">
        <f t="shared" si="7"/>
        <v>-10214.959999999999</v>
      </c>
      <c r="S82" s="16">
        <v>46161</v>
      </c>
    </row>
    <row r="83" spans="1:19">
      <c r="A83" s="16">
        <v>46174</v>
      </c>
      <c r="B83" s="7" t="s">
        <v>7</v>
      </c>
      <c r="C83" s="7" t="s">
        <v>9</v>
      </c>
      <c r="D83" s="11"/>
      <c r="E83" s="11">
        <v>400.37</v>
      </c>
      <c r="F83" s="11" t="s">
        <v>101</v>
      </c>
      <c r="G83" s="7" t="s">
        <v>716</v>
      </c>
      <c r="H83" s="10"/>
      <c r="I83" s="9"/>
      <c r="J83" s="8" t="s">
        <v>99</v>
      </c>
      <c r="K83" s="7"/>
      <c r="L83" s="8"/>
      <c r="M83" s="8" t="str">
        <f>IF(C83="Caixa","-",VLOOKUP(J83,[1]Estrutura!C:E,3,FALSE))</f>
        <v>4.3</v>
      </c>
      <c r="N83" s="8"/>
      <c r="O83" s="7">
        <f t="shared" si="4"/>
        <v>1</v>
      </c>
      <c r="P83" s="7">
        <f t="shared" si="5"/>
        <v>6</v>
      </c>
      <c r="Q83" s="7">
        <f t="shared" si="6"/>
        <v>2026</v>
      </c>
      <c r="R83" s="6">
        <f t="shared" si="7"/>
        <v>-400.37</v>
      </c>
      <c r="S83" s="12">
        <v>46161</v>
      </c>
    </row>
    <row r="84" spans="1:19">
      <c r="A84" s="16">
        <v>46174</v>
      </c>
      <c r="B84" s="8" t="s">
        <v>7</v>
      </c>
      <c r="C84" s="8" t="s">
        <v>9</v>
      </c>
      <c r="D84" s="15"/>
      <c r="E84" s="15">
        <v>1053.54</v>
      </c>
      <c r="F84" s="15" t="s">
        <v>97</v>
      </c>
      <c r="G84" s="8" t="s">
        <v>795</v>
      </c>
      <c r="H84" s="14"/>
      <c r="I84" s="13"/>
      <c r="J84" s="8" t="s">
        <v>95</v>
      </c>
      <c r="K84" s="8"/>
      <c r="L84" s="7"/>
      <c r="M84" s="7" t="str">
        <f>IF(C84="Caixa","-",VLOOKUP(J84,[1]Estrutura!C:E,3,FALSE))</f>
        <v>4.1</v>
      </c>
      <c r="N84" s="7"/>
      <c r="O84" s="7">
        <f t="shared" si="4"/>
        <v>1</v>
      </c>
      <c r="P84" s="7">
        <f t="shared" si="5"/>
        <v>6</v>
      </c>
      <c r="Q84" s="7">
        <f t="shared" si="6"/>
        <v>2026</v>
      </c>
      <c r="R84" s="6">
        <f t="shared" si="7"/>
        <v>-1053.54</v>
      </c>
      <c r="S84" s="16">
        <v>46162</v>
      </c>
    </row>
    <row r="85" spans="1:19">
      <c r="A85" s="16">
        <v>46174</v>
      </c>
      <c r="B85" s="7" t="s">
        <v>7</v>
      </c>
      <c r="C85" s="7" t="s">
        <v>9</v>
      </c>
      <c r="D85" s="11"/>
      <c r="E85" s="11">
        <v>408.39</v>
      </c>
      <c r="F85" s="11" t="s">
        <v>332</v>
      </c>
      <c r="G85" s="7" t="s">
        <v>796</v>
      </c>
      <c r="H85" s="10"/>
      <c r="I85" s="9"/>
      <c r="J85" s="7" t="s">
        <v>86</v>
      </c>
      <c r="K85" s="7"/>
      <c r="L85" s="8"/>
      <c r="M85" s="8" t="str">
        <f>IF(C85="Caixa","-",VLOOKUP(J85,[1]Estrutura!C:E,3,FALSE))</f>
        <v>4.8</v>
      </c>
      <c r="N85" s="8"/>
      <c r="O85" s="7">
        <f t="shared" si="4"/>
        <v>1</v>
      </c>
      <c r="P85" s="7">
        <f t="shared" si="5"/>
        <v>6</v>
      </c>
      <c r="Q85" s="7">
        <f t="shared" si="6"/>
        <v>2026</v>
      </c>
      <c r="R85" s="6">
        <f t="shared" si="7"/>
        <v>-408.39</v>
      </c>
      <c r="S85" s="50">
        <v>46162</v>
      </c>
    </row>
    <row r="86" spans="1:19">
      <c r="A86" s="16">
        <v>46174</v>
      </c>
      <c r="B86" s="8" t="s">
        <v>14</v>
      </c>
      <c r="C86" s="7" t="s">
        <v>9</v>
      </c>
      <c r="D86" s="15">
        <v>3472.13</v>
      </c>
      <c r="E86" s="15"/>
      <c r="F86" s="15"/>
      <c r="G86" s="8" t="s">
        <v>11</v>
      </c>
      <c r="H86" s="8"/>
      <c r="I86" s="17"/>
      <c r="J86" s="8" t="s">
        <v>10</v>
      </c>
      <c r="K86" s="8"/>
      <c r="L86" s="7"/>
      <c r="M86" s="7" t="str">
        <f>IF(C86="Caixa","-",VLOOKUP(J86,[1]Estrutura!C:E,3,FALSE))</f>
        <v>1.1</v>
      </c>
      <c r="N86" s="7"/>
      <c r="O86" s="7">
        <f t="shared" si="4"/>
        <v>1</v>
      </c>
      <c r="P86" s="7">
        <f t="shared" si="5"/>
        <v>6</v>
      </c>
      <c r="Q86" s="7">
        <f t="shared" si="6"/>
        <v>2026</v>
      </c>
      <c r="R86" s="6">
        <f t="shared" si="7"/>
        <v>3472.13</v>
      </c>
      <c r="S86" s="47">
        <v>46162</v>
      </c>
    </row>
    <row r="87" spans="1:19">
      <c r="A87" s="16">
        <v>46174</v>
      </c>
      <c r="B87" s="8" t="s">
        <v>14</v>
      </c>
      <c r="C87" s="8" t="s">
        <v>9</v>
      </c>
      <c r="D87" s="15"/>
      <c r="E87" s="15">
        <v>427.2399999999999</v>
      </c>
      <c r="F87" s="15"/>
      <c r="G87" s="8" t="s">
        <v>8</v>
      </c>
      <c r="H87" s="14"/>
      <c r="I87" s="13"/>
      <c r="J87" s="8" t="s">
        <v>4</v>
      </c>
      <c r="K87" s="7"/>
      <c r="L87" s="8"/>
      <c r="M87" s="8" t="str">
        <f>IF(C87="Caixa","-",VLOOKUP(J87,[1]Estrutura!C:E,3,FALSE))</f>
        <v>5.2</v>
      </c>
      <c r="N87" s="8"/>
      <c r="O87" s="7">
        <f t="shared" si="4"/>
        <v>1</v>
      </c>
      <c r="P87" s="7">
        <f t="shared" si="5"/>
        <v>6</v>
      </c>
      <c r="Q87" s="7">
        <f t="shared" si="6"/>
        <v>2026</v>
      </c>
      <c r="R87" s="6">
        <f t="shared" si="7"/>
        <v>-427.2399999999999</v>
      </c>
      <c r="S87" s="47">
        <v>46162</v>
      </c>
    </row>
    <row r="88" spans="1:19">
      <c r="A88" s="16">
        <v>46174</v>
      </c>
      <c r="B88" s="8" t="s">
        <v>14</v>
      </c>
      <c r="C88" s="8" t="s">
        <v>9</v>
      </c>
      <c r="D88" s="15"/>
      <c r="E88" s="15">
        <v>7588.48</v>
      </c>
      <c r="F88" s="15" t="s">
        <v>97</v>
      </c>
      <c r="G88" s="8" t="s">
        <v>795</v>
      </c>
      <c r="H88" s="14"/>
      <c r="I88" s="13"/>
      <c r="J88" s="8" t="s">
        <v>95</v>
      </c>
      <c r="K88" s="8"/>
      <c r="L88" s="7"/>
      <c r="M88" s="7" t="str">
        <f>IF(C88="Caixa","-",VLOOKUP(J88,[1]Estrutura!C:E,3,FALSE))</f>
        <v>4.1</v>
      </c>
      <c r="N88" s="7"/>
      <c r="O88" s="7">
        <f t="shared" si="4"/>
        <v>1</v>
      </c>
      <c r="P88" s="7">
        <f t="shared" si="5"/>
        <v>6</v>
      </c>
      <c r="Q88" s="7">
        <f t="shared" si="6"/>
        <v>2026</v>
      </c>
      <c r="R88" s="6">
        <f t="shared" si="7"/>
        <v>-7588.48</v>
      </c>
      <c r="S88" s="47">
        <v>46162</v>
      </c>
    </row>
    <row r="89" spans="1:19">
      <c r="A89" s="16">
        <v>46174</v>
      </c>
      <c r="B89" s="24" t="s">
        <v>26</v>
      </c>
      <c r="C89" s="24" t="s">
        <v>6</v>
      </c>
      <c r="D89" s="15"/>
      <c r="E89" s="15">
        <v>2395.52</v>
      </c>
      <c r="F89" s="15" t="s">
        <v>32</v>
      </c>
      <c r="G89" s="8" t="s">
        <v>795</v>
      </c>
      <c r="H89" s="14"/>
      <c r="I89" s="13"/>
      <c r="J89" s="8" t="s">
        <v>95</v>
      </c>
      <c r="K89" s="18" t="s">
        <v>34</v>
      </c>
      <c r="L89" s="8"/>
      <c r="M89" s="8" t="str">
        <f>IF(C89="Caixa","-",VLOOKUP(J89,[1]Estrutura!C:E,3,FALSE))</f>
        <v>4.1</v>
      </c>
      <c r="N89" s="8"/>
      <c r="O89" s="7">
        <f t="shared" si="4"/>
        <v>1</v>
      </c>
      <c r="P89" s="7">
        <f t="shared" si="5"/>
        <v>6</v>
      </c>
      <c r="Q89" s="7">
        <f t="shared" si="6"/>
        <v>2026</v>
      </c>
      <c r="R89" s="6">
        <f t="shared" si="7"/>
        <v>-2395.52</v>
      </c>
      <c r="S89" s="50">
        <v>46162</v>
      </c>
    </row>
    <row r="90" spans="1:19">
      <c r="A90" s="16">
        <v>46174</v>
      </c>
      <c r="B90" s="7" t="s">
        <v>7</v>
      </c>
      <c r="C90" s="7" t="s">
        <v>9</v>
      </c>
      <c r="D90" s="15">
        <v>10158.130000000001</v>
      </c>
      <c r="E90" s="15"/>
      <c r="F90" s="15"/>
      <c r="G90" s="8" t="s">
        <v>11</v>
      </c>
      <c r="H90" s="8"/>
      <c r="I90" s="17"/>
      <c r="J90" s="8" t="s">
        <v>10</v>
      </c>
      <c r="K90" s="8"/>
      <c r="L90" s="7"/>
      <c r="M90" s="7" t="str">
        <f>IF(C90="Caixa","-",VLOOKUP(J90,[1]Estrutura!C:E,3,FALSE))</f>
        <v>1.1</v>
      </c>
      <c r="N90" s="7"/>
      <c r="O90" s="7">
        <f t="shared" si="4"/>
        <v>1</v>
      </c>
      <c r="P90" s="7">
        <f t="shared" si="5"/>
        <v>6</v>
      </c>
      <c r="Q90" s="7">
        <f t="shared" si="6"/>
        <v>2026</v>
      </c>
      <c r="R90" s="6">
        <f t="shared" si="7"/>
        <v>10158.130000000001</v>
      </c>
      <c r="S90" s="12">
        <v>46162</v>
      </c>
    </row>
    <row r="91" spans="1:19">
      <c r="A91" s="16">
        <v>46174</v>
      </c>
      <c r="B91" s="8" t="s">
        <v>7</v>
      </c>
      <c r="C91" s="8" t="s">
        <v>9</v>
      </c>
      <c r="D91" s="15"/>
      <c r="E91" s="15">
        <v>1444.22</v>
      </c>
      <c r="F91" s="15"/>
      <c r="G91" s="8" t="s">
        <v>8</v>
      </c>
      <c r="H91" s="14"/>
      <c r="I91" s="22"/>
      <c r="J91" s="7" t="s">
        <v>4</v>
      </c>
      <c r="K91" s="18"/>
      <c r="L91" s="8"/>
      <c r="M91" s="8" t="str">
        <f>IF(C91="Caixa","-",VLOOKUP(J91,[1]Estrutura!C:E,3,FALSE))</f>
        <v>5.2</v>
      </c>
      <c r="N91" s="8"/>
      <c r="O91" s="7">
        <f t="shared" si="4"/>
        <v>1</v>
      </c>
      <c r="P91" s="7">
        <f t="shared" si="5"/>
        <v>6</v>
      </c>
      <c r="Q91" s="7">
        <f t="shared" si="6"/>
        <v>2026</v>
      </c>
      <c r="R91" s="6">
        <f t="shared" si="7"/>
        <v>-1444.22</v>
      </c>
      <c r="S91" s="16">
        <v>46163</v>
      </c>
    </row>
    <row r="92" spans="1:19">
      <c r="A92" s="16">
        <v>46174</v>
      </c>
      <c r="B92" s="8" t="s">
        <v>14</v>
      </c>
      <c r="C92" s="7" t="s">
        <v>9</v>
      </c>
      <c r="D92" s="15">
        <v>2074.1999999999998</v>
      </c>
      <c r="E92" s="15"/>
      <c r="F92" s="15"/>
      <c r="G92" s="8" t="s">
        <v>11</v>
      </c>
      <c r="H92" s="8"/>
      <c r="I92" s="17"/>
      <c r="J92" s="8" t="s">
        <v>10</v>
      </c>
      <c r="K92" s="8"/>
      <c r="L92" s="7"/>
      <c r="M92" s="7" t="str">
        <f>IF(C92="Caixa","-",VLOOKUP(J92,[1]Estrutura!C:E,3,FALSE))</f>
        <v>1.1</v>
      </c>
      <c r="N92" s="7"/>
      <c r="O92" s="7">
        <f t="shared" si="4"/>
        <v>1</v>
      </c>
      <c r="P92" s="7">
        <f t="shared" si="5"/>
        <v>6</v>
      </c>
      <c r="Q92" s="7">
        <f t="shared" si="6"/>
        <v>2026</v>
      </c>
      <c r="R92" s="6">
        <f t="shared" si="7"/>
        <v>2074.1999999999998</v>
      </c>
      <c r="S92" s="12">
        <v>46163</v>
      </c>
    </row>
    <row r="93" spans="1:19">
      <c r="A93" s="16">
        <v>46174</v>
      </c>
      <c r="B93" s="7" t="s">
        <v>26</v>
      </c>
      <c r="C93" s="7" t="s">
        <v>25</v>
      </c>
      <c r="D93" s="11"/>
      <c r="E93" s="11">
        <v>5000</v>
      </c>
      <c r="F93" s="11" t="s">
        <v>109</v>
      </c>
      <c r="G93" s="7" t="s">
        <v>307</v>
      </c>
      <c r="H93" s="7">
        <v>9921</v>
      </c>
      <c r="I93" s="30"/>
      <c r="J93" s="7" t="s">
        <v>17</v>
      </c>
      <c r="K93" s="7" t="s">
        <v>21</v>
      </c>
      <c r="L93" s="8"/>
      <c r="M93" s="8" t="str">
        <f>IF(C93="Caixa","-",VLOOKUP(J93,[1]Estrutura!C:E,3,FALSE))</f>
        <v>4.4</v>
      </c>
      <c r="N93" s="8"/>
      <c r="O93" s="7">
        <f t="shared" si="4"/>
        <v>1</v>
      </c>
      <c r="P93" s="7">
        <f t="shared" si="5"/>
        <v>6</v>
      </c>
      <c r="Q93" s="7">
        <f t="shared" si="6"/>
        <v>2026</v>
      </c>
      <c r="R93" s="6">
        <f t="shared" si="7"/>
        <v>-5000</v>
      </c>
      <c r="S93" s="16">
        <v>46163</v>
      </c>
    </row>
    <row r="94" spans="1:19">
      <c r="A94" s="16">
        <v>46174</v>
      </c>
      <c r="B94" s="7" t="s">
        <v>7</v>
      </c>
      <c r="C94" s="7" t="s">
        <v>9</v>
      </c>
      <c r="D94" s="15">
        <v>1607.85</v>
      </c>
      <c r="E94" s="15"/>
      <c r="F94" s="15"/>
      <c r="G94" s="8" t="s">
        <v>11</v>
      </c>
      <c r="H94" s="8"/>
      <c r="I94" s="17"/>
      <c r="J94" s="8" t="s">
        <v>10</v>
      </c>
      <c r="K94" s="8"/>
      <c r="L94" s="7"/>
      <c r="M94" s="7" t="str">
        <f>IF(C94="Caixa","-",VLOOKUP(J94,[1]Estrutura!C:E,3,FALSE))</f>
        <v>1.1</v>
      </c>
      <c r="N94" s="7"/>
      <c r="O94" s="7">
        <f t="shared" si="4"/>
        <v>1</v>
      </c>
      <c r="P94" s="7">
        <f t="shared" si="5"/>
        <v>6</v>
      </c>
      <c r="Q94" s="7">
        <f t="shared" si="6"/>
        <v>2026</v>
      </c>
      <c r="R94" s="6">
        <f t="shared" si="7"/>
        <v>1607.85</v>
      </c>
      <c r="S94" s="16">
        <v>46164</v>
      </c>
    </row>
    <row r="95" spans="1:19">
      <c r="A95" s="16">
        <v>46174</v>
      </c>
      <c r="B95" s="8" t="s">
        <v>14</v>
      </c>
      <c r="C95" s="7" t="s">
        <v>9</v>
      </c>
      <c r="D95" s="15">
        <v>1473.36</v>
      </c>
      <c r="E95" s="15"/>
      <c r="F95" s="15"/>
      <c r="G95" s="8" t="s">
        <v>11</v>
      </c>
      <c r="H95" s="8"/>
      <c r="I95" s="17"/>
      <c r="J95" s="8" t="s">
        <v>10</v>
      </c>
      <c r="K95" s="8"/>
      <c r="L95" s="8"/>
      <c r="M95" s="8" t="str">
        <f>IF(C95="Caixa","-",VLOOKUP(J95,[1]Estrutura!C:E,3,FALSE))</f>
        <v>1.1</v>
      </c>
      <c r="N95" s="8"/>
      <c r="O95" s="7">
        <f t="shared" si="4"/>
        <v>1</v>
      </c>
      <c r="P95" s="7">
        <f t="shared" si="5"/>
        <v>6</v>
      </c>
      <c r="Q95" s="7">
        <f t="shared" si="6"/>
        <v>2026</v>
      </c>
      <c r="R95" s="6">
        <f t="shared" si="7"/>
        <v>1473.36</v>
      </c>
      <c r="S95" s="12">
        <v>46164</v>
      </c>
    </row>
    <row r="96" spans="1:19">
      <c r="A96" s="16">
        <v>46174</v>
      </c>
      <c r="B96" s="7" t="s">
        <v>26</v>
      </c>
      <c r="C96" s="7" t="s">
        <v>6</v>
      </c>
      <c r="D96" s="11"/>
      <c r="E96" s="11">
        <v>470.8</v>
      </c>
      <c r="F96" s="15" t="s">
        <v>47</v>
      </c>
      <c r="G96" s="7" t="s">
        <v>794</v>
      </c>
      <c r="H96" s="10"/>
      <c r="I96" s="9"/>
      <c r="J96" s="7" t="s">
        <v>89</v>
      </c>
      <c r="K96" s="7" t="s">
        <v>21</v>
      </c>
      <c r="L96" s="7"/>
      <c r="M96" s="7" t="str">
        <f>IF(C96="Caixa","-",VLOOKUP(J96,[1]Estrutura!C:E,3,FALSE))</f>
        <v>4.1</v>
      </c>
      <c r="N96" s="7"/>
      <c r="O96" s="7">
        <f t="shared" si="4"/>
        <v>1</v>
      </c>
      <c r="P96" s="7">
        <f t="shared" si="5"/>
        <v>6</v>
      </c>
      <c r="Q96" s="7">
        <f t="shared" si="6"/>
        <v>2026</v>
      </c>
      <c r="R96" s="6">
        <f t="shared" si="7"/>
        <v>-470.8</v>
      </c>
      <c r="S96" s="16">
        <v>46164</v>
      </c>
    </row>
    <row r="97" spans="1:19">
      <c r="A97" s="16">
        <v>46174</v>
      </c>
      <c r="B97" s="7" t="s">
        <v>7</v>
      </c>
      <c r="C97" s="7" t="s">
        <v>9</v>
      </c>
      <c r="D97" s="15">
        <v>6124.8</v>
      </c>
      <c r="E97" s="15"/>
      <c r="F97" s="15"/>
      <c r="G97" s="8" t="s">
        <v>11</v>
      </c>
      <c r="H97" s="8"/>
      <c r="I97" s="17"/>
      <c r="J97" s="8" t="s">
        <v>10</v>
      </c>
      <c r="K97" s="8"/>
      <c r="L97" s="8"/>
      <c r="M97" s="8" t="str">
        <f>IF(C97="Caixa","-",VLOOKUP(J97,[1]Estrutura!C:E,3,FALSE))</f>
        <v>1.1</v>
      </c>
      <c r="N97" s="8"/>
      <c r="O97" s="7">
        <f t="shared" si="4"/>
        <v>1</v>
      </c>
      <c r="P97" s="7">
        <f t="shared" si="5"/>
        <v>6</v>
      </c>
      <c r="Q97" s="7">
        <f t="shared" si="6"/>
        <v>2026</v>
      </c>
      <c r="R97" s="6">
        <f t="shared" si="7"/>
        <v>6124.8</v>
      </c>
      <c r="S97" s="12">
        <v>46165</v>
      </c>
    </row>
    <row r="98" spans="1:19">
      <c r="A98" s="16">
        <v>46174</v>
      </c>
      <c r="B98" s="7" t="s">
        <v>14</v>
      </c>
      <c r="C98" s="7" t="s">
        <v>9</v>
      </c>
      <c r="D98" s="65"/>
      <c r="E98" s="11">
        <v>3773.38</v>
      </c>
      <c r="F98" s="11" t="s">
        <v>97</v>
      </c>
      <c r="G98" s="7" t="s">
        <v>787</v>
      </c>
      <c r="H98" s="10"/>
      <c r="I98" s="9"/>
      <c r="J98" s="7" t="s">
        <v>33</v>
      </c>
      <c r="K98" s="7"/>
      <c r="L98" s="7"/>
      <c r="M98" s="7" t="str">
        <f>IF(C98="Caixa","-",VLOOKUP(J98,[1]Estrutura!C:E,3,FALSE))</f>
        <v>2.1</v>
      </c>
      <c r="N98" s="7"/>
      <c r="O98" s="7">
        <f t="shared" si="4"/>
        <v>1</v>
      </c>
      <c r="P98" s="7">
        <f t="shared" si="5"/>
        <v>6</v>
      </c>
      <c r="Q98" s="7">
        <f t="shared" si="6"/>
        <v>2026</v>
      </c>
      <c r="R98" s="6">
        <f t="shared" si="7"/>
        <v>-3773.38</v>
      </c>
      <c r="S98" s="12">
        <v>46165</v>
      </c>
    </row>
    <row r="99" spans="1:19">
      <c r="A99" s="16">
        <v>46174</v>
      </c>
      <c r="B99" s="7" t="s">
        <v>14</v>
      </c>
      <c r="C99" s="7" t="s">
        <v>9</v>
      </c>
      <c r="D99" s="65"/>
      <c r="E99" s="11">
        <v>817.57</v>
      </c>
      <c r="F99" s="11" t="s">
        <v>97</v>
      </c>
      <c r="G99" s="7" t="s">
        <v>793</v>
      </c>
      <c r="H99" s="10"/>
      <c r="I99" s="9"/>
      <c r="J99" s="7" t="s">
        <v>31</v>
      </c>
      <c r="K99" s="7"/>
      <c r="L99" s="8"/>
      <c r="M99" s="8" t="str">
        <f>IF(C99="Caixa","-",VLOOKUP(J99,[1]Estrutura!C:E,3,FALSE))</f>
        <v>2.1</v>
      </c>
      <c r="N99" s="8"/>
      <c r="O99" s="7">
        <f t="shared" si="4"/>
        <v>1</v>
      </c>
      <c r="P99" s="7">
        <f t="shared" si="5"/>
        <v>6</v>
      </c>
      <c r="Q99" s="7">
        <f t="shared" si="6"/>
        <v>2026</v>
      </c>
      <c r="R99" s="6">
        <f t="shared" si="7"/>
        <v>-817.57</v>
      </c>
      <c r="S99" s="16">
        <v>46165</v>
      </c>
    </row>
    <row r="100" spans="1:19">
      <c r="A100" s="16">
        <v>46174</v>
      </c>
      <c r="B100" s="8" t="s">
        <v>14</v>
      </c>
      <c r="C100" s="8" t="s">
        <v>9</v>
      </c>
      <c r="D100" s="15"/>
      <c r="E100" s="15">
        <v>1442</v>
      </c>
      <c r="F100" s="15" t="s">
        <v>109</v>
      </c>
      <c r="G100" s="8" t="s">
        <v>75</v>
      </c>
      <c r="H100" s="14"/>
      <c r="I100" s="13"/>
      <c r="J100" s="8" t="s">
        <v>74</v>
      </c>
      <c r="K100" s="8"/>
      <c r="L100" s="7"/>
      <c r="M100" s="7" t="str">
        <f>IF(C100="Caixa","-",VLOOKUP(J100,[1]Estrutura!C:E,3,FALSE))</f>
        <v>4.1</v>
      </c>
      <c r="N100" s="7"/>
      <c r="O100" s="7">
        <f t="shared" si="4"/>
        <v>1</v>
      </c>
      <c r="P100" s="7">
        <f t="shared" si="5"/>
        <v>6</v>
      </c>
      <c r="Q100" s="7">
        <f t="shared" si="6"/>
        <v>2026</v>
      </c>
      <c r="R100" s="6">
        <f t="shared" si="7"/>
        <v>-1442</v>
      </c>
      <c r="S100" s="12">
        <v>46165</v>
      </c>
    </row>
    <row r="101" spans="1:19">
      <c r="A101" s="16">
        <v>46174</v>
      </c>
      <c r="B101" s="7" t="s">
        <v>14</v>
      </c>
      <c r="C101" s="7" t="s">
        <v>9</v>
      </c>
      <c r="D101" s="11"/>
      <c r="E101" s="11">
        <v>1134.42</v>
      </c>
      <c r="F101" s="11" t="s">
        <v>159</v>
      </c>
      <c r="G101" s="7" t="s">
        <v>158</v>
      </c>
      <c r="H101" s="10"/>
      <c r="I101" s="9"/>
      <c r="J101" s="7" t="s">
        <v>29</v>
      </c>
      <c r="K101" s="7"/>
      <c r="L101" s="8"/>
      <c r="M101" s="8" t="str">
        <f>IF(C101="Caixa","-",VLOOKUP(J101,[1]Estrutura!C:E,3,FALSE))</f>
        <v>4.8</v>
      </c>
      <c r="N101" s="8"/>
      <c r="O101" s="7">
        <f t="shared" si="4"/>
        <v>1</v>
      </c>
      <c r="P101" s="7">
        <f t="shared" si="5"/>
        <v>6</v>
      </c>
      <c r="Q101" s="7">
        <f t="shared" si="6"/>
        <v>2026</v>
      </c>
      <c r="R101" s="6">
        <f t="shared" si="7"/>
        <v>-1134.42</v>
      </c>
      <c r="S101" s="16">
        <v>46165</v>
      </c>
    </row>
    <row r="102" spans="1:19">
      <c r="A102" s="16">
        <v>46174</v>
      </c>
      <c r="B102" s="8" t="s">
        <v>14</v>
      </c>
      <c r="C102" s="8" t="s">
        <v>9</v>
      </c>
      <c r="D102" s="15"/>
      <c r="E102" s="15">
        <v>4978</v>
      </c>
      <c r="F102" s="15" t="s">
        <v>50</v>
      </c>
      <c r="G102" s="8" t="s">
        <v>70</v>
      </c>
      <c r="H102" s="14"/>
      <c r="I102" s="13"/>
      <c r="J102" s="7" t="s">
        <v>35</v>
      </c>
      <c r="K102" s="8"/>
      <c r="L102" s="7"/>
      <c r="M102" s="7" t="str">
        <f>IF(C102="Caixa","-",VLOOKUP(J102,[1]Estrutura!C:E,3,FALSE))</f>
        <v>4.1</v>
      </c>
      <c r="N102" s="7"/>
      <c r="O102" s="7">
        <f t="shared" si="4"/>
        <v>1</v>
      </c>
      <c r="P102" s="7">
        <f t="shared" si="5"/>
        <v>6</v>
      </c>
      <c r="Q102" s="7">
        <f t="shared" si="6"/>
        <v>2026</v>
      </c>
      <c r="R102" s="6">
        <f t="shared" si="7"/>
        <v>-4978</v>
      </c>
      <c r="S102" s="16">
        <v>46165</v>
      </c>
    </row>
    <row r="103" spans="1:19">
      <c r="A103" s="16">
        <v>46174</v>
      </c>
      <c r="B103" s="8" t="s">
        <v>14</v>
      </c>
      <c r="C103" s="8" t="s">
        <v>9</v>
      </c>
      <c r="D103" s="15"/>
      <c r="E103" s="15">
        <v>2671</v>
      </c>
      <c r="F103" s="15" t="s">
        <v>51</v>
      </c>
      <c r="G103" s="8" t="s">
        <v>792</v>
      </c>
      <c r="H103" s="14"/>
      <c r="I103" s="13"/>
      <c r="J103" s="7" t="s">
        <v>35</v>
      </c>
      <c r="K103" s="8"/>
      <c r="L103" s="8"/>
      <c r="M103" s="8" t="str">
        <f>IF(C103="Caixa","-",VLOOKUP(J103,[1]Estrutura!C:E,3,FALSE))</f>
        <v>4.1</v>
      </c>
      <c r="N103" s="8"/>
      <c r="O103" s="7">
        <f t="shared" si="4"/>
        <v>1</v>
      </c>
      <c r="P103" s="7">
        <f t="shared" si="5"/>
        <v>6</v>
      </c>
      <c r="Q103" s="7">
        <f t="shared" si="6"/>
        <v>2026</v>
      </c>
      <c r="R103" s="6">
        <f t="shared" si="7"/>
        <v>-2671</v>
      </c>
      <c r="S103" s="12">
        <v>46165</v>
      </c>
    </row>
    <row r="104" spans="1:19">
      <c r="A104" s="16">
        <v>46174</v>
      </c>
      <c r="B104" s="7" t="s">
        <v>14</v>
      </c>
      <c r="C104" s="7" t="s">
        <v>9</v>
      </c>
      <c r="D104" s="11"/>
      <c r="E104" s="11">
        <v>8000</v>
      </c>
      <c r="F104" s="11" t="s">
        <v>49</v>
      </c>
      <c r="G104" s="7" t="s">
        <v>792</v>
      </c>
      <c r="H104" s="10"/>
      <c r="I104" s="9"/>
      <c r="J104" s="7" t="s">
        <v>35</v>
      </c>
      <c r="K104" s="7"/>
      <c r="L104" s="7"/>
      <c r="M104" s="7" t="str">
        <f>IF(C104="Caixa","-",VLOOKUP(J104,[1]Estrutura!C:E,3,FALSE))</f>
        <v>4.1</v>
      </c>
      <c r="N104" s="7"/>
      <c r="O104" s="7">
        <f t="shared" si="4"/>
        <v>1</v>
      </c>
      <c r="P104" s="7">
        <f t="shared" si="5"/>
        <v>6</v>
      </c>
      <c r="Q104" s="7">
        <f t="shared" si="6"/>
        <v>2026</v>
      </c>
      <c r="R104" s="6">
        <f t="shared" si="7"/>
        <v>-8000</v>
      </c>
      <c r="S104" s="12">
        <v>46165</v>
      </c>
    </row>
    <row r="105" spans="1:19">
      <c r="A105" s="16">
        <v>46174</v>
      </c>
      <c r="B105" s="7" t="s">
        <v>14</v>
      </c>
      <c r="C105" s="7" t="s">
        <v>9</v>
      </c>
      <c r="D105" s="11"/>
      <c r="E105" s="11">
        <v>8391</v>
      </c>
      <c r="F105" s="11" t="s">
        <v>85</v>
      </c>
      <c r="G105" s="8" t="s">
        <v>84</v>
      </c>
      <c r="H105" s="10"/>
      <c r="I105" s="9"/>
      <c r="J105" s="7" t="s">
        <v>83</v>
      </c>
      <c r="K105" s="7"/>
      <c r="L105" s="8"/>
      <c r="M105" s="8" t="str">
        <f>IF(C105="Caixa","-",VLOOKUP(J105,[1]Estrutura!C:E,3,FALSE))</f>
        <v>4.1</v>
      </c>
      <c r="N105" s="8"/>
      <c r="O105" s="7">
        <f t="shared" si="4"/>
        <v>1</v>
      </c>
      <c r="P105" s="7">
        <f t="shared" si="5"/>
        <v>6</v>
      </c>
      <c r="Q105" s="7">
        <f t="shared" si="6"/>
        <v>2026</v>
      </c>
      <c r="R105" s="6">
        <f t="shared" si="7"/>
        <v>-8391</v>
      </c>
      <c r="S105" s="16">
        <v>46165</v>
      </c>
    </row>
    <row r="106" spans="1:19">
      <c r="A106" s="16">
        <v>46174</v>
      </c>
      <c r="B106" s="8" t="s">
        <v>14</v>
      </c>
      <c r="C106" s="8" t="s">
        <v>9</v>
      </c>
      <c r="D106" s="15"/>
      <c r="E106" s="15">
        <v>8391</v>
      </c>
      <c r="F106" s="15" t="s">
        <v>94</v>
      </c>
      <c r="G106" s="8" t="s">
        <v>84</v>
      </c>
      <c r="H106" s="14"/>
      <c r="I106" s="13"/>
      <c r="J106" s="8" t="s">
        <v>83</v>
      </c>
      <c r="K106" s="8"/>
      <c r="L106" s="7"/>
      <c r="M106" s="7" t="str">
        <f>IF(C106="Caixa","-",VLOOKUP(J106,[1]Estrutura!C:E,3,FALSE))</f>
        <v>4.1</v>
      </c>
      <c r="N106" s="7"/>
      <c r="O106" s="7">
        <f t="shared" si="4"/>
        <v>1</v>
      </c>
      <c r="P106" s="7">
        <f t="shared" si="5"/>
        <v>6</v>
      </c>
      <c r="Q106" s="7">
        <f t="shared" si="6"/>
        <v>2026</v>
      </c>
      <c r="R106" s="6">
        <f t="shared" si="7"/>
        <v>-8391</v>
      </c>
      <c r="S106" s="12">
        <v>46165</v>
      </c>
    </row>
    <row r="107" spans="1:19">
      <c r="A107" s="16">
        <v>46174</v>
      </c>
      <c r="B107" s="7" t="s">
        <v>14</v>
      </c>
      <c r="C107" s="7" t="s">
        <v>9</v>
      </c>
      <c r="D107" s="11"/>
      <c r="E107" s="15">
        <v>800</v>
      </c>
      <c r="F107" s="11" t="s">
        <v>51</v>
      </c>
      <c r="G107" s="8" t="s">
        <v>112</v>
      </c>
      <c r="H107" s="10"/>
      <c r="I107" s="9"/>
      <c r="J107" s="7" t="s">
        <v>110</v>
      </c>
      <c r="K107" s="7"/>
      <c r="L107" s="8"/>
      <c r="M107" s="8" t="str">
        <f>IF(C107="Caixa","-",VLOOKUP(J107,[1]Estrutura!C:E,3,FALSE))</f>
        <v>4.1</v>
      </c>
      <c r="N107" s="8"/>
      <c r="O107" s="7">
        <f t="shared" si="4"/>
        <v>1</v>
      </c>
      <c r="P107" s="7">
        <f t="shared" si="5"/>
        <v>6</v>
      </c>
      <c r="Q107" s="7">
        <f t="shared" si="6"/>
        <v>2026</v>
      </c>
      <c r="R107" s="6">
        <f t="shared" si="7"/>
        <v>-800</v>
      </c>
      <c r="S107" s="12">
        <v>46165</v>
      </c>
    </row>
    <row r="108" spans="1:19">
      <c r="A108" s="16">
        <v>46174</v>
      </c>
      <c r="B108" s="7" t="s">
        <v>14</v>
      </c>
      <c r="C108" s="7" t="s">
        <v>9</v>
      </c>
      <c r="D108" s="11"/>
      <c r="E108" s="15">
        <v>800</v>
      </c>
      <c r="F108" s="11" t="s">
        <v>49</v>
      </c>
      <c r="G108" s="7" t="s">
        <v>112</v>
      </c>
      <c r="H108" s="10"/>
      <c r="I108" s="9"/>
      <c r="J108" s="7" t="s">
        <v>110</v>
      </c>
      <c r="K108" s="7"/>
      <c r="L108" s="7"/>
      <c r="M108" s="7" t="str">
        <f>IF(C108="Caixa","-",VLOOKUP(J108,[1]Estrutura!C:E,3,FALSE))</f>
        <v>4.1</v>
      </c>
      <c r="N108" s="7"/>
      <c r="O108" s="7">
        <f t="shared" si="4"/>
        <v>1</v>
      </c>
      <c r="P108" s="7">
        <f t="shared" si="5"/>
        <v>6</v>
      </c>
      <c r="Q108" s="7">
        <f t="shared" si="6"/>
        <v>2026</v>
      </c>
      <c r="R108" s="6">
        <f t="shared" si="7"/>
        <v>-800</v>
      </c>
      <c r="S108" s="16">
        <v>46165</v>
      </c>
    </row>
    <row r="109" spans="1:19">
      <c r="A109" s="16">
        <v>46174</v>
      </c>
      <c r="B109" s="8" t="s">
        <v>14</v>
      </c>
      <c r="C109" s="8" t="s">
        <v>9</v>
      </c>
      <c r="D109" s="15"/>
      <c r="E109" s="15">
        <v>630</v>
      </c>
      <c r="F109" s="15" t="s">
        <v>50</v>
      </c>
      <c r="G109" s="8" t="s">
        <v>791</v>
      </c>
      <c r="H109" s="14"/>
      <c r="I109" s="13"/>
      <c r="J109" s="8" t="s">
        <v>110</v>
      </c>
      <c r="K109" s="8"/>
      <c r="L109" s="8"/>
      <c r="M109" s="8" t="str">
        <f>IF(C109="Caixa","-",VLOOKUP(J109,[1]Estrutura!C:E,3,FALSE))</f>
        <v>4.1</v>
      </c>
      <c r="N109" s="8"/>
      <c r="O109" s="7">
        <f t="shared" si="4"/>
        <v>1</v>
      </c>
      <c r="P109" s="7">
        <f t="shared" si="5"/>
        <v>6</v>
      </c>
      <c r="Q109" s="7">
        <f t="shared" si="6"/>
        <v>2026</v>
      </c>
      <c r="R109" s="6">
        <f t="shared" si="7"/>
        <v>-630</v>
      </c>
      <c r="S109" s="16">
        <v>46165</v>
      </c>
    </row>
    <row r="110" spans="1:19">
      <c r="A110" s="16">
        <v>46174</v>
      </c>
      <c r="B110" s="8" t="s">
        <v>14</v>
      </c>
      <c r="C110" s="8" t="s">
        <v>9</v>
      </c>
      <c r="D110" s="15"/>
      <c r="E110" s="11">
        <v>470.8</v>
      </c>
      <c r="F110" s="15" t="s">
        <v>51</v>
      </c>
      <c r="G110" s="7" t="s">
        <v>93</v>
      </c>
      <c r="H110" s="14"/>
      <c r="I110" s="13"/>
      <c r="J110" s="8" t="s">
        <v>89</v>
      </c>
      <c r="K110" s="8"/>
      <c r="L110" s="7"/>
      <c r="M110" s="7" t="str">
        <f>IF(C110="Caixa","-",VLOOKUP(J110,[1]Estrutura!C:E,3,FALSE))</f>
        <v>4.1</v>
      </c>
      <c r="N110" s="7"/>
      <c r="O110" s="7">
        <f t="shared" si="4"/>
        <v>1</v>
      </c>
      <c r="P110" s="7">
        <f t="shared" si="5"/>
        <v>6</v>
      </c>
      <c r="Q110" s="7">
        <f t="shared" si="6"/>
        <v>2026</v>
      </c>
      <c r="R110" s="6">
        <f t="shared" si="7"/>
        <v>-470.8</v>
      </c>
      <c r="S110" s="12">
        <v>46165</v>
      </c>
    </row>
    <row r="111" spans="1:19">
      <c r="A111" s="16">
        <v>46174</v>
      </c>
      <c r="B111" s="7" t="s">
        <v>14</v>
      </c>
      <c r="C111" s="7" t="s">
        <v>9</v>
      </c>
      <c r="D111" s="11"/>
      <c r="E111" s="11">
        <v>470.8</v>
      </c>
      <c r="F111" s="11" t="s">
        <v>50</v>
      </c>
      <c r="G111" s="7" t="s">
        <v>93</v>
      </c>
      <c r="H111" s="10"/>
      <c r="I111" s="9"/>
      <c r="J111" s="7" t="s">
        <v>89</v>
      </c>
      <c r="K111" s="7"/>
      <c r="L111" s="8"/>
      <c r="M111" s="8" t="str">
        <f>IF(C111="Caixa","-",VLOOKUP(J111,[1]Estrutura!C:E,3,FALSE))</f>
        <v>4.1</v>
      </c>
      <c r="N111" s="8"/>
      <c r="O111" s="7">
        <f t="shared" si="4"/>
        <v>1</v>
      </c>
      <c r="P111" s="7">
        <f t="shared" si="5"/>
        <v>6</v>
      </c>
      <c r="Q111" s="7">
        <f t="shared" si="6"/>
        <v>2026</v>
      </c>
      <c r="R111" s="6">
        <f t="shared" si="7"/>
        <v>-470.8</v>
      </c>
      <c r="S111" s="16">
        <v>46165</v>
      </c>
    </row>
    <row r="112" spans="1:19">
      <c r="A112" s="16">
        <v>46174</v>
      </c>
      <c r="B112" s="8" t="s">
        <v>26</v>
      </c>
      <c r="C112" s="8" t="s">
        <v>6</v>
      </c>
      <c r="D112" s="15"/>
      <c r="E112" s="15">
        <v>1600</v>
      </c>
      <c r="F112" s="15" t="s">
        <v>522</v>
      </c>
      <c r="G112" s="8" t="s">
        <v>790</v>
      </c>
      <c r="H112" s="14"/>
      <c r="I112" s="13"/>
      <c r="J112" s="8" t="s">
        <v>116</v>
      </c>
      <c r="K112" s="8" t="s">
        <v>34</v>
      </c>
      <c r="L112" s="7"/>
      <c r="M112" s="7" t="str">
        <f>IF(C112="Caixa","-",VLOOKUP(J112,[1]Estrutura!C:E,3,FALSE))</f>
        <v>4.12</v>
      </c>
      <c r="N112" s="7"/>
      <c r="O112" s="7">
        <f t="shared" si="4"/>
        <v>1</v>
      </c>
      <c r="P112" s="7">
        <f t="shared" si="5"/>
        <v>6</v>
      </c>
      <c r="Q112" s="7">
        <f t="shared" si="6"/>
        <v>2026</v>
      </c>
      <c r="R112" s="6">
        <f t="shared" si="7"/>
        <v>-1600</v>
      </c>
      <c r="S112" s="12">
        <v>46165</v>
      </c>
    </row>
    <row r="113" spans="1:19">
      <c r="A113" s="16">
        <v>46174</v>
      </c>
      <c r="B113" s="7" t="s">
        <v>26</v>
      </c>
      <c r="C113" s="7" t="s">
        <v>6</v>
      </c>
      <c r="D113" s="11"/>
      <c r="E113" s="11">
        <v>2174</v>
      </c>
      <c r="F113" s="11" t="s">
        <v>71</v>
      </c>
      <c r="G113" s="11" t="s">
        <v>70</v>
      </c>
      <c r="H113" s="10"/>
      <c r="I113" s="9"/>
      <c r="J113" s="7" t="s">
        <v>35</v>
      </c>
      <c r="K113" s="7" t="s">
        <v>40</v>
      </c>
      <c r="L113" s="8"/>
      <c r="M113" s="8" t="str">
        <f>IF(C113="Caixa","-",VLOOKUP(J113,[1]Estrutura!C:E,3,FALSE))</f>
        <v>4.1</v>
      </c>
      <c r="N113" s="8"/>
      <c r="O113" s="7">
        <f t="shared" si="4"/>
        <v>1</v>
      </c>
      <c r="P113" s="7">
        <f t="shared" si="5"/>
        <v>6</v>
      </c>
      <c r="Q113" s="7">
        <f t="shared" si="6"/>
        <v>2026</v>
      </c>
      <c r="R113" s="6">
        <f t="shared" si="7"/>
        <v>-2174</v>
      </c>
      <c r="S113" s="16">
        <v>46165</v>
      </c>
    </row>
    <row r="114" spans="1:19">
      <c r="A114" s="16">
        <v>46174</v>
      </c>
      <c r="B114" s="7" t="s">
        <v>26</v>
      </c>
      <c r="C114" s="7" t="s">
        <v>6</v>
      </c>
      <c r="D114" s="15"/>
      <c r="E114" s="11">
        <v>2805</v>
      </c>
      <c r="F114" s="15" t="s">
        <v>37</v>
      </c>
      <c r="G114" s="7" t="s">
        <v>70</v>
      </c>
      <c r="H114" s="14"/>
      <c r="I114" s="13"/>
      <c r="J114" s="7" t="s">
        <v>35</v>
      </c>
      <c r="K114" s="18" t="s">
        <v>34</v>
      </c>
      <c r="L114" s="7"/>
      <c r="M114" s="7" t="str">
        <f>IF(C114="Caixa","-",VLOOKUP(J114,[1]Estrutura!C:E,3,FALSE))</f>
        <v>4.1</v>
      </c>
      <c r="N114" s="7"/>
      <c r="O114" s="7">
        <f t="shared" si="4"/>
        <v>1</v>
      </c>
      <c r="P114" s="7">
        <f t="shared" si="5"/>
        <v>6</v>
      </c>
      <c r="Q114" s="7">
        <f t="shared" si="6"/>
        <v>2026</v>
      </c>
      <c r="R114" s="6">
        <f t="shared" si="7"/>
        <v>-2805</v>
      </c>
      <c r="S114" s="12">
        <v>46165</v>
      </c>
    </row>
    <row r="115" spans="1:19">
      <c r="A115" s="16">
        <v>46174</v>
      </c>
      <c r="B115" s="7" t="s">
        <v>26</v>
      </c>
      <c r="C115" s="7" t="s">
        <v>6</v>
      </c>
      <c r="D115" s="11"/>
      <c r="E115" s="15">
        <v>2900</v>
      </c>
      <c r="F115" s="15" t="s">
        <v>47</v>
      </c>
      <c r="G115" s="7" t="s">
        <v>789</v>
      </c>
      <c r="H115" s="10"/>
      <c r="I115" s="9"/>
      <c r="J115" s="7" t="s">
        <v>35</v>
      </c>
      <c r="K115" s="7" t="s">
        <v>21</v>
      </c>
      <c r="L115" s="8"/>
      <c r="M115" s="8" t="str">
        <f>IF(C115="Caixa","-",VLOOKUP(J115,[1]Estrutura!C:E,3,FALSE))</f>
        <v>4.1</v>
      </c>
      <c r="N115" s="8"/>
      <c r="O115" s="7">
        <f t="shared" si="4"/>
        <v>1</v>
      </c>
      <c r="P115" s="7">
        <f t="shared" si="5"/>
        <v>6</v>
      </c>
      <c r="Q115" s="7">
        <f t="shared" si="6"/>
        <v>2026</v>
      </c>
      <c r="R115" s="6">
        <f t="shared" si="7"/>
        <v>-2900</v>
      </c>
      <c r="S115" s="16">
        <v>46165</v>
      </c>
    </row>
    <row r="116" spans="1:19">
      <c r="A116" s="16">
        <v>46174</v>
      </c>
      <c r="B116" s="8" t="s">
        <v>26</v>
      </c>
      <c r="C116" s="8" t="s">
        <v>6</v>
      </c>
      <c r="D116" s="15"/>
      <c r="E116" s="11">
        <v>2596</v>
      </c>
      <c r="F116" s="15" t="s">
        <v>45</v>
      </c>
      <c r="G116" s="8" t="s">
        <v>789</v>
      </c>
      <c r="H116" s="14"/>
      <c r="I116" s="13"/>
      <c r="J116" s="7" t="s">
        <v>35</v>
      </c>
      <c r="K116" s="8" t="s">
        <v>44</v>
      </c>
      <c r="L116" s="7"/>
      <c r="M116" s="7" t="str">
        <f>IF(C116="Caixa","-",VLOOKUP(J116,[1]Estrutura!C:E,3,FALSE))</f>
        <v>4.1</v>
      </c>
      <c r="N116" s="7"/>
      <c r="O116" s="7">
        <f t="shared" si="4"/>
        <v>1</v>
      </c>
      <c r="P116" s="7">
        <f t="shared" si="5"/>
        <v>6</v>
      </c>
      <c r="Q116" s="7">
        <f t="shared" si="6"/>
        <v>2026</v>
      </c>
      <c r="R116" s="6">
        <f t="shared" si="7"/>
        <v>-2596</v>
      </c>
      <c r="S116" s="12">
        <v>46165</v>
      </c>
    </row>
    <row r="117" spans="1:19">
      <c r="A117" s="16">
        <v>46174</v>
      </c>
      <c r="B117" s="7" t="s">
        <v>26</v>
      </c>
      <c r="C117" s="7" t="s">
        <v>6</v>
      </c>
      <c r="D117" s="11"/>
      <c r="E117" s="11">
        <v>1943</v>
      </c>
      <c r="F117" s="11" t="s">
        <v>48</v>
      </c>
      <c r="G117" s="7" t="s">
        <v>789</v>
      </c>
      <c r="H117" s="10"/>
      <c r="I117" s="9"/>
      <c r="J117" s="7" t="s">
        <v>35</v>
      </c>
      <c r="K117" s="8" t="s">
        <v>40</v>
      </c>
      <c r="L117" s="8"/>
      <c r="M117" s="8" t="str">
        <f>IF(C117="Caixa","-",VLOOKUP(J117,[1]Estrutura!C:E,3,FALSE))</f>
        <v>4.1</v>
      </c>
      <c r="N117" s="8"/>
      <c r="O117" s="7">
        <f t="shared" si="4"/>
        <v>1</v>
      </c>
      <c r="P117" s="7">
        <f t="shared" si="5"/>
        <v>6</v>
      </c>
      <c r="Q117" s="7">
        <f t="shared" si="6"/>
        <v>2026</v>
      </c>
      <c r="R117" s="6">
        <f t="shared" si="7"/>
        <v>-1943</v>
      </c>
      <c r="S117" s="16">
        <v>46165</v>
      </c>
    </row>
    <row r="118" spans="1:19">
      <c r="A118" s="16">
        <v>46174</v>
      </c>
      <c r="B118" s="8" t="s">
        <v>26</v>
      </c>
      <c r="C118" s="8" t="s">
        <v>6</v>
      </c>
      <c r="D118" s="15"/>
      <c r="E118" s="15">
        <v>2860</v>
      </c>
      <c r="F118" s="15" t="s">
        <v>46</v>
      </c>
      <c r="G118" s="8" t="s">
        <v>789</v>
      </c>
      <c r="H118" s="14"/>
      <c r="I118" s="13"/>
      <c r="J118" s="7" t="s">
        <v>35</v>
      </c>
      <c r="K118" s="18" t="s">
        <v>34</v>
      </c>
      <c r="L118" s="7"/>
      <c r="M118" s="7" t="str">
        <f>IF(C118="Caixa","-",VLOOKUP(J118,[1]Estrutura!C:E,3,FALSE))</f>
        <v>4.1</v>
      </c>
      <c r="N118" s="7"/>
      <c r="O118" s="7">
        <f t="shared" si="4"/>
        <v>1</v>
      </c>
      <c r="P118" s="7">
        <f t="shared" si="5"/>
        <v>6</v>
      </c>
      <c r="Q118" s="7">
        <f t="shared" si="6"/>
        <v>2026</v>
      </c>
      <c r="R118" s="6">
        <f t="shared" si="7"/>
        <v>-2860</v>
      </c>
      <c r="S118" s="16">
        <v>46165</v>
      </c>
    </row>
    <row r="119" spans="1:19">
      <c r="A119" s="16">
        <v>46174</v>
      </c>
      <c r="B119" s="8" t="s">
        <v>26</v>
      </c>
      <c r="C119" s="8" t="s">
        <v>6</v>
      </c>
      <c r="D119" s="15"/>
      <c r="E119" s="11">
        <v>1835</v>
      </c>
      <c r="F119" s="15" t="s">
        <v>43</v>
      </c>
      <c r="G119" s="8" t="s">
        <v>789</v>
      </c>
      <c r="H119" s="14"/>
      <c r="I119" s="13"/>
      <c r="J119" s="7" t="s">
        <v>35</v>
      </c>
      <c r="K119" s="8" t="s">
        <v>40</v>
      </c>
      <c r="L119" s="8"/>
      <c r="M119" s="8" t="str">
        <f>IF(C119="Caixa","-",VLOOKUP(J119,[1]Estrutura!C:E,3,FALSE))</f>
        <v>4.1</v>
      </c>
      <c r="N119" s="8"/>
      <c r="O119" s="7">
        <f t="shared" si="4"/>
        <v>1</v>
      </c>
      <c r="P119" s="7">
        <f t="shared" si="5"/>
        <v>6</v>
      </c>
      <c r="Q119" s="7">
        <f t="shared" si="6"/>
        <v>2026</v>
      </c>
      <c r="R119" s="6">
        <f t="shared" si="7"/>
        <v>-1835</v>
      </c>
      <c r="S119" s="12">
        <v>46165</v>
      </c>
    </row>
    <row r="120" spans="1:19">
      <c r="A120" s="16">
        <v>46174</v>
      </c>
      <c r="B120" s="7" t="s">
        <v>26</v>
      </c>
      <c r="C120" s="7" t="s">
        <v>6</v>
      </c>
      <c r="D120" s="11"/>
      <c r="E120" s="11">
        <v>2211</v>
      </c>
      <c r="F120" s="42" t="s">
        <v>42</v>
      </c>
      <c r="G120" s="7" t="s">
        <v>789</v>
      </c>
      <c r="H120" s="10"/>
      <c r="I120" s="9"/>
      <c r="J120" s="7" t="s">
        <v>35</v>
      </c>
      <c r="K120" s="18" t="s">
        <v>34</v>
      </c>
      <c r="L120" s="7"/>
      <c r="M120" s="7" t="str">
        <f>IF(C120="Caixa","-",VLOOKUP(J120,[1]Estrutura!C:E,3,FALSE))</f>
        <v>4.1</v>
      </c>
      <c r="N120" s="7"/>
      <c r="O120" s="7">
        <f t="shared" si="4"/>
        <v>1</v>
      </c>
      <c r="P120" s="7">
        <f t="shared" si="5"/>
        <v>6</v>
      </c>
      <c r="Q120" s="7">
        <f t="shared" si="6"/>
        <v>2026</v>
      </c>
      <c r="R120" s="6">
        <f t="shared" si="7"/>
        <v>-2211</v>
      </c>
      <c r="S120" s="16">
        <v>46165</v>
      </c>
    </row>
    <row r="121" spans="1:19">
      <c r="A121" s="16">
        <v>46174</v>
      </c>
      <c r="B121" s="8" t="s">
        <v>26</v>
      </c>
      <c r="C121" s="8" t="s">
        <v>6</v>
      </c>
      <c r="D121" s="15"/>
      <c r="E121" s="15">
        <v>2211</v>
      </c>
      <c r="F121" s="46" t="s">
        <v>41</v>
      </c>
      <c r="G121" s="8" t="s">
        <v>789</v>
      </c>
      <c r="H121" s="14"/>
      <c r="I121" s="13"/>
      <c r="J121" s="7" t="s">
        <v>35</v>
      </c>
      <c r="K121" s="8" t="s">
        <v>40</v>
      </c>
      <c r="L121" s="8"/>
      <c r="M121" s="8" t="str">
        <f>IF(C121="Caixa","-",VLOOKUP(J121,[1]Estrutura!C:E,3,FALSE))</f>
        <v>4.1</v>
      </c>
      <c r="N121" s="8"/>
      <c r="O121" s="7">
        <f t="shared" si="4"/>
        <v>1</v>
      </c>
      <c r="P121" s="7">
        <f t="shared" si="5"/>
        <v>6</v>
      </c>
      <c r="Q121" s="7">
        <f t="shared" si="6"/>
        <v>2026</v>
      </c>
      <c r="R121" s="6">
        <f t="shared" si="7"/>
        <v>-2211</v>
      </c>
      <c r="S121" s="12">
        <v>46165</v>
      </c>
    </row>
    <row r="122" spans="1:19">
      <c r="A122" s="16">
        <v>46174</v>
      </c>
      <c r="B122" s="7" t="s">
        <v>26</v>
      </c>
      <c r="C122" s="7" t="s">
        <v>6</v>
      </c>
      <c r="D122" s="11"/>
      <c r="E122" s="15">
        <v>1943</v>
      </c>
      <c r="F122" s="11" t="s">
        <v>38</v>
      </c>
      <c r="G122" s="7" t="s">
        <v>788</v>
      </c>
      <c r="H122" s="10"/>
      <c r="I122" s="9"/>
      <c r="J122" s="7" t="s">
        <v>35</v>
      </c>
      <c r="K122" s="18" t="s">
        <v>34</v>
      </c>
      <c r="L122" s="49"/>
      <c r="M122" s="7" t="str">
        <f>IF(C122="Caixa","-",VLOOKUP(J122,[1]Estrutura!C:E,3,FALSE))</f>
        <v>4.1</v>
      </c>
      <c r="N122" s="7"/>
      <c r="O122" s="7">
        <f t="shared" si="4"/>
        <v>1</v>
      </c>
      <c r="P122" s="7">
        <f t="shared" si="5"/>
        <v>6</v>
      </c>
      <c r="Q122" s="7">
        <f t="shared" si="6"/>
        <v>2026</v>
      </c>
      <c r="R122" s="6">
        <f t="shared" si="7"/>
        <v>-1943</v>
      </c>
      <c r="S122" s="16">
        <v>46165</v>
      </c>
    </row>
    <row r="123" spans="1:19">
      <c r="A123" s="16">
        <v>46174</v>
      </c>
      <c r="B123" s="7" t="s">
        <v>7</v>
      </c>
      <c r="C123" s="7" t="s">
        <v>9</v>
      </c>
      <c r="D123" s="15">
        <v>10701.23</v>
      </c>
      <c r="E123" s="15"/>
      <c r="F123" s="15"/>
      <c r="G123" s="8" t="s">
        <v>11</v>
      </c>
      <c r="H123" s="8"/>
      <c r="I123" s="17"/>
      <c r="J123" s="8" t="s">
        <v>10</v>
      </c>
      <c r="K123" s="8"/>
      <c r="L123" s="8"/>
      <c r="M123" s="8" t="str">
        <f>IF(C123="Caixa","-",VLOOKUP(J123,[1]Estrutura!C:E,3,FALSE))</f>
        <v>1.1</v>
      </c>
      <c r="N123" s="8"/>
      <c r="O123" s="7">
        <f t="shared" si="4"/>
        <v>1</v>
      </c>
      <c r="P123" s="7">
        <f t="shared" si="5"/>
        <v>6</v>
      </c>
      <c r="Q123" s="7">
        <f t="shared" si="6"/>
        <v>2026</v>
      </c>
      <c r="R123" s="6">
        <f t="shared" si="7"/>
        <v>10701.23</v>
      </c>
      <c r="S123" s="16">
        <v>46165</v>
      </c>
    </row>
    <row r="124" spans="1:19">
      <c r="A124" s="16">
        <v>46174</v>
      </c>
      <c r="B124" s="8" t="s">
        <v>7</v>
      </c>
      <c r="C124" s="8" t="s">
        <v>9</v>
      </c>
      <c r="D124" s="64"/>
      <c r="E124" s="15">
        <v>5448.96</v>
      </c>
      <c r="F124" s="15" t="s">
        <v>97</v>
      </c>
      <c r="G124" s="8" t="s">
        <v>787</v>
      </c>
      <c r="H124" s="14"/>
      <c r="I124" s="13"/>
      <c r="J124" s="8" t="s">
        <v>33</v>
      </c>
      <c r="K124" s="8"/>
      <c r="L124" s="7"/>
      <c r="M124" s="7" t="str">
        <f>IF(C124="Caixa","-",VLOOKUP(J124,[1]Estrutura!C:E,3,FALSE))</f>
        <v>2.1</v>
      </c>
      <c r="N124" s="7"/>
      <c r="O124" s="7">
        <f t="shared" si="4"/>
        <v>1</v>
      </c>
      <c r="P124" s="7">
        <f t="shared" si="5"/>
        <v>6</v>
      </c>
      <c r="Q124" s="7">
        <f t="shared" si="6"/>
        <v>2026</v>
      </c>
      <c r="R124" s="6">
        <f t="shared" si="7"/>
        <v>-5448.96</v>
      </c>
      <c r="S124" s="12">
        <v>46165</v>
      </c>
    </row>
    <row r="125" spans="1:19">
      <c r="A125" s="16">
        <v>46174</v>
      </c>
      <c r="B125" s="7" t="s">
        <v>7</v>
      </c>
      <c r="C125" s="7" t="s">
        <v>9</v>
      </c>
      <c r="D125" s="11"/>
      <c r="E125" s="15">
        <v>3661.15</v>
      </c>
      <c r="F125" s="11" t="s">
        <v>159</v>
      </c>
      <c r="G125" s="7" t="s">
        <v>158</v>
      </c>
      <c r="H125" s="10"/>
      <c r="I125" s="9"/>
      <c r="J125" s="7" t="s">
        <v>29</v>
      </c>
      <c r="K125" s="7"/>
      <c r="L125" s="8"/>
      <c r="M125" s="8" t="str">
        <f>IF(C125="Caixa","-",VLOOKUP(J125,[1]Estrutura!C:E,3,FALSE))</f>
        <v>4.8</v>
      </c>
      <c r="N125" s="8"/>
      <c r="O125" s="7">
        <f t="shared" si="4"/>
        <v>1</v>
      </c>
      <c r="P125" s="7">
        <f t="shared" si="5"/>
        <v>6</v>
      </c>
      <c r="Q125" s="7">
        <f t="shared" si="6"/>
        <v>2026</v>
      </c>
      <c r="R125" s="6">
        <f t="shared" si="7"/>
        <v>-3661.15</v>
      </c>
      <c r="S125" s="16">
        <v>46165</v>
      </c>
    </row>
    <row r="126" spans="1:19">
      <c r="A126" s="16">
        <v>46174</v>
      </c>
      <c r="B126" s="8" t="s">
        <v>7</v>
      </c>
      <c r="C126" s="8" t="s">
        <v>9</v>
      </c>
      <c r="D126" s="15"/>
      <c r="E126" s="15">
        <v>12587.52</v>
      </c>
      <c r="F126" s="15" t="s">
        <v>94</v>
      </c>
      <c r="G126" s="15" t="s">
        <v>84</v>
      </c>
      <c r="H126" s="14"/>
      <c r="I126" s="13"/>
      <c r="J126" s="8" t="s">
        <v>83</v>
      </c>
      <c r="K126" s="8"/>
      <c r="L126" s="7"/>
      <c r="M126" s="7" t="str">
        <f>IF(C126="Caixa","-",VLOOKUP(J126,[1]Estrutura!C:E,3,FALSE))</f>
        <v>4.1</v>
      </c>
      <c r="N126" s="7"/>
      <c r="O126" s="7">
        <f t="shared" si="4"/>
        <v>1</v>
      </c>
      <c r="P126" s="7">
        <f t="shared" si="5"/>
        <v>6</v>
      </c>
      <c r="Q126" s="7">
        <f t="shared" si="6"/>
        <v>2026</v>
      </c>
      <c r="R126" s="6">
        <f t="shared" si="7"/>
        <v>-12587.52</v>
      </c>
      <c r="S126" s="12">
        <v>46165</v>
      </c>
    </row>
    <row r="127" spans="1:19">
      <c r="A127" s="16">
        <v>46174</v>
      </c>
      <c r="B127" s="7" t="s">
        <v>7</v>
      </c>
      <c r="C127" s="7" t="s">
        <v>9</v>
      </c>
      <c r="D127" s="11"/>
      <c r="E127" s="11">
        <v>12587.52</v>
      </c>
      <c r="F127" s="15" t="s">
        <v>85</v>
      </c>
      <c r="G127" s="11" t="s">
        <v>84</v>
      </c>
      <c r="H127" s="10"/>
      <c r="I127" s="9"/>
      <c r="J127" s="7" t="s">
        <v>83</v>
      </c>
      <c r="K127" s="7"/>
      <c r="L127" s="8"/>
      <c r="M127" s="8" t="str">
        <f>IF(C127="Caixa","-",VLOOKUP(J127,[1]Estrutura!C:E,3,FALSE))</f>
        <v>4.1</v>
      </c>
      <c r="N127" s="8"/>
      <c r="O127" s="7">
        <f t="shared" si="4"/>
        <v>1</v>
      </c>
      <c r="P127" s="7">
        <f t="shared" si="5"/>
        <v>6</v>
      </c>
      <c r="Q127" s="7">
        <f t="shared" si="6"/>
        <v>2026</v>
      </c>
      <c r="R127" s="6">
        <f t="shared" si="7"/>
        <v>-12587.52</v>
      </c>
      <c r="S127" s="16">
        <v>46166</v>
      </c>
    </row>
    <row r="128" spans="1:19">
      <c r="A128" s="16">
        <v>46174</v>
      </c>
      <c r="B128" s="8" t="s">
        <v>14</v>
      </c>
      <c r="C128" s="7" t="s">
        <v>9</v>
      </c>
      <c r="D128" s="15">
        <v>6162.68</v>
      </c>
      <c r="E128" s="15"/>
      <c r="F128" s="15"/>
      <c r="G128" s="8" t="s">
        <v>11</v>
      </c>
      <c r="H128" s="8"/>
      <c r="I128" s="17"/>
      <c r="J128" s="8" t="s">
        <v>10</v>
      </c>
      <c r="K128" s="8"/>
      <c r="L128" s="7"/>
      <c r="M128" s="7" t="str">
        <f>IF(C128="Caixa","-",VLOOKUP(J128,[1]Estrutura!C:E,3,FALSE))</f>
        <v>1.1</v>
      </c>
      <c r="N128" s="7"/>
      <c r="O128" s="7">
        <f t="shared" si="4"/>
        <v>1</v>
      </c>
      <c r="P128" s="7">
        <f t="shared" si="5"/>
        <v>6</v>
      </c>
      <c r="Q128" s="7">
        <f t="shared" si="6"/>
        <v>2026</v>
      </c>
      <c r="R128" s="6">
        <f t="shared" si="7"/>
        <v>6162.68</v>
      </c>
      <c r="S128" s="16">
        <v>46167</v>
      </c>
    </row>
    <row r="129" spans="1:19">
      <c r="A129" s="16">
        <v>46174</v>
      </c>
      <c r="B129" s="8" t="s">
        <v>14</v>
      </c>
      <c r="C129" s="7" t="s">
        <v>9</v>
      </c>
      <c r="D129" s="15">
        <v>4745.43</v>
      </c>
      <c r="E129" s="15"/>
      <c r="F129" s="15"/>
      <c r="G129" s="8" t="s">
        <v>11</v>
      </c>
      <c r="H129" s="8"/>
      <c r="I129" s="17"/>
      <c r="J129" s="8" t="s">
        <v>10</v>
      </c>
      <c r="K129" s="8"/>
      <c r="L129" s="8"/>
      <c r="M129" s="8" t="str">
        <f>IF(C129="Caixa","-",VLOOKUP(J129,[1]Estrutura!C:E,3,FALSE))</f>
        <v>1.1</v>
      </c>
      <c r="N129" s="8"/>
      <c r="O129" s="7">
        <f t="shared" si="4"/>
        <v>1</v>
      </c>
      <c r="P129" s="7">
        <f t="shared" si="5"/>
        <v>6</v>
      </c>
      <c r="Q129" s="7">
        <f t="shared" si="6"/>
        <v>2026</v>
      </c>
      <c r="R129" s="6">
        <f t="shared" si="7"/>
        <v>4745.43</v>
      </c>
      <c r="S129" s="16">
        <v>46167</v>
      </c>
    </row>
    <row r="130" spans="1:19">
      <c r="A130" s="16">
        <v>46174</v>
      </c>
      <c r="B130" s="7" t="s">
        <v>14</v>
      </c>
      <c r="C130" s="7" t="s">
        <v>9</v>
      </c>
      <c r="D130" s="11"/>
      <c r="E130" s="15">
        <v>5000</v>
      </c>
      <c r="F130" s="11"/>
      <c r="G130" s="8" t="s">
        <v>61</v>
      </c>
      <c r="H130" s="7"/>
      <c r="I130" s="30"/>
      <c r="J130" s="7" t="s">
        <v>35</v>
      </c>
      <c r="K130" s="7"/>
      <c r="L130" s="7"/>
      <c r="M130" s="7" t="str">
        <f>IF(C130="Caixa","-",VLOOKUP(J130,[1]Estrutura!C:E,3,FALSE))</f>
        <v>4.1</v>
      </c>
      <c r="N130" s="7"/>
      <c r="O130" s="7">
        <f t="shared" si="4"/>
        <v>1</v>
      </c>
      <c r="P130" s="7">
        <f t="shared" si="5"/>
        <v>6</v>
      </c>
      <c r="Q130" s="7">
        <f t="shared" si="6"/>
        <v>2026</v>
      </c>
      <c r="R130" s="6">
        <f t="shared" si="7"/>
        <v>-5000</v>
      </c>
      <c r="S130" s="26">
        <v>46167</v>
      </c>
    </row>
    <row r="131" spans="1:19">
      <c r="A131" s="16">
        <v>46174</v>
      </c>
      <c r="B131" s="8" t="s">
        <v>26</v>
      </c>
      <c r="C131" s="8" t="s">
        <v>6</v>
      </c>
      <c r="D131" s="15"/>
      <c r="E131" s="15">
        <v>1000</v>
      </c>
      <c r="F131" s="15" t="s">
        <v>60</v>
      </c>
      <c r="G131" s="8" t="s">
        <v>57</v>
      </c>
      <c r="H131" s="14"/>
      <c r="I131" s="13"/>
      <c r="J131" s="8" t="s">
        <v>56</v>
      </c>
      <c r="K131" s="8" t="s">
        <v>21</v>
      </c>
      <c r="L131" s="8"/>
      <c r="M131" s="8" t="str">
        <f>IF(C131="Caixa","-",VLOOKUP(J131,[1]Estrutura!C:E,3,FALSE))</f>
        <v>6.1</v>
      </c>
      <c r="N131" s="8"/>
      <c r="O131" s="7">
        <f t="shared" si="4"/>
        <v>1</v>
      </c>
      <c r="P131" s="7">
        <f t="shared" si="5"/>
        <v>6</v>
      </c>
      <c r="Q131" s="7">
        <f t="shared" si="6"/>
        <v>2026</v>
      </c>
      <c r="R131" s="6">
        <f t="shared" si="7"/>
        <v>-1000</v>
      </c>
      <c r="S131" s="26">
        <v>46167</v>
      </c>
    </row>
    <row r="132" spans="1:19">
      <c r="A132" s="16">
        <v>46174</v>
      </c>
      <c r="B132" s="8" t="s">
        <v>26</v>
      </c>
      <c r="C132" s="8" t="s">
        <v>6</v>
      </c>
      <c r="D132" s="15"/>
      <c r="E132" s="15">
        <v>1000</v>
      </c>
      <c r="F132" s="15" t="s">
        <v>59</v>
      </c>
      <c r="G132" s="8" t="s">
        <v>57</v>
      </c>
      <c r="H132" s="14"/>
      <c r="I132" s="13"/>
      <c r="J132" s="8" t="s">
        <v>56</v>
      </c>
      <c r="K132" s="8" t="s">
        <v>21</v>
      </c>
      <c r="L132" s="7"/>
      <c r="M132" s="7" t="str">
        <f>IF(C132="Caixa","-",VLOOKUP(J132,[1]Estrutura!C:E,3,FALSE))</f>
        <v>6.1</v>
      </c>
      <c r="N132" s="7"/>
      <c r="O132" s="7">
        <f t="shared" si="4"/>
        <v>1</v>
      </c>
      <c r="P132" s="7">
        <f t="shared" si="5"/>
        <v>6</v>
      </c>
      <c r="Q132" s="7">
        <f t="shared" si="6"/>
        <v>2026</v>
      </c>
      <c r="R132" s="6">
        <f t="shared" si="7"/>
        <v>-1000</v>
      </c>
      <c r="S132" s="26">
        <v>46167</v>
      </c>
    </row>
    <row r="133" spans="1:19">
      <c r="A133" s="16">
        <v>46174</v>
      </c>
      <c r="B133" s="8" t="s">
        <v>26</v>
      </c>
      <c r="C133" s="8" t="s">
        <v>6</v>
      </c>
      <c r="D133" s="15"/>
      <c r="E133" s="15">
        <v>1000</v>
      </c>
      <c r="F133" s="15" t="s">
        <v>58</v>
      </c>
      <c r="G133" s="8" t="s">
        <v>57</v>
      </c>
      <c r="H133" s="14"/>
      <c r="I133" s="13"/>
      <c r="J133" s="8" t="s">
        <v>56</v>
      </c>
      <c r="K133" s="8" t="s">
        <v>21</v>
      </c>
      <c r="L133" s="8"/>
      <c r="M133" s="8" t="str">
        <f>IF(C133="Caixa","-",VLOOKUP(J133,[1]Estrutura!C:E,3,FALSE))</f>
        <v>6.1</v>
      </c>
      <c r="N133" s="8"/>
      <c r="O133" s="7">
        <f t="shared" si="4"/>
        <v>1</v>
      </c>
      <c r="P133" s="7">
        <f t="shared" si="5"/>
        <v>6</v>
      </c>
      <c r="Q133" s="7">
        <f t="shared" si="6"/>
        <v>2026</v>
      </c>
      <c r="R133" s="6">
        <f t="shared" si="7"/>
        <v>-1000</v>
      </c>
      <c r="S133" s="12">
        <v>46167</v>
      </c>
    </row>
    <row r="134" spans="1:19">
      <c r="A134" s="16">
        <v>46174</v>
      </c>
      <c r="B134" s="7" t="s">
        <v>26</v>
      </c>
      <c r="C134" s="7" t="s">
        <v>6</v>
      </c>
      <c r="D134" s="11"/>
      <c r="E134" s="15">
        <v>4050</v>
      </c>
      <c r="F134" s="11"/>
      <c r="G134" s="7" t="s">
        <v>55</v>
      </c>
      <c r="H134" s="10"/>
      <c r="I134" s="9"/>
      <c r="J134" s="7" t="s">
        <v>54</v>
      </c>
      <c r="K134" s="7" t="s">
        <v>34</v>
      </c>
      <c r="L134" s="7"/>
      <c r="M134" s="7" t="str">
        <f>IF(C134="Caixa","-",VLOOKUP(J134,[1]Estrutura!C:E,3,FALSE))</f>
        <v>4.11</v>
      </c>
      <c r="N134" s="7"/>
      <c r="O134" s="7">
        <f t="shared" si="4"/>
        <v>1</v>
      </c>
      <c r="P134" s="7">
        <f t="shared" si="5"/>
        <v>6</v>
      </c>
      <c r="Q134" s="7">
        <f t="shared" si="6"/>
        <v>2026</v>
      </c>
      <c r="R134" s="6">
        <f t="shared" si="7"/>
        <v>-4050</v>
      </c>
      <c r="S134" s="16">
        <v>46167</v>
      </c>
    </row>
    <row r="135" spans="1:19">
      <c r="A135" s="16">
        <v>46174</v>
      </c>
      <c r="B135" s="7" t="s">
        <v>7</v>
      </c>
      <c r="C135" s="7" t="s">
        <v>9</v>
      </c>
      <c r="D135" s="15">
        <v>1735.42</v>
      </c>
      <c r="E135" s="15"/>
      <c r="F135" s="15"/>
      <c r="G135" s="8" t="s">
        <v>11</v>
      </c>
      <c r="H135" s="8"/>
      <c r="I135" s="17"/>
      <c r="J135" s="8" t="s">
        <v>10</v>
      </c>
      <c r="K135" s="8"/>
      <c r="L135" s="8"/>
      <c r="M135" s="8" t="str">
        <f>IF(C135="Caixa","-",VLOOKUP(J135,[1]Estrutura!C:E,3,FALSE))</f>
        <v>1.1</v>
      </c>
      <c r="N135" s="8"/>
      <c r="O135" s="7">
        <f t="shared" si="4"/>
        <v>1</v>
      </c>
      <c r="P135" s="7">
        <f t="shared" si="5"/>
        <v>6</v>
      </c>
      <c r="Q135" s="7">
        <f t="shared" si="6"/>
        <v>2026</v>
      </c>
      <c r="R135" s="6">
        <f t="shared" si="7"/>
        <v>1735.42</v>
      </c>
      <c r="S135" s="12">
        <v>46167</v>
      </c>
    </row>
    <row r="136" spans="1:19">
      <c r="A136" s="16">
        <v>46174</v>
      </c>
      <c r="B136" s="7" t="s">
        <v>7</v>
      </c>
      <c r="C136" s="7" t="s">
        <v>9</v>
      </c>
      <c r="D136" s="11"/>
      <c r="E136" s="11">
        <v>33333</v>
      </c>
      <c r="F136" s="11"/>
      <c r="G136" s="7" t="s">
        <v>30</v>
      </c>
      <c r="H136" s="10"/>
      <c r="I136" s="9"/>
      <c r="J136" s="7" t="s">
        <v>29</v>
      </c>
      <c r="K136" s="7"/>
      <c r="L136" s="7"/>
      <c r="M136" s="7" t="str">
        <f>IF(C136="Caixa","-",VLOOKUP(J136,[1]Estrutura!C:E,3,FALSE))</f>
        <v>4.8</v>
      </c>
      <c r="N136" s="7"/>
      <c r="O136" s="7">
        <f t="shared" si="4"/>
        <v>1</v>
      </c>
      <c r="P136" s="7">
        <f t="shared" si="5"/>
        <v>6</v>
      </c>
      <c r="Q136" s="7">
        <f t="shared" si="6"/>
        <v>2026</v>
      </c>
      <c r="R136" s="6">
        <f t="shared" si="7"/>
        <v>-33333</v>
      </c>
      <c r="S136" s="12">
        <v>46168</v>
      </c>
    </row>
    <row r="137" spans="1:19">
      <c r="A137" s="16">
        <v>46174</v>
      </c>
      <c r="B137" s="8" t="s">
        <v>7</v>
      </c>
      <c r="C137" s="8" t="s">
        <v>9</v>
      </c>
      <c r="D137" s="15"/>
      <c r="E137" s="15">
        <v>8000</v>
      </c>
      <c r="F137" s="15"/>
      <c r="G137" s="8" t="s">
        <v>28</v>
      </c>
      <c r="H137" s="8"/>
      <c r="I137" s="13"/>
      <c r="J137" s="8" t="s">
        <v>27</v>
      </c>
      <c r="K137" s="8"/>
      <c r="L137" s="8"/>
      <c r="M137" s="8" t="str">
        <f>IF(C137="Caixa","-",VLOOKUP(J137,[1]Estrutura!C:E,3,FALSE))</f>
        <v>7.3</v>
      </c>
      <c r="N137" s="8"/>
      <c r="O137" s="7">
        <f t="shared" si="4"/>
        <v>1</v>
      </c>
      <c r="P137" s="7">
        <f t="shared" si="5"/>
        <v>6</v>
      </c>
      <c r="Q137" s="7">
        <f t="shared" si="6"/>
        <v>2026</v>
      </c>
      <c r="R137" s="6">
        <f t="shared" si="7"/>
        <v>-8000</v>
      </c>
      <c r="S137" s="16">
        <v>46168</v>
      </c>
    </row>
    <row r="138" spans="1:19">
      <c r="A138" s="16">
        <v>46174</v>
      </c>
      <c r="B138" s="7" t="s">
        <v>14</v>
      </c>
      <c r="C138" s="7" t="s">
        <v>9</v>
      </c>
      <c r="D138" s="11"/>
      <c r="E138" s="11">
        <v>616</v>
      </c>
      <c r="F138" s="11" t="s">
        <v>73</v>
      </c>
      <c r="G138" s="7" t="s">
        <v>622</v>
      </c>
      <c r="H138" s="10"/>
      <c r="I138" s="9"/>
      <c r="J138" s="7" t="s">
        <v>77</v>
      </c>
      <c r="K138" s="7"/>
      <c r="L138" s="7"/>
      <c r="M138" s="7" t="str">
        <f>IF(C138="Caixa","-",VLOOKUP(J138,[1]Estrutura!C:E,3,FALSE))</f>
        <v>4.3</v>
      </c>
      <c r="N138" s="7"/>
      <c r="O138" s="7">
        <f t="shared" si="4"/>
        <v>1</v>
      </c>
      <c r="P138" s="7">
        <f t="shared" si="5"/>
        <v>6</v>
      </c>
      <c r="Q138" s="7">
        <f t="shared" si="6"/>
        <v>2026</v>
      </c>
      <c r="R138" s="6">
        <f t="shared" si="7"/>
        <v>-616</v>
      </c>
      <c r="S138" s="12">
        <v>46168</v>
      </c>
    </row>
    <row r="139" spans="1:19">
      <c r="A139" s="16">
        <v>46174</v>
      </c>
      <c r="B139" s="8" t="s">
        <v>14</v>
      </c>
      <c r="C139" s="8" t="s">
        <v>9</v>
      </c>
      <c r="D139" s="15"/>
      <c r="E139" s="15">
        <v>2305.52</v>
      </c>
      <c r="F139" s="15" t="s">
        <v>786</v>
      </c>
      <c r="G139" s="8" t="s">
        <v>785</v>
      </c>
      <c r="H139" s="14"/>
      <c r="I139" s="13"/>
      <c r="J139" s="8" t="s">
        <v>64</v>
      </c>
      <c r="K139" s="8"/>
      <c r="L139" s="8"/>
      <c r="M139" s="8" t="str">
        <f>IF(C139="Caixa","-",VLOOKUP(J139,[1]Estrutura!C:E,3,FALSE))</f>
        <v>4.4</v>
      </c>
      <c r="N139" s="8"/>
      <c r="O139" s="7">
        <f t="shared" si="4"/>
        <v>1</v>
      </c>
      <c r="P139" s="7">
        <f t="shared" si="5"/>
        <v>6</v>
      </c>
      <c r="Q139" s="7">
        <f t="shared" si="6"/>
        <v>2026</v>
      </c>
      <c r="R139" s="6">
        <f t="shared" si="7"/>
        <v>-2305.52</v>
      </c>
      <c r="S139" s="16">
        <v>46168</v>
      </c>
    </row>
    <row r="140" spans="1:19">
      <c r="A140" s="16">
        <v>46174</v>
      </c>
      <c r="B140" s="7" t="s">
        <v>14</v>
      </c>
      <c r="C140" s="7" t="s">
        <v>9</v>
      </c>
      <c r="D140" s="11"/>
      <c r="E140" s="11">
        <v>2136.8000000000002</v>
      </c>
      <c r="F140" s="11" t="s">
        <v>166</v>
      </c>
      <c r="G140" s="7" t="s">
        <v>784</v>
      </c>
      <c r="H140" s="10"/>
      <c r="I140" s="9"/>
      <c r="J140" s="7" t="s">
        <v>64</v>
      </c>
      <c r="K140" s="7"/>
      <c r="L140" s="7"/>
      <c r="M140" s="7" t="str">
        <f>IF(C140="Caixa","-",VLOOKUP(J140,[1]Estrutura!C:E,3,FALSE))</f>
        <v>4.4</v>
      </c>
      <c r="N140" s="7"/>
      <c r="O140" s="7">
        <f t="shared" si="4"/>
        <v>1</v>
      </c>
      <c r="P140" s="7">
        <f t="shared" si="5"/>
        <v>6</v>
      </c>
      <c r="Q140" s="7">
        <f t="shared" si="6"/>
        <v>2026</v>
      </c>
      <c r="R140" s="6">
        <f t="shared" si="7"/>
        <v>-2136.8000000000002</v>
      </c>
      <c r="S140" s="12">
        <v>46168</v>
      </c>
    </row>
    <row r="141" spans="1:19">
      <c r="A141" s="16">
        <v>46174</v>
      </c>
      <c r="B141" s="8" t="s">
        <v>14</v>
      </c>
      <c r="C141" s="8" t="s">
        <v>9</v>
      </c>
      <c r="D141" s="15"/>
      <c r="E141" s="15">
        <v>716.48</v>
      </c>
      <c r="F141" s="15" t="s">
        <v>24</v>
      </c>
      <c r="G141" s="8" t="s">
        <v>127</v>
      </c>
      <c r="H141" s="14"/>
      <c r="I141" s="13"/>
      <c r="J141" s="8" t="s">
        <v>22</v>
      </c>
      <c r="K141" s="8"/>
      <c r="L141" s="8"/>
      <c r="M141" s="8" t="str">
        <f>IF(C141="Caixa","-",VLOOKUP(J141,[1]Estrutura!C:E,3,FALSE))</f>
        <v>4.3</v>
      </c>
      <c r="N141" s="8"/>
      <c r="O141" s="7">
        <f t="shared" si="4"/>
        <v>1</v>
      </c>
      <c r="P141" s="7">
        <f t="shared" si="5"/>
        <v>6</v>
      </c>
      <c r="Q141" s="7">
        <f t="shared" si="6"/>
        <v>2026</v>
      </c>
      <c r="R141" s="6">
        <f t="shared" si="7"/>
        <v>-716.48</v>
      </c>
      <c r="S141" s="12">
        <v>46168</v>
      </c>
    </row>
    <row r="142" spans="1:19">
      <c r="A142" s="16">
        <v>46174</v>
      </c>
      <c r="B142" s="7" t="s">
        <v>14</v>
      </c>
      <c r="C142" s="7" t="s">
        <v>9</v>
      </c>
      <c r="D142" s="11"/>
      <c r="E142" s="11">
        <v>84.57</v>
      </c>
      <c r="F142" s="11" t="s">
        <v>24</v>
      </c>
      <c r="G142" s="7" t="s">
        <v>316</v>
      </c>
      <c r="H142" s="10"/>
      <c r="I142" s="9"/>
      <c r="J142" s="7" t="s">
        <v>22</v>
      </c>
      <c r="K142" s="7"/>
      <c r="L142" s="7"/>
      <c r="M142" s="7" t="str">
        <f>IF(C142="Caixa","-",VLOOKUP(J142,[1]Estrutura!C:E,3,FALSE))</f>
        <v>4.3</v>
      </c>
      <c r="N142" s="7"/>
      <c r="O142" s="7">
        <f t="shared" ref="O142:O205" si="8">DAY(A142)</f>
        <v>1</v>
      </c>
      <c r="P142" s="7">
        <f t="shared" ref="P142:P205" si="9">MONTH(A142)</f>
        <v>6</v>
      </c>
      <c r="Q142" s="7">
        <f t="shared" ref="Q142:Q205" si="10">YEAR(A142)</f>
        <v>2026</v>
      </c>
      <c r="R142" s="6">
        <f t="shared" ref="R142:R205" si="11">D142-E142</f>
        <v>-84.57</v>
      </c>
      <c r="S142" s="16">
        <v>46168</v>
      </c>
    </row>
    <row r="143" spans="1:19">
      <c r="A143" s="16">
        <v>46174</v>
      </c>
      <c r="B143" s="8" t="s">
        <v>26</v>
      </c>
      <c r="C143" s="8" t="s">
        <v>25</v>
      </c>
      <c r="D143" s="15">
        <v>1442</v>
      </c>
      <c r="E143" s="15"/>
      <c r="F143" s="15" t="s">
        <v>109</v>
      </c>
      <c r="G143" s="8" t="s">
        <v>108</v>
      </c>
      <c r="H143" s="14"/>
      <c r="I143" s="13"/>
      <c r="J143" s="8" t="s">
        <v>107</v>
      </c>
      <c r="K143" s="24" t="s">
        <v>21</v>
      </c>
      <c r="L143" s="8"/>
      <c r="M143" s="8" t="str">
        <f>IF(C143="Caixa","-",VLOOKUP(J143,[1]Estrutura!C:E,3,FALSE))</f>
        <v>1.4</v>
      </c>
      <c r="N143" s="8"/>
      <c r="O143" s="7">
        <f t="shared" si="8"/>
        <v>1</v>
      </c>
      <c r="P143" s="7">
        <f t="shared" si="9"/>
        <v>6</v>
      </c>
      <c r="Q143" s="7">
        <f t="shared" si="10"/>
        <v>2026</v>
      </c>
      <c r="R143" s="6">
        <f t="shared" si="11"/>
        <v>1442</v>
      </c>
      <c r="S143" s="12">
        <v>46168</v>
      </c>
    </row>
    <row r="144" spans="1:19">
      <c r="A144" s="16">
        <v>46174</v>
      </c>
      <c r="B144" s="24" t="s">
        <v>26</v>
      </c>
      <c r="C144" s="8" t="s">
        <v>6</v>
      </c>
      <c r="D144" s="15"/>
      <c r="E144" s="15">
        <v>3470</v>
      </c>
      <c r="F144" s="15" t="s">
        <v>676</v>
      </c>
      <c r="G144" s="8" t="s">
        <v>675</v>
      </c>
      <c r="H144" s="14"/>
      <c r="I144" s="13"/>
      <c r="J144" s="8" t="s">
        <v>52</v>
      </c>
      <c r="K144" s="8" t="s">
        <v>34</v>
      </c>
      <c r="L144" s="7"/>
      <c r="M144" s="7" t="str">
        <f>IF(C144="Caixa","-",VLOOKUP(J144,[1]Estrutura!C:E,3,FALSE))</f>
        <v>4.2</v>
      </c>
      <c r="N144" s="7"/>
      <c r="O144" s="7">
        <f t="shared" si="8"/>
        <v>1</v>
      </c>
      <c r="P144" s="7">
        <f t="shared" si="9"/>
        <v>6</v>
      </c>
      <c r="Q144" s="7">
        <f t="shared" si="10"/>
        <v>2026</v>
      </c>
      <c r="R144" s="6">
        <f t="shared" si="11"/>
        <v>-3470</v>
      </c>
      <c r="S144" s="16">
        <v>46168</v>
      </c>
    </row>
    <row r="145" spans="1:19">
      <c r="A145" s="12">
        <v>46171</v>
      </c>
      <c r="B145" s="18" t="s">
        <v>26</v>
      </c>
      <c r="C145" s="18" t="s">
        <v>6</v>
      </c>
      <c r="D145" s="11"/>
      <c r="E145" s="11">
        <v>130000</v>
      </c>
      <c r="F145" s="11" t="s">
        <v>32</v>
      </c>
      <c r="G145" s="18" t="s">
        <v>783</v>
      </c>
      <c r="H145" s="18"/>
      <c r="I145" s="28"/>
      <c r="J145" s="7" t="s">
        <v>12</v>
      </c>
      <c r="K145" s="18" t="s">
        <v>21</v>
      </c>
      <c r="L145" s="8"/>
      <c r="M145" s="8" t="str">
        <f>IF(C145="Caixa","-",VLOOKUP(J145,[1]Estrutura!C:E,3,FALSE))</f>
        <v>4.9</v>
      </c>
      <c r="N145" s="8"/>
      <c r="O145" s="7">
        <f t="shared" si="8"/>
        <v>29</v>
      </c>
      <c r="P145" s="7">
        <f t="shared" si="9"/>
        <v>5</v>
      </c>
      <c r="Q145" s="7">
        <f t="shared" si="10"/>
        <v>2026</v>
      </c>
      <c r="R145" s="6">
        <f t="shared" si="11"/>
        <v>-130000</v>
      </c>
      <c r="S145" s="16">
        <v>46168</v>
      </c>
    </row>
    <row r="146" spans="1:19">
      <c r="A146" s="16">
        <v>46174</v>
      </c>
      <c r="B146" s="24" t="s">
        <v>26</v>
      </c>
      <c r="C146" s="8" t="s">
        <v>6</v>
      </c>
      <c r="D146" s="15"/>
      <c r="E146" s="15">
        <v>9762</v>
      </c>
      <c r="F146" s="15" t="s">
        <v>69</v>
      </c>
      <c r="G146" s="8" t="s">
        <v>625</v>
      </c>
      <c r="H146" s="14"/>
      <c r="I146" s="13"/>
      <c r="J146" s="21" t="s">
        <v>67</v>
      </c>
      <c r="K146" s="8" t="s">
        <v>21</v>
      </c>
      <c r="L146" s="7"/>
      <c r="M146" s="7" t="str">
        <f>IF(C146="Caixa","-",VLOOKUP(J146,[1]Estrutura!C:E,3,FALSE))</f>
        <v>4.5</v>
      </c>
      <c r="N146" s="7"/>
      <c r="O146" s="7">
        <f t="shared" si="8"/>
        <v>1</v>
      </c>
      <c r="P146" s="7">
        <f t="shared" si="9"/>
        <v>6</v>
      </c>
      <c r="Q146" s="7">
        <f t="shared" si="10"/>
        <v>2026</v>
      </c>
      <c r="R146" s="6">
        <f t="shared" si="11"/>
        <v>-9762</v>
      </c>
      <c r="S146" s="16">
        <v>46169</v>
      </c>
    </row>
    <row r="147" spans="1:19">
      <c r="A147" s="16">
        <v>46174</v>
      </c>
      <c r="B147" s="7" t="s">
        <v>7</v>
      </c>
      <c r="C147" s="7" t="s">
        <v>9</v>
      </c>
      <c r="D147" s="15">
        <v>17339.330000000002</v>
      </c>
      <c r="E147" s="15"/>
      <c r="F147" s="15"/>
      <c r="G147" s="8" t="s">
        <v>11</v>
      </c>
      <c r="H147" s="8"/>
      <c r="I147" s="17"/>
      <c r="J147" s="8" t="s">
        <v>10</v>
      </c>
      <c r="K147" s="8"/>
      <c r="L147" s="8"/>
      <c r="M147" s="8" t="str">
        <f>IF(C147="Caixa","-",VLOOKUP(J147,[1]Estrutura!C:E,3,FALSE))</f>
        <v>1.1</v>
      </c>
      <c r="N147" s="8"/>
      <c r="O147" s="7">
        <f t="shared" si="8"/>
        <v>1</v>
      </c>
      <c r="P147" s="7">
        <f t="shared" si="9"/>
        <v>6</v>
      </c>
      <c r="Q147" s="7">
        <f t="shared" si="10"/>
        <v>2026</v>
      </c>
      <c r="R147" s="6">
        <f t="shared" si="11"/>
        <v>17339.330000000002</v>
      </c>
      <c r="S147" s="16">
        <v>46169</v>
      </c>
    </row>
    <row r="148" spans="1:19">
      <c r="A148" s="16">
        <v>46174</v>
      </c>
      <c r="B148" s="8" t="s">
        <v>14</v>
      </c>
      <c r="C148" s="7" t="s">
        <v>9</v>
      </c>
      <c r="D148" s="15">
        <v>5091.26</v>
      </c>
      <c r="E148" s="15"/>
      <c r="F148" s="15"/>
      <c r="G148" s="8" t="s">
        <v>11</v>
      </c>
      <c r="H148" s="8"/>
      <c r="I148" s="17"/>
      <c r="J148" s="8" t="s">
        <v>10</v>
      </c>
      <c r="K148" s="8"/>
      <c r="L148" s="7"/>
      <c r="M148" s="7" t="str">
        <f>IF(C148="Caixa","-",VLOOKUP(J148,[1]Estrutura!C:E,3,FALSE))</f>
        <v>1.1</v>
      </c>
      <c r="N148" s="7"/>
      <c r="O148" s="7">
        <f t="shared" si="8"/>
        <v>1</v>
      </c>
      <c r="P148" s="7">
        <f t="shared" si="9"/>
        <v>6</v>
      </c>
      <c r="Q148" s="7">
        <f t="shared" si="10"/>
        <v>2026</v>
      </c>
      <c r="R148" s="6">
        <f t="shared" si="11"/>
        <v>5091.26</v>
      </c>
      <c r="S148" s="12">
        <v>46169</v>
      </c>
    </row>
    <row r="149" spans="1:19">
      <c r="A149" s="16">
        <v>46174</v>
      </c>
      <c r="B149" s="8" t="s">
        <v>14</v>
      </c>
      <c r="C149" s="8" t="s">
        <v>9</v>
      </c>
      <c r="D149" s="15"/>
      <c r="E149" s="15">
        <v>38.99</v>
      </c>
      <c r="F149" s="15" t="s">
        <v>630</v>
      </c>
      <c r="G149" s="8" t="s">
        <v>616</v>
      </c>
      <c r="H149" s="14"/>
      <c r="I149" s="13"/>
      <c r="J149" s="8" t="s">
        <v>77</v>
      </c>
      <c r="K149" s="8"/>
      <c r="L149" s="8"/>
      <c r="M149" s="8" t="str">
        <f>IF(C149="Caixa","-",VLOOKUP(J149,[1]Estrutura!C:E,3,FALSE))</f>
        <v>4.3</v>
      </c>
      <c r="N149" s="8"/>
      <c r="O149" s="7">
        <f t="shared" si="8"/>
        <v>1</v>
      </c>
      <c r="P149" s="7">
        <f t="shared" si="9"/>
        <v>6</v>
      </c>
      <c r="Q149" s="7">
        <f t="shared" si="10"/>
        <v>2026</v>
      </c>
      <c r="R149" s="6">
        <f t="shared" si="11"/>
        <v>-38.99</v>
      </c>
      <c r="S149" s="16">
        <v>46169</v>
      </c>
    </row>
    <row r="150" spans="1:19">
      <c r="A150" s="16">
        <v>46174</v>
      </c>
      <c r="B150" s="7" t="s">
        <v>14</v>
      </c>
      <c r="C150" s="7" t="s">
        <v>9</v>
      </c>
      <c r="D150" s="11"/>
      <c r="E150" s="11">
        <v>282.60000000000002</v>
      </c>
      <c r="F150" s="11" t="s">
        <v>782</v>
      </c>
      <c r="G150" s="7" t="s">
        <v>781</v>
      </c>
      <c r="H150" s="10"/>
      <c r="I150" s="9"/>
      <c r="J150" s="7" t="s">
        <v>64</v>
      </c>
      <c r="K150" s="7"/>
      <c r="L150" s="7"/>
      <c r="M150" s="7" t="str">
        <f>IF(C150="Caixa","-",VLOOKUP(J150,[1]Estrutura!C:E,3,FALSE))</f>
        <v>4.4</v>
      </c>
      <c r="N150" s="7"/>
      <c r="O150" s="7">
        <f t="shared" si="8"/>
        <v>1</v>
      </c>
      <c r="P150" s="7">
        <f t="shared" si="9"/>
        <v>6</v>
      </c>
      <c r="Q150" s="7">
        <f t="shared" si="10"/>
        <v>2026</v>
      </c>
      <c r="R150" s="6">
        <f t="shared" si="11"/>
        <v>-282.60000000000002</v>
      </c>
      <c r="S150" s="16">
        <v>46170</v>
      </c>
    </row>
    <row r="151" spans="1:19">
      <c r="A151" s="16">
        <v>46174</v>
      </c>
      <c r="B151" s="7" t="s">
        <v>7</v>
      </c>
      <c r="C151" s="7" t="s">
        <v>9</v>
      </c>
      <c r="D151" s="15">
        <v>9132.93</v>
      </c>
      <c r="E151" s="15"/>
      <c r="F151" s="15"/>
      <c r="G151" s="8" t="s">
        <v>11</v>
      </c>
      <c r="H151" s="8"/>
      <c r="I151" s="17"/>
      <c r="J151" s="8" t="s">
        <v>10</v>
      </c>
      <c r="K151" s="8"/>
      <c r="L151" s="8"/>
      <c r="M151" s="8" t="str">
        <f>IF(C151="Caixa","-",VLOOKUP(J151,[1]Estrutura!C:E,3,FALSE))</f>
        <v>1.1</v>
      </c>
      <c r="N151" s="8"/>
      <c r="O151" s="7">
        <f t="shared" si="8"/>
        <v>1</v>
      </c>
      <c r="P151" s="7">
        <f t="shared" si="9"/>
        <v>6</v>
      </c>
      <c r="Q151" s="7">
        <f t="shared" si="10"/>
        <v>2026</v>
      </c>
      <c r="R151" s="6">
        <f t="shared" si="11"/>
        <v>9132.93</v>
      </c>
      <c r="S151" s="16">
        <v>46170</v>
      </c>
    </row>
    <row r="152" spans="1:19">
      <c r="A152" s="16">
        <v>46170</v>
      </c>
      <c r="B152" s="8" t="s">
        <v>14</v>
      </c>
      <c r="C152" s="7" t="s">
        <v>9</v>
      </c>
      <c r="D152" s="15">
        <v>2854.33</v>
      </c>
      <c r="E152" s="15"/>
      <c r="F152" s="15"/>
      <c r="G152" s="8" t="s">
        <v>11</v>
      </c>
      <c r="H152" s="8"/>
      <c r="I152" s="17"/>
      <c r="J152" s="8" t="s">
        <v>10</v>
      </c>
      <c r="K152" s="8"/>
      <c r="L152" s="7"/>
      <c r="M152" s="7" t="str">
        <f>IF(C152="Caixa","-",VLOOKUP(J152,[1]Estrutura!C:E,3,FALSE))</f>
        <v>1.1</v>
      </c>
      <c r="N152" s="7"/>
      <c r="O152" s="7">
        <f t="shared" si="8"/>
        <v>28</v>
      </c>
      <c r="P152" s="7">
        <f t="shared" si="9"/>
        <v>5</v>
      </c>
      <c r="Q152" s="7">
        <f t="shared" si="10"/>
        <v>2026</v>
      </c>
      <c r="R152" s="6">
        <f t="shared" si="11"/>
        <v>2854.33</v>
      </c>
      <c r="S152" s="12">
        <v>46170</v>
      </c>
    </row>
    <row r="153" spans="1:19">
      <c r="A153" s="16">
        <v>46170</v>
      </c>
      <c r="B153" s="8" t="s">
        <v>14</v>
      </c>
      <c r="C153" s="8" t="s">
        <v>25</v>
      </c>
      <c r="D153" s="15"/>
      <c r="E153" s="15">
        <v>1691.93</v>
      </c>
      <c r="F153" s="15" t="s">
        <v>157</v>
      </c>
      <c r="G153" s="8" t="s">
        <v>156</v>
      </c>
      <c r="H153" s="14">
        <v>4152</v>
      </c>
      <c r="I153" s="13"/>
      <c r="J153" s="8" t="s">
        <v>17</v>
      </c>
      <c r="K153" s="8"/>
      <c r="L153" s="8"/>
      <c r="M153" s="8" t="str">
        <f>IF(C153="Caixa","-",VLOOKUP(J153,[1]Estrutura!C:E,3,FALSE))</f>
        <v>4.4</v>
      </c>
      <c r="N153" s="8"/>
      <c r="O153" s="7">
        <f t="shared" si="8"/>
        <v>28</v>
      </c>
      <c r="P153" s="7">
        <f t="shared" si="9"/>
        <v>5</v>
      </c>
      <c r="Q153" s="7">
        <f t="shared" si="10"/>
        <v>2026</v>
      </c>
      <c r="R153" s="6">
        <f t="shared" si="11"/>
        <v>-1691.93</v>
      </c>
      <c r="S153" s="16">
        <v>46170</v>
      </c>
    </row>
    <row r="154" spans="1:19">
      <c r="A154" s="12">
        <v>46170</v>
      </c>
      <c r="B154" s="7" t="s">
        <v>26</v>
      </c>
      <c r="C154" s="7" t="s">
        <v>6</v>
      </c>
      <c r="D154" s="11"/>
      <c r="E154" s="11">
        <v>1700</v>
      </c>
      <c r="F154" s="11" t="s">
        <v>780</v>
      </c>
      <c r="G154" s="12" t="s">
        <v>779</v>
      </c>
      <c r="H154" s="10"/>
      <c r="I154" s="9"/>
      <c r="J154" s="7" t="s">
        <v>116</v>
      </c>
      <c r="K154" s="7" t="s">
        <v>21</v>
      </c>
      <c r="L154" s="7"/>
      <c r="M154" s="7" t="str">
        <f>IF(C154="Caixa","-",VLOOKUP(J154,[1]Estrutura!C:E,3,FALSE))</f>
        <v>4.12</v>
      </c>
      <c r="N154" s="7"/>
      <c r="O154" s="7">
        <f t="shared" si="8"/>
        <v>28</v>
      </c>
      <c r="P154" s="7">
        <f t="shared" si="9"/>
        <v>5</v>
      </c>
      <c r="Q154" s="7">
        <f t="shared" si="10"/>
        <v>2026</v>
      </c>
      <c r="R154" s="6">
        <f t="shared" si="11"/>
        <v>-1700</v>
      </c>
      <c r="S154" s="12">
        <v>46170</v>
      </c>
    </row>
    <row r="155" spans="1:19">
      <c r="A155" s="16">
        <v>46170</v>
      </c>
      <c r="B155" s="8" t="s">
        <v>26</v>
      </c>
      <c r="C155" s="8" t="s">
        <v>6</v>
      </c>
      <c r="D155" s="15"/>
      <c r="E155" s="15">
        <v>2680</v>
      </c>
      <c r="F155" s="63" t="s">
        <v>778</v>
      </c>
      <c r="G155" s="62" t="s">
        <v>777</v>
      </c>
      <c r="H155" s="14"/>
      <c r="I155" s="13"/>
      <c r="J155" s="8" t="s">
        <v>17</v>
      </c>
      <c r="K155" s="8" t="s">
        <v>21</v>
      </c>
      <c r="L155" s="8"/>
      <c r="M155" s="8" t="str">
        <f>IF(C155="Caixa","-",VLOOKUP(J155,[1]Estrutura!C:E,3,FALSE))</f>
        <v>4.4</v>
      </c>
      <c r="N155" s="8"/>
      <c r="O155" s="7">
        <f t="shared" si="8"/>
        <v>28</v>
      </c>
      <c r="P155" s="7">
        <f t="shared" si="9"/>
        <v>5</v>
      </c>
      <c r="Q155" s="7">
        <f t="shared" si="10"/>
        <v>2026</v>
      </c>
      <c r="R155" s="6">
        <f t="shared" si="11"/>
        <v>-2680</v>
      </c>
      <c r="S155" s="16">
        <v>46170</v>
      </c>
    </row>
    <row r="156" spans="1:19">
      <c r="A156" s="12">
        <v>46170</v>
      </c>
      <c r="B156" s="7" t="s">
        <v>26</v>
      </c>
      <c r="C156" s="7" t="s">
        <v>25</v>
      </c>
      <c r="D156" s="11"/>
      <c r="E156" s="11">
        <v>5000</v>
      </c>
      <c r="F156" s="11" t="s">
        <v>109</v>
      </c>
      <c r="G156" s="7" t="s">
        <v>307</v>
      </c>
      <c r="H156" s="10">
        <v>10021</v>
      </c>
      <c r="I156" s="9"/>
      <c r="J156" s="7" t="s">
        <v>17</v>
      </c>
      <c r="K156" s="7" t="s">
        <v>21</v>
      </c>
      <c r="L156" s="7"/>
      <c r="M156" s="7" t="str">
        <f>IF(C156="Caixa","-",VLOOKUP(J156,[1]Estrutura!C:E,3,FALSE))</f>
        <v>4.4</v>
      </c>
      <c r="N156" s="7"/>
      <c r="O156" s="7">
        <f t="shared" si="8"/>
        <v>28</v>
      </c>
      <c r="P156" s="7">
        <f t="shared" si="9"/>
        <v>5</v>
      </c>
      <c r="Q156" s="7">
        <f t="shared" si="10"/>
        <v>2026</v>
      </c>
      <c r="R156" s="6">
        <f t="shared" si="11"/>
        <v>-5000</v>
      </c>
      <c r="S156" s="16">
        <v>46170</v>
      </c>
    </row>
    <row r="157" spans="1:19">
      <c r="A157" s="16">
        <v>46170</v>
      </c>
      <c r="B157" s="7" t="s">
        <v>7</v>
      </c>
      <c r="C157" s="7" t="s">
        <v>9</v>
      </c>
      <c r="D157" s="15">
        <v>9884.85</v>
      </c>
      <c r="E157" s="15"/>
      <c r="F157" s="15"/>
      <c r="G157" s="8" t="s">
        <v>11</v>
      </c>
      <c r="H157" s="8"/>
      <c r="I157" s="17"/>
      <c r="J157" s="8" t="s">
        <v>10</v>
      </c>
      <c r="K157" s="8"/>
      <c r="L157" s="8"/>
      <c r="M157" s="8" t="str">
        <f>IF(C157="Caixa","-",VLOOKUP(J157,[1]Estrutura!C:E,3,FALSE))</f>
        <v>1.1</v>
      </c>
      <c r="N157" s="8"/>
      <c r="O157" s="7">
        <f t="shared" si="8"/>
        <v>28</v>
      </c>
      <c r="P157" s="7">
        <f t="shared" si="9"/>
        <v>5</v>
      </c>
      <c r="Q157" s="7">
        <f t="shared" si="10"/>
        <v>2026</v>
      </c>
      <c r="R157" s="6">
        <f t="shared" si="11"/>
        <v>9884.85</v>
      </c>
      <c r="S157" s="12">
        <v>46170</v>
      </c>
    </row>
    <row r="158" spans="1:19">
      <c r="A158" s="16">
        <v>46170</v>
      </c>
      <c r="B158" s="8" t="s">
        <v>7</v>
      </c>
      <c r="C158" s="8" t="s">
        <v>9</v>
      </c>
      <c r="D158" s="15"/>
      <c r="E158" s="15">
        <v>295.77</v>
      </c>
      <c r="F158" s="15" t="s">
        <v>328</v>
      </c>
      <c r="G158" s="24" t="s">
        <v>776</v>
      </c>
      <c r="H158" s="14"/>
      <c r="I158" s="13"/>
      <c r="J158" s="8" t="s">
        <v>250</v>
      </c>
      <c r="K158" s="8"/>
      <c r="L158" s="7"/>
      <c r="M158" s="7" t="str">
        <f>IF(C158="Caixa","-",VLOOKUP(J158,[1]Estrutura!C:E,3,FALSE))</f>
        <v>4.9</v>
      </c>
      <c r="N158" s="7"/>
      <c r="O158" s="7">
        <f t="shared" si="8"/>
        <v>28</v>
      </c>
      <c r="P158" s="7">
        <f t="shared" si="9"/>
        <v>5</v>
      </c>
      <c r="Q158" s="7">
        <f t="shared" si="10"/>
        <v>2026</v>
      </c>
      <c r="R158" s="6">
        <f t="shared" si="11"/>
        <v>-295.77</v>
      </c>
      <c r="S158" s="12">
        <v>46170</v>
      </c>
    </row>
    <row r="159" spans="1:19">
      <c r="A159" s="12">
        <v>46170</v>
      </c>
      <c r="B159" s="8" t="s">
        <v>7</v>
      </c>
      <c r="C159" s="8" t="s">
        <v>9</v>
      </c>
      <c r="D159" s="11"/>
      <c r="E159" s="11">
        <v>47373.33</v>
      </c>
      <c r="F159" s="11"/>
      <c r="G159" s="7" t="s">
        <v>20</v>
      </c>
      <c r="H159" s="10"/>
      <c r="I159" s="9"/>
      <c r="J159" s="7" t="s">
        <v>19</v>
      </c>
      <c r="K159" s="7"/>
      <c r="L159" s="8"/>
      <c r="M159" s="8" t="str">
        <f>IF(C159="Caixa","-",VLOOKUP(J159,[1]Estrutura!C:E,3,FALSE))</f>
        <v>8.7</v>
      </c>
      <c r="N159" s="8"/>
      <c r="O159" s="7">
        <f t="shared" si="8"/>
        <v>28</v>
      </c>
      <c r="P159" s="7">
        <f t="shared" si="9"/>
        <v>5</v>
      </c>
      <c r="Q159" s="7">
        <f t="shared" si="10"/>
        <v>2026</v>
      </c>
      <c r="R159" s="6">
        <f t="shared" si="11"/>
        <v>-47373.33</v>
      </c>
      <c r="S159" s="16">
        <v>46171</v>
      </c>
    </row>
    <row r="160" spans="1:19">
      <c r="A160" s="12">
        <v>46170</v>
      </c>
      <c r="B160" s="7" t="s">
        <v>7</v>
      </c>
      <c r="C160" s="7" t="s">
        <v>9</v>
      </c>
      <c r="D160" s="11"/>
      <c r="E160" s="61">
        <v>1500</v>
      </c>
      <c r="F160" s="11" t="s">
        <v>63</v>
      </c>
      <c r="G160" s="60" t="s">
        <v>775</v>
      </c>
      <c r="H160" s="10"/>
      <c r="I160" s="9"/>
      <c r="J160" s="7" t="s">
        <v>62</v>
      </c>
      <c r="K160" s="7"/>
      <c r="L160" s="7"/>
      <c r="M160" s="7" t="str">
        <f>IF(C160="Caixa","-",VLOOKUP(J160,[1]Estrutura!C:E,3,FALSE))</f>
        <v>4.5</v>
      </c>
      <c r="N160" s="7"/>
      <c r="O160" s="7">
        <f t="shared" si="8"/>
        <v>28</v>
      </c>
      <c r="P160" s="7">
        <f t="shared" si="9"/>
        <v>5</v>
      </c>
      <c r="Q160" s="7">
        <f t="shared" si="10"/>
        <v>2026</v>
      </c>
      <c r="R160" s="6">
        <f t="shared" si="11"/>
        <v>-1500</v>
      </c>
      <c r="S160" s="16">
        <v>46171</v>
      </c>
    </row>
    <row r="161" spans="1:19">
      <c r="A161" s="16">
        <v>46171</v>
      </c>
      <c r="B161" s="8" t="s">
        <v>14</v>
      </c>
      <c r="C161" s="7" t="s">
        <v>9</v>
      </c>
      <c r="D161" s="15">
        <v>3050.8199999999997</v>
      </c>
      <c r="E161" s="15"/>
      <c r="F161" s="15"/>
      <c r="G161" s="8" t="s">
        <v>11</v>
      </c>
      <c r="H161" s="8"/>
      <c r="I161" s="17"/>
      <c r="J161" s="8" t="s">
        <v>10</v>
      </c>
      <c r="K161" s="8"/>
      <c r="L161" s="8"/>
      <c r="M161" s="8" t="str">
        <f>IF(C161="Caixa","-",VLOOKUP(J161,[1]Estrutura!C:E,3,FALSE))</f>
        <v>1.1</v>
      </c>
      <c r="N161" s="8"/>
      <c r="O161" s="7">
        <f t="shared" si="8"/>
        <v>29</v>
      </c>
      <c r="P161" s="7">
        <f t="shared" si="9"/>
        <v>5</v>
      </c>
      <c r="Q161" s="7">
        <f t="shared" si="10"/>
        <v>2026</v>
      </c>
      <c r="R161" s="6">
        <f t="shared" si="11"/>
        <v>3050.8199999999997</v>
      </c>
      <c r="S161" s="16">
        <v>46172</v>
      </c>
    </row>
    <row r="162" spans="1:19">
      <c r="A162" s="16">
        <v>46171</v>
      </c>
      <c r="B162" s="8" t="s">
        <v>14</v>
      </c>
      <c r="C162" s="8" t="s">
        <v>9</v>
      </c>
      <c r="D162" s="15"/>
      <c r="E162" s="15">
        <v>3666.6666666666665</v>
      </c>
      <c r="F162" s="11"/>
      <c r="G162" s="8" t="s">
        <v>306</v>
      </c>
      <c r="H162" s="14"/>
      <c r="I162" s="13"/>
      <c r="J162" s="8" t="s">
        <v>305</v>
      </c>
      <c r="K162" s="8" t="s">
        <v>40</v>
      </c>
      <c r="L162" s="7"/>
      <c r="M162" s="7" t="str">
        <f>IF(C162="Caixa","-",VLOOKUP(J162,[1]Estrutura!C:E,3,FALSE))</f>
        <v>7.3</v>
      </c>
      <c r="N162" s="7"/>
      <c r="O162" s="7">
        <f t="shared" si="8"/>
        <v>29</v>
      </c>
      <c r="P162" s="7">
        <f t="shared" si="9"/>
        <v>5</v>
      </c>
      <c r="Q162" s="7">
        <f t="shared" si="10"/>
        <v>2026</v>
      </c>
      <c r="R162" s="6">
        <f t="shared" si="11"/>
        <v>-3666.6666666666665</v>
      </c>
      <c r="S162" s="16">
        <v>46172</v>
      </c>
    </row>
    <row r="163" spans="1:19">
      <c r="A163" s="16">
        <v>46171</v>
      </c>
      <c r="B163" s="8" t="s">
        <v>14</v>
      </c>
      <c r="C163" s="8" t="s">
        <v>9</v>
      </c>
      <c r="D163" s="15"/>
      <c r="E163" s="15">
        <v>2000</v>
      </c>
      <c r="F163" s="15"/>
      <c r="G163" s="8" t="s">
        <v>774</v>
      </c>
      <c r="H163" s="8"/>
      <c r="I163" s="13"/>
      <c r="J163" s="8" t="s">
        <v>305</v>
      </c>
      <c r="K163" s="8"/>
      <c r="L163" s="8"/>
      <c r="M163" s="8" t="str">
        <f>IF(C163="Caixa","-",VLOOKUP(J163,[1]Estrutura!C:E,3,FALSE))</f>
        <v>7.3</v>
      </c>
      <c r="N163" s="8"/>
      <c r="O163" s="7">
        <f t="shared" si="8"/>
        <v>29</v>
      </c>
      <c r="P163" s="7">
        <f t="shared" si="9"/>
        <v>5</v>
      </c>
      <c r="Q163" s="7">
        <f t="shared" si="10"/>
        <v>2026</v>
      </c>
      <c r="R163" s="6">
        <f t="shared" si="11"/>
        <v>-2000</v>
      </c>
      <c r="S163" s="12">
        <v>46173</v>
      </c>
    </row>
    <row r="164" spans="1:19">
      <c r="A164" s="16">
        <v>46171</v>
      </c>
      <c r="B164" s="8" t="s">
        <v>14</v>
      </c>
      <c r="C164" s="8" t="s">
        <v>9</v>
      </c>
      <c r="D164" s="15"/>
      <c r="E164" s="15">
        <v>10000</v>
      </c>
      <c r="F164" s="15"/>
      <c r="G164" s="8" t="s">
        <v>703</v>
      </c>
      <c r="H164" s="14"/>
      <c r="I164" s="13"/>
      <c r="J164" s="8" t="s">
        <v>17</v>
      </c>
      <c r="K164" s="8"/>
      <c r="L164" s="7"/>
      <c r="M164" s="7" t="str">
        <f>IF(C164="Caixa","-",VLOOKUP(J164,[1]Estrutura!C:E,3,FALSE))</f>
        <v>4.4</v>
      </c>
      <c r="N164" s="7"/>
      <c r="O164" s="7">
        <f t="shared" si="8"/>
        <v>29</v>
      </c>
      <c r="P164" s="7">
        <f t="shared" si="9"/>
        <v>5</v>
      </c>
      <c r="Q164" s="7">
        <f t="shared" si="10"/>
        <v>2026</v>
      </c>
      <c r="R164" s="6">
        <f t="shared" si="11"/>
        <v>-10000</v>
      </c>
      <c r="S164" s="16">
        <v>46173</v>
      </c>
    </row>
    <row r="165" spans="1:19">
      <c r="A165" s="16">
        <v>46171</v>
      </c>
      <c r="B165" s="7" t="s">
        <v>7</v>
      </c>
      <c r="C165" s="7" t="s">
        <v>9</v>
      </c>
      <c r="D165" s="15">
        <v>4564.0499999999993</v>
      </c>
      <c r="E165" s="15"/>
      <c r="F165" s="15"/>
      <c r="G165" s="8" t="s">
        <v>11</v>
      </c>
      <c r="H165" s="8"/>
      <c r="I165" s="17"/>
      <c r="J165" s="8" t="s">
        <v>10</v>
      </c>
      <c r="K165" s="8"/>
      <c r="L165" s="8"/>
      <c r="M165" s="8" t="str">
        <f>IF(C165="Caixa","-",VLOOKUP(J165,[1]Estrutura!C:E,3,FALSE))</f>
        <v>1.1</v>
      </c>
      <c r="N165" s="8"/>
      <c r="O165" s="7">
        <f t="shared" si="8"/>
        <v>29</v>
      </c>
      <c r="P165" s="7">
        <f t="shared" si="9"/>
        <v>5</v>
      </c>
      <c r="Q165" s="7">
        <f t="shared" si="10"/>
        <v>2026</v>
      </c>
      <c r="R165" s="6">
        <f t="shared" si="11"/>
        <v>4564.0499999999993</v>
      </c>
      <c r="S165" s="19">
        <v>46173</v>
      </c>
    </row>
    <row r="166" spans="1:19">
      <c r="A166" s="12">
        <v>46171</v>
      </c>
      <c r="B166" s="7" t="s">
        <v>7</v>
      </c>
      <c r="C166" s="7" t="s">
        <v>9</v>
      </c>
      <c r="D166" s="11"/>
      <c r="E166" s="11">
        <v>24289.47</v>
      </c>
      <c r="F166" s="11" t="s">
        <v>773</v>
      </c>
      <c r="G166" s="7" t="s">
        <v>772</v>
      </c>
      <c r="H166" s="10"/>
      <c r="I166" s="9"/>
      <c r="J166" s="7" t="s">
        <v>771</v>
      </c>
      <c r="K166" s="7"/>
      <c r="L166" s="7"/>
      <c r="M166" s="7" t="str">
        <f>IF(C166="Caixa","-",VLOOKUP(J166,[1]Estrutura!C:E,3,FALSE))</f>
        <v>1.9</v>
      </c>
      <c r="N166" s="7"/>
      <c r="O166" s="7">
        <f t="shared" si="8"/>
        <v>29</v>
      </c>
      <c r="P166" s="7">
        <f t="shared" si="9"/>
        <v>5</v>
      </c>
      <c r="Q166" s="7">
        <f t="shared" si="10"/>
        <v>2026</v>
      </c>
      <c r="R166" s="6">
        <f t="shared" si="11"/>
        <v>-24289.47</v>
      </c>
      <c r="S166" s="19">
        <v>46173</v>
      </c>
    </row>
    <row r="167" spans="1:19">
      <c r="A167" s="16">
        <v>46172</v>
      </c>
      <c r="B167" s="8" t="s">
        <v>14</v>
      </c>
      <c r="C167" s="7" t="s">
        <v>9</v>
      </c>
      <c r="D167" s="15">
        <v>2079.88</v>
      </c>
      <c r="E167" s="15"/>
      <c r="F167" s="15"/>
      <c r="G167" s="8" t="s">
        <v>11</v>
      </c>
      <c r="H167" s="8"/>
      <c r="I167" s="17"/>
      <c r="J167" s="8" t="s">
        <v>10</v>
      </c>
      <c r="K167" s="8"/>
      <c r="L167" s="8"/>
      <c r="M167" s="8" t="str">
        <f>IF(C167="Caixa","-",VLOOKUP(J167,[1]Estrutura!C:E,3,FALSE))</f>
        <v>1.1</v>
      </c>
      <c r="N167" s="8"/>
      <c r="O167" s="7">
        <f t="shared" si="8"/>
        <v>30</v>
      </c>
      <c r="P167" s="7">
        <f t="shared" si="9"/>
        <v>5</v>
      </c>
      <c r="Q167" s="7">
        <f t="shared" si="10"/>
        <v>2026</v>
      </c>
      <c r="R167" s="6">
        <f t="shared" si="11"/>
        <v>2079.88</v>
      </c>
      <c r="S167" s="12">
        <v>46173</v>
      </c>
    </row>
    <row r="168" spans="1:19">
      <c r="A168" s="16">
        <v>46172</v>
      </c>
      <c r="B168" s="8" t="s">
        <v>26</v>
      </c>
      <c r="C168" s="8" t="s">
        <v>6</v>
      </c>
      <c r="D168" s="15"/>
      <c r="E168" s="15">
        <v>11600</v>
      </c>
      <c r="F168" s="15" t="s">
        <v>414</v>
      </c>
      <c r="G168" s="8" t="s">
        <v>413</v>
      </c>
      <c r="H168" s="14"/>
      <c r="I168" s="13"/>
      <c r="J168" s="8" t="s">
        <v>116</v>
      </c>
      <c r="K168" s="8" t="s">
        <v>21</v>
      </c>
      <c r="L168" s="7"/>
      <c r="M168" s="7" t="str">
        <f>IF(C168="Caixa","-",VLOOKUP(J168,[1]Estrutura!C:E,3,FALSE))</f>
        <v>4.12</v>
      </c>
      <c r="N168" s="7"/>
      <c r="O168" s="7">
        <f t="shared" si="8"/>
        <v>30</v>
      </c>
      <c r="P168" s="7">
        <f t="shared" si="9"/>
        <v>5</v>
      </c>
      <c r="Q168" s="7">
        <f t="shared" si="10"/>
        <v>2026</v>
      </c>
      <c r="R168" s="6">
        <f t="shared" si="11"/>
        <v>-11600</v>
      </c>
      <c r="S168" s="12">
        <v>46175</v>
      </c>
    </row>
    <row r="169" spans="1:19">
      <c r="A169" s="16">
        <v>46172</v>
      </c>
      <c r="B169" s="7" t="s">
        <v>7</v>
      </c>
      <c r="C169" s="7" t="s">
        <v>9</v>
      </c>
      <c r="D169" s="15">
        <v>8748.0600000000013</v>
      </c>
      <c r="E169" s="15"/>
      <c r="F169" s="15"/>
      <c r="G169" s="8" t="s">
        <v>11</v>
      </c>
      <c r="H169" s="8"/>
      <c r="I169" s="17"/>
      <c r="J169" s="8" t="s">
        <v>10</v>
      </c>
      <c r="K169" s="8"/>
      <c r="L169" s="8"/>
      <c r="M169" s="8" t="str">
        <f>IF(C169="Caixa","-",VLOOKUP(J169,[1]Estrutura!C:E,3,FALSE))</f>
        <v>1.1</v>
      </c>
      <c r="N169" s="8"/>
      <c r="O169" s="7">
        <f t="shared" si="8"/>
        <v>30</v>
      </c>
      <c r="P169" s="7">
        <f t="shared" si="9"/>
        <v>5</v>
      </c>
      <c r="Q169" s="7">
        <f t="shared" si="10"/>
        <v>2026</v>
      </c>
      <c r="R169" s="6">
        <f t="shared" si="11"/>
        <v>8748.0600000000013</v>
      </c>
      <c r="S169" s="12">
        <v>46175</v>
      </c>
    </row>
    <row r="170" spans="1:19">
      <c r="A170" s="12">
        <v>46173</v>
      </c>
      <c r="B170" s="7" t="s">
        <v>26</v>
      </c>
      <c r="C170" s="7" t="s">
        <v>2</v>
      </c>
      <c r="D170" s="11">
        <v>2535.7000000000116</v>
      </c>
      <c r="E170" s="11"/>
      <c r="F170" s="11"/>
      <c r="G170" s="7" t="s">
        <v>1</v>
      </c>
      <c r="H170" s="10"/>
      <c r="I170" s="9"/>
      <c r="J170" s="7" t="s">
        <v>0</v>
      </c>
      <c r="K170" s="7" t="s">
        <v>21</v>
      </c>
      <c r="L170" s="7"/>
      <c r="M170" s="7" t="str">
        <f>IF(C170="Caixa","-",VLOOKUP(J170,[1]Estrutura!C:E,3,FALSE))</f>
        <v>5.1</v>
      </c>
      <c r="N170" s="7"/>
      <c r="O170" s="7">
        <f t="shared" si="8"/>
        <v>31</v>
      </c>
      <c r="P170" s="7">
        <f t="shared" si="9"/>
        <v>5</v>
      </c>
      <c r="Q170" s="7">
        <f t="shared" si="10"/>
        <v>2026</v>
      </c>
      <c r="R170" s="6">
        <f t="shared" si="11"/>
        <v>2535.7000000000116</v>
      </c>
      <c r="S170" s="16">
        <v>46175</v>
      </c>
    </row>
    <row r="171" spans="1:19">
      <c r="A171" s="16">
        <v>46173</v>
      </c>
      <c r="B171" s="8" t="s">
        <v>7</v>
      </c>
      <c r="C171" s="8" t="s">
        <v>2</v>
      </c>
      <c r="D171" s="15">
        <v>15892.369999998249</v>
      </c>
      <c r="E171" s="15"/>
      <c r="F171" s="15"/>
      <c r="G171" s="8" t="s">
        <v>1</v>
      </c>
      <c r="H171" s="14"/>
      <c r="I171" s="13"/>
      <c r="J171" s="8" t="s">
        <v>0</v>
      </c>
      <c r="K171" s="8"/>
      <c r="L171" s="8"/>
      <c r="M171" s="8" t="str">
        <f>IF(C171="Caixa","-",VLOOKUP(J171,[1]Estrutura!C:E,3,FALSE))</f>
        <v>5.1</v>
      </c>
      <c r="N171" s="8"/>
      <c r="O171" s="7">
        <f t="shared" si="8"/>
        <v>31</v>
      </c>
      <c r="P171" s="7">
        <f t="shared" si="9"/>
        <v>5</v>
      </c>
      <c r="Q171" s="7">
        <f t="shared" si="10"/>
        <v>2026</v>
      </c>
      <c r="R171" s="6">
        <f t="shared" si="11"/>
        <v>15892.369999998249</v>
      </c>
      <c r="S171" s="16">
        <v>46175</v>
      </c>
    </row>
    <row r="172" spans="1:19">
      <c r="A172" s="19">
        <v>46173</v>
      </c>
      <c r="B172" s="7" t="s">
        <v>7</v>
      </c>
      <c r="C172" s="7" t="s">
        <v>6</v>
      </c>
      <c r="D172" s="11"/>
      <c r="E172" s="11">
        <v>512.15</v>
      </c>
      <c r="F172" s="11"/>
      <c r="G172" s="7" t="s">
        <v>5</v>
      </c>
      <c r="H172" s="10"/>
      <c r="I172" s="9"/>
      <c r="J172" s="7" t="s">
        <v>4</v>
      </c>
      <c r="K172" s="8"/>
      <c r="L172" s="7"/>
      <c r="M172" s="7" t="str">
        <f>IF(C172="Caixa","-",VLOOKUP(J172,[1]Estrutura!C:E,3,FALSE))</f>
        <v>5.2</v>
      </c>
      <c r="N172" s="7"/>
      <c r="O172" s="7">
        <f t="shared" si="8"/>
        <v>31</v>
      </c>
      <c r="P172" s="7">
        <f t="shared" si="9"/>
        <v>5</v>
      </c>
      <c r="Q172" s="7">
        <f t="shared" si="10"/>
        <v>2026</v>
      </c>
      <c r="R172" s="6">
        <f t="shared" si="11"/>
        <v>-512.15</v>
      </c>
      <c r="S172" s="12">
        <v>46175</v>
      </c>
    </row>
    <row r="173" spans="1:19">
      <c r="A173" s="19">
        <v>46173</v>
      </c>
      <c r="B173" s="8" t="s">
        <v>7</v>
      </c>
      <c r="C173" s="8" t="s">
        <v>6</v>
      </c>
      <c r="D173" s="15"/>
      <c r="E173" s="15">
        <v>486.42</v>
      </c>
      <c r="F173" s="15"/>
      <c r="G173" s="8" t="s">
        <v>5</v>
      </c>
      <c r="H173" s="14"/>
      <c r="I173" s="13"/>
      <c r="J173" s="8" t="s">
        <v>4</v>
      </c>
      <c r="K173" s="8"/>
      <c r="L173" s="8"/>
      <c r="M173" s="8" t="str">
        <f>IF(C173="Caixa","-",VLOOKUP(J173,[1]Estrutura!C:E,3,FALSE))</f>
        <v>5.2</v>
      </c>
      <c r="N173" s="8"/>
      <c r="O173" s="7">
        <f t="shared" si="8"/>
        <v>31</v>
      </c>
      <c r="P173" s="7">
        <f t="shared" si="9"/>
        <v>5</v>
      </c>
      <c r="Q173" s="7">
        <f t="shared" si="10"/>
        <v>2026</v>
      </c>
      <c r="R173" s="6">
        <f t="shared" si="11"/>
        <v>-486.42</v>
      </c>
      <c r="S173" s="16">
        <v>46175</v>
      </c>
    </row>
    <row r="174" spans="1:19">
      <c r="A174" s="12">
        <v>46173</v>
      </c>
      <c r="B174" s="7" t="s">
        <v>3</v>
      </c>
      <c r="C174" s="7" t="s">
        <v>2</v>
      </c>
      <c r="D174" s="11">
        <v>7181.359999999986</v>
      </c>
      <c r="E174" s="11"/>
      <c r="F174" s="11"/>
      <c r="G174" s="7" t="s">
        <v>1</v>
      </c>
      <c r="H174" s="10"/>
      <c r="I174" s="9"/>
      <c r="J174" s="7" t="s">
        <v>0</v>
      </c>
      <c r="K174" s="7"/>
      <c r="L174" s="7"/>
      <c r="M174" s="7" t="str">
        <f>IF(C174="Caixa","-",VLOOKUP(J174,[1]Estrutura!C:E,3,FALSE))</f>
        <v>5.1</v>
      </c>
      <c r="N174" s="7"/>
      <c r="O174" s="7">
        <f t="shared" si="8"/>
        <v>31</v>
      </c>
      <c r="P174" s="7">
        <f t="shared" si="9"/>
        <v>5</v>
      </c>
      <c r="Q174" s="7">
        <f t="shared" si="10"/>
        <v>2026</v>
      </c>
      <c r="R174" s="6">
        <f t="shared" si="11"/>
        <v>7181.359999999986</v>
      </c>
      <c r="S174" s="12">
        <v>46175</v>
      </c>
    </row>
    <row r="175" spans="1:19">
      <c r="A175" s="12">
        <v>46175</v>
      </c>
      <c r="B175" s="7" t="s">
        <v>122</v>
      </c>
      <c r="C175" s="7" t="s">
        <v>6</v>
      </c>
      <c r="D175" s="11">
        <v>30000</v>
      </c>
      <c r="E175" s="11"/>
      <c r="F175" s="11" t="s">
        <v>148</v>
      </c>
      <c r="G175" s="7" t="s">
        <v>129</v>
      </c>
      <c r="H175" s="10"/>
      <c r="I175" s="9"/>
      <c r="J175" s="7" t="s">
        <v>128</v>
      </c>
      <c r="K175" s="7"/>
      <c r="L175" s="8"/>
      <c r="M175" s="8" t="str">
        <f>IF(C175="Caixa","-",VLOOKUP(J175,[1]Estrutura!C:E,3,FALSE))</f>
        <v>9.1</v>
      </c>
      <c r="N175" s="8"/>
      <c r="O175" s="7">
        <f t="shared" si="8"/>
        <v>2</v>
      </c>
      <c r="P175" s="7">
        <f t="shared" si="9"/>
        <v>6</v>
      </c>
      <c r="Q175" s="7">
        <f t="shared" si="10"/>
        <v>2026</v>
      </c>
      <c r="R175" s="6">
        <f t="shared" si="11"/>
        <v>30000</v>
      </c>
      <c r="S175" s="12">
        <v>46175</v>
      </c>
    </row>
    <row r="176" spans="1:19">
      <c r="A176" s="12">
        <v>46175</v>
      </c>
      <c r="B176" s="8" t="s">
        <v>122</v>
      </c>
      <c r="C176" s="7" t="s">
        <v>9</v>
      </c>
      <c r="D176" s="11"/>
      <c r="E176" s="11">
        <v>109.13</v>
      </c>
      <c r="F176" s="11" t="s">
        <v>228</v>
      </c>
      <c r="G176" s="7" t="s">
        <v>770</v>
      </c>
      <c r="H176" s="10"/>
      <c r="I176" s="9"/>
      <c r="J176" s="7" t="s">
        <v>144</v>
      </c>
      <c r="K176" s="7"/>
      <c r="L176" s="7"/>
      <c r="M176" s="7" t="str">
        <f>IF(C176="Caixa","-",VLOOKUP(J176,[1]Estrutura!C:E,3,FALSE))</f>
        <v>4.2</v>
      </c>
      <c r="N176" s="7"/>
      <c r="O176" s="7">
        <f t="shared" si="8"/>
        <v>2</v>
      </c>
      <c r="P176" s="7">
        <f t="shared" si="9"/>
        <v>6</v>
      </c>
      <c r="Q176" s="7">
        <f t="shared" si="10"/>
        <v>2026</v>
      </c>
      <c r="R176" s="6">
        <f t="shared" si="11"/>
        <v>-109.13</v>
      </c>
      <c r="S176" s="16">
        <v>46175</v>
      </c>
    </row>
    <row r="177" spans="1:19">
      <c r="A177" s="16">
        <v>46175</v>
      </c>
      <c r="B177" s="8" t="s">
        <v>122</v>
      </c>
      <c r="C177" s="8" t="s">
        <v>9</v>
      </c>
      <c r="D177" s="15"/>
      <c r="E177" s="15">
        <v>3.5</v>
      </c>
      <c r="F177" s="15" t="s">
        <v>228</v>
      </c>
      <c r="G177" s="8" t="s">
        <v>232</v>
      </c>
      <c r="H177" s="14"/>
      <c r="I177" s="13"/>
      <c r="J177" s="8" t="s">
        <v>144</v>
      </c>
      <c r="K177" s="8"/>
      <c r="L177" s="8"/>
      <c r="M177" s="8" t="str">
        <f>IF(C177="Caixa","-",VLOOKUP(J177,[1]Estrutura!C:E,3,FALSE))</f>
        <v>4.2</v>
      </c>
      <c r="N177" s="8"/>
      <c r="O177" s="7">
        <f t="shared" si="8"/>
        <v>2</v>
      </c>
      <c r="P177" s="7">
        <f t="shared" si="9"/>
        <v>6</v>
      </c>
      <c r="Q177" s="7">
        <f t="shared" si="10"/>
        <v>2026</v>
      </c>
      <c r="R177" s="6">
        <f t="shared" si="11"/>
        <v>-3.5</v>
      </c>
      <c r="S177" s="12">
        <v>46175</v>
      </c>
    </row>
    <row r="178" spans="1:19">
      <c r="A178" s="16">
        <v>46175</v>
      </c>
      <c r="B178" s="8" t="s">
        <v>122</v>
      </c>
      <c r="C178" s="8" t="s">
        <v>6</v>
      </c>
      <c r="D178" s="15"/>
      <c r="E178" s="15">
        <v>-165.41</v>
      </c>
      <c r="F178" s="15" t="s">
        <v>184</v>
      </c>
      <c r="G178" s="15" t="s">
        <v>287</v>
      </c>
      <c r="H178" s="14"/>
      <c r="I178" s="13"/>
      <c r="J178" s="8" t="s">
        <v>144</v>
      </c>
      <c r="K178" s="8"/>
      <c r="L178" s="7"/>
      <c r="M178" s="7" t="str">
        <f>IF(C178="Caixa","-",VLOOKUP(J178,[1]Estrutura!C:E,3,FALSE))</f>
        <v>4.2</v>
      </c>
      <c r="N178" s="7"/>
      <c r="O178" s="7">
        <f t="shared" si="8"/>
        <v>2</v>
      </c>
      <c r="P178" s="7">
        <f t="shared" si="9"/>
        <v>6</v>
      </c>
      <c r="Q178" s="7">
        <f t="shared" si="10"/>
        <v>2026</v>
      </c>
      <c r="R178" s="6">
        <f t="shared" si="11"/>
        <v>165.41</v>
      </c>
      <c r="S178" s="16">
        <v>46175</v>
      </c>
    </row>
    <row r="179" spans="1:19">
      <c r="A179" s="12">
        <v>46175</v>
      </c>
      <c r="B179" s="7" t="s">
        <v>122</v>
      </c>
      <c r="C179" s="7" t="s">
        <v>6</v>
      </c>
      <c r="D179" s="11"/>
      <c r="E179" s="11">
        <v>537.66</v>
      </c>
      <c r="F179" s="15" t="s">
        <v>184</v>
      </c>
      <c r="G179" s="11" t="s">
        <v>286</v>
      </c>
      <c r="H179" s="10"/>
      <c r="I179" s="9"/>
      <c r="J179" s="7" t="s">
        <v>144</v>
      </c>
      <c r="K179" s="7"/>
      <c r="L179" s="8"/>
      <c r="M179" s="8" t="str">
        <f>IF(C179="Caixa","-",VLOOKUP(J179,[1]Estrutura!C:E,3,FALSE))</f>
        <v>4.2</v>
      </c>
      <c r="N179" s="8"/>
      <c r="O179" s="7">
        <f t="shared" si="8"/>
        <v>2</v>
      </c>
      <c r="P179" s="7">
        <f t="shared" si="9"/>
        <v>6</v>
      </c>
      <c r="Q179" s="7">
        <f t="shared" si="10"/>
        <v>2026</v>
      </c>
      <c r="R179" s="6">
        <f t="shared" si="11"/>
        <v>-537.66</v>
      </c>
      <c r="S179" s="16">
        <v>46175</v>
      </c>
    </row>
    <row r="180" spans="1:19">
      <c r="A180" s="16">
        <v>46175</v>
      </c>
      <c r="B180" s="8" t="s">
        <v>122</v>
      </c>
      <c r="C180" s="8" t="s">
        <v>6</v>
      </c>
      <c r="D180" s="15"/>
      <c r="E180" s="15">
        <v>194.67</v>
      </c>
      <c r="F180" s="15" t="s">
        <v>184</v>
      </c>
      <c r="G180" s="15" t="s">
        <v>188</v>
      </c>
      <c r="H180" s="14"/>
      <c r="I180" s="13"/>
      <c r="J180" s="8" t="s">
        <v>144</v>
      </c>
      <c r="K180" s="8"/>
      <c r="L180" s="7"/>
      <c r="M180" s="7" t="str">
        <f>IF(C180="Caixa","-",VLOOKUP(J180,[1]Estrutura!C:E,3,FALSE))</f>
        <v>4.2</v>
      </c>
      <c r="N180" s="7"/>
      <c r="O180" s="7">
        <f t="shared" si="8"/>
        <v>2</v>
      </c>
      <c r="P180" s="7">
        <f t="shared" si="9"/>
        <v>6</v>
      </c>
      <c r="Q180" s="7">
        <f t="shared" si="10"/>
        <v>2026</v>
      </c>
      <c r="R180" s="6">
        <f t="shared" si="11"/>
        <v>-194.67</v>
      </c>
      <c r="S180" s="12">
        <v>46175</v>
      </c>
    </row>
    <row r="181" spans="1:19">
      <c r="A181" s="12">
        <v>46175</v>
      </c>
      <c r="B181" s="8" t="s">
        <v>122</v>
      </c>
      <c r="C181" s="7" t="s">
        <v>9</v>
      </c>
      <c r="D181" s="11"/>
      <c r="E181" s="15">
        <v>3458.51</v>
      </c>
      <c r="F181" s="11" t="s">
        <v>228</v>
      </c>
      <c r="G181" s="7" t="s">
        <v>231</v>
      </c>
      <c r="H181" s="10"/>
      <c r="I181" s="9"/>
      <c r="J181" s="7" t="s">
        <v>144</v>
      </c>
      <c r="K181" s="7"/>
      <c r="L181" s="8"/>
      <c r="M181" s="8" t="str">
        <f>IF(C181="Caixa","-",VLOOKUP(J181,[1]Estrutura!C:E,3,FALSE))</f>
        <v>4.2</v>
      </c>
      <c r="N181" s="8"/>
      <c r="O181" s="7">
        <f t="shared" si="8"/>
        <v>2</v>
      </c>
      <c r="P181" s="7">
        <f t="shared" si="9"/>
        <v>6</v>
      </c>
      <c r="Q181" s="7">
        <f t="shared" si="10"/>
        <v>2026</v>
      </c>
      <c r="R181" s="6">
        <f t="shared" si="11"/>
        <v>-3458.51</v>
      </c>
      <c r="S181" s="16">
        <v>46175</v>
      </c>
    </row>
    <row r="182" spans="1:19">
      <c r="A182" s="12">
        <v>46175</v>
      </c>
      <c r="B182" s="7" t="s">
        <v>122</v>
      </c>
      <c r="C182" s="7" t="s">
        <v>6</v>
      </c>
      <c r="D182" s="11"/>
      <c r="E182" s="11">
        <v>5072.82</v>
      </c>
      <c r="F182" s="15" t="s">
        <v>184</v>
      </c>
      <c r="G182" s="11" t="s">
        <v>698</v>
      </c>
      <c r="H182" s="10"/>
      <c r="I182" s="9"/>
      <c r="J182" s="7" t="s">
        <v>144</v>
      </c>
      <c r="K182" s="7"/>
      <c r="L182" s="7"/>
      <c r="M182" s="7" t="str">
        <f>IF(C182="Caixa","-",VLOOKUP(J182,[1]Estrutura!C:E,3,FALSE))</f>
        <v>4.2</v>
      </c>
      <c r="N182" s="7"/>
      <c r="O182" s="7">
        <f t="shared" si="8"/>
        <v>2</v>
      </c>
      <c r="P182" s="7">
        <f t="shared" si="9"/>
        <v>6</v>
      </c>
      <c r="Q182" s="7">
        <f t="shared" si="10"/>
        <v>2026</v>
      </c>
      <c r="R182" s="6">
        <f t="shared" si="11"/>
        <v>-5072.82</v>
      </c>
      <c r="S182" s="16">
        <v>46175</v>
      </c>
    </row>
    <row r="183" spans="1:19">
      <c r="A183" s="16">
        <v>46175</v>
      </c>
      <c r="B183" s="8" t="s">
        <v>122</v>
      </c>
      <c r="C183" s="8" t="s">
        <v>6</v>
      </c>
      <c r="D183" s="15"/>
      <c r="E183" s="15">
        <v>212.52</v>
      </c>
      <c r="F183" s="15" t="s">
        <v>184</v>
      </c>
      <c r="G183" s="15" t="s">
        <v>186</v>
      </c>
      <c r="H183" s="14"/>
      <c r="I183" s="13"/>
      <c r="J183" s="8" t="s">
        <v>144</v>
      </c>
      <c r="K183" s="8"/>
      <c r="L183" s="8"/>
      <c r="M183" s="8" t="str">
        <f>IF(C183="Caixa","-",VLOOKUP(J183,[1]Estrutura!C:E,3,FALSE))</f>
        <v>4.2</v>
      </c>
      <c r="N183" s="8"/>
      <c r="O183" s="7">
        <f t="shared" si="8"/>
        <v>2</v>
      </c>
      <c r="P183" s="7">
        <f t="shared" si="9"/>
        <v>6</v>
      </c>
      <c r="Q183" s="7">
        <f t="shared" si="10"/>
        <v>2026</v>
      </c>
      <c r="R183" s="6">
        <f t="shared" si="11"/>
        <v>-212.52</v>
      </c>
      <c r="S183" s="16">
        <v>46175</v>
      </c>
    </row>
    <row r="184" spans="1:19">
      <c r="A184" s="12">
        <v>46175</v>
      </c>
      <c r="B184" s="7" t="s">
        <v>122</v>
      </c>
      <c r="C184" s="7" t="s">
        <v>6</v>
      </c>
      <c r="D184" s="11"/>
      <c r="E184" s="11">
        <v>212.52</v>
      </c>
      <c r="F184" s="15" t="s">
        <v>184</v>
      </c>
      <c r="G184" s="11" t="s">
        <v>186</v>
      </c>
      <c r="H184" s="10"/>
      <c r="I184" s="9"/>
      <c r="J184" s="7" t="s">
        <v>144</v>
      </c>
      <c r="K184" s="7"/>
      <c r="L184" s="7"/>
      <c r="M184" s="7" t="str">
        <f>IF(C184="Caixa","-",VLOOKUP(J184,[1]Estrutura!C:E,3,FALSE))</f>
        <v>4.2</v>
      </c>
      <c r="N184" s="7"/>
      <c r="O184" s="7">
        <f t="shared" si="8"/>
        <v>2</v>
      </c>
      <c r="P184" s="7">
        <f t="shared" si="9"/>
        <v>6</v>
      </c>
      <c r="Q184" s="7">
        <f t="shared" si="10"/>
        <v>2026</v>
      </c>
      <c r="R184" s="6">
        <f t="shared" si="11"/>
        <v>-212.52</v>
      </c>
      <c r="S184" s="12">
        <v>46175</v>
      </c>
    </row>
    <row r="185" spans="1:19">
      <c r="A185" s="16">
        <v>46175</v>
      </c>
      <c r="B185" s="8" t="s">
        <v>122</v>
      </c>
      <c r="C185" s="8" t="s">
        <v>6</v>
      </c>
      <c r="D185" s="15"/>
      <c r="E185" s="15">
        <v>253.64</v>
      </c>
      <c r="F185" s="15" t="s">
        <v>184</v>
      </c>
      <c r="G185" s="15" t="s">
        <v>185</v>
      </c>
      <c r="H185" s="14"/>
      <c r="I185" s="13"/>
      <c r="J185" s="8" t="s">
        <v>144</v>
      </c>
      <c r="K185" s="8"/>
      <c r="L185" s="8"/>
      <c r="M185" s="8" t="str">
        <f>IF(C185="Caixa","-",VLOOKUP(J185,[1]Estrutura!C:E,3,FALSE))</f>
        <v>4.2</v>
      </c>
      <c r="N185" s="8"/>
      <c r="O185" s="7">
        <f t="shared" si="8"/>
        <v>2</v>
      </c>
      <c r="P185" s="7">
        <f t="shared" si="9"/>
        <v>6</v>
      </c>
      <c r="Q185" s="7">
        <f t="shared" si="10"/>
        <v>2026</v>
      </c>
      <c r="R185" s="6">
        <f t="shared" si="11"/>
        <v>-253.64</v>
      </c>
      <c r="S185" s="16">
        <v>46175</v>
      </c>
    </row>
    <row r="186" spans="1:19">
      <c r="A186" s="16">
        <v>46175</v>
      </c>
      <c r="B186" s="8" t="s">
        <v>122</v>
      </c>
      <c r="C186" s="8" t="s">
        <v>9</v>
      </c>
      <c r="D186" s="15"/>
      <c r="E186" s="15">
        <v>140.83000000000001</v>
      </c>
      <c r="F186" s="15" t="s">
        <v>228</v>
      </c>
      <c r="G186" s="8" t="s">
        <v>230</v>
      </c>
      <c r="H186" s="14"/>
      <c r="I186" s="13"/>
      <c r="J186" s="8" t="s">
        <v>144</v>
      </c>
      <c r="K186" s="8"/>
      <c r="L186" s="7"/>
      <c r="M186" s="7" t="str">
        <f>IF(C186="Caixa","-",VLOOKUP(J186,[1]Estrutura!C:E,3,FALSE))</f>
        <v>4.2</v>
      </c>
      <c r="N186" s="7"/>
      <c r="O186" s="7">
        <f t="shared" si="8"/>
        <v>2</v>
      </c>
      <c r="P186" s="7">
        <f t="shared" si="9"/>
        <v>6</v>
      </c>
      <c r="Q186" s="7">
        <f t="shared" si="10"/>
        <v>2026</v>
      </c>
      <c r="R186" s="6">
        <f t="shared" si="11"/>
        <v>-140.83000000000001</v>
      </c>
      <c r="S186" s="12">
        <v>46175</v>
      </c>
    </row>
    <row r="187" spans="1:19">
      <c r="A187" s="12">
        <v>46175</v>
      </c>
      <c r="B187" s="8" t="s">
        <v>122</v>
      </c>
      <c r="C187" s="7" t="s">
        <v>9</v>
      </c>
      <c r="D187" s="11"/>
      <c r="E187" s="11">
        <v>330.04</v>
      </c>
      <c r="F187" s="11" t="s">
        <v>228</v>
      </c>
      <c r="G187" s="7" t="s">
        <v>229</v>
      </c>
      <c r="H187" s="10"/>
      <c r="I187" s="9"/>
      <c r="J187" s="7" t="s">
        <v>144</v>
      </c>
      <c r="K187" s="7"/>
      <c r="L187" s="8"/>
      <c r="M187" s="8" t="str">
        <f>IF(C187="Caixa","-",VLOOKUP(J187,[1]Estrutura!C:E,3,FALSE))</f>
        <v>4.2</v>
      </c>
      <c r="N187" s="8"/>
      <c r="O187" s="7">
        <f t="shared" si="8"/>
        <v>2</v>
      </c>
      <c r="P187" s="7">
        <f t="shared" si="9"/>
        <v>6</v>
      </c>
      <c r="Q187" s="7">
        <f t="shared" si="10"/>
        <v>2026</v>
      </c>
      <c r="R187" s="6">
        <f t="shared" si="11"/>
        <v>-330.04</v>
      </c>
      <c r="S187" s="12">
        <v>46175</v>
      </c>
    </row>
    <row r="188" spans="1:19">
      <c r="A188" s="16">
        <v>46175</v>
      </c>
      <c r="B188" s="8" t="s">
        <v>122</v>
      </c>
      <c r="C188" s="8" t="s">
        <v>9</v>
      </c>
      <c r="D188" s="15"/>
      <c r="E188" s="15">
        <v>252.13</v>
      </c>
      <c r="F188" s="15" t="s">
        <v>228</v>
      </c>
      <c r="G188" s="8" t="s">
        <v>227</v>
      </c>
      <c r="H188" s="14"/>
      <c r="I188" s="13"/>
      <c r="J188" s="8" t="s">
        <v>144</v>
      </c>
      <c r="K188" s="8"/>
      <c r="L188" s="7"/>
      <c r="M188" s="7" t="str">
        <f>IF(C188="Caixa","-",VLOOKUP(J188,[1]Estrutura!C:E,3,FALSE))</f>
        <v>4.2</v>
      </c>
      <c r="N188" s="7"/>
      <c r="O188" s="7">
        <f t="shared" si="8"/>
        <v>2</v>
      </c>
      <c r="P188" s="7">
        <f t="shared" si="9"/>
        <v>6</v>
      </c>
      <c r="Q188" s="7">
        <f t="shared" si="10"/>
        <v>2026</v>
      </c>
      <c r="R188" s="6">
        <f t="shared" si="11"/>
        <v>-252.13</v>
      </c>
      <c r="S188" s="12">
        <v>46175</v>
      </c>
    </row>
    <row r="189" spans="1:19">
      <c r="A189" s="16">
        <v>46175</v>
      </c>
      <c r="B189" s="8" t="s">
        <v>14</v>
      </c>
      <c r="C189" s="7" t="s">
        <v>9</v>
      </c>
      <c r="D189" s="15">
        <v>3450</v>
      </c>
      <c r="E189" s="15"/>
      <c r="F189" s="15"/>
      <c r="G189" s="8" t="s">
        <v>11</v>
      </c>
      <c r="H189" s="8"/>
      <c r="I189" s="17"/>
      <c r="J189" s="8" t="s">
        <v>10</v>
      </c>
      <c r="K189" s="8"/>
      <c r="L189" s="8"/>
      <c r="M189" s="8" t="str">
        <f>IF(C189="Caixa","-",VLOOKUP(J189,[1]Estrutura!C:E,3,FALSE))</f>
        <v>1.1</v>
      </c>
      <c r="N189" s="8"/>
      <c r="O189" s="7">
        <f t="shared" si="8"/>
        <v>2</v>
      </c>
      <c r="P189" s="7">
        <f t="shared" si="9"/>
        <v>6</v>
      </c>
      <c r="Q189" s="7">
        <f t="shared" si="10"/>
        <v>2026</v>
      </c>
      <c r="R189" s="6">
        <f t="shared" si="11"/>
        <v>3450</v>
      </c>
      <c r="S189" s="16">
        <v>46175</v>
      </c>
    </row>
    <row r="190" spans="1:19">
      <c r="A190" s="16">
        <v>46175</v>
      </c>
      <c r="B190" s="8" t="s">
        <v>14</v>
      </c>
      <c r="C190" s="8" t="s">
        <v>9</v>
      </c>
      <c r="D190" s="15"/>
      <c r="E190" s="15">
        <v>4953</v>
      </c>
      <c r="F190" s="15" t="s">
        <v>146</v>
      </c>
      <c r="G190" s="8" t="s">
        <v>769</v>
      </c>
      <c r="H190" s="14"/>
      <c r="I190" s="13"/>
      <c r="J190" s="8" t="s">
        <v>144</v>
      </c>
      <c r="K190" s="8"/>
      <c r="L190" s="7"/>
      <c r="M190" s="7" t="str">
        <f>IF(C190="Caixa","-",VLOOKUP(J190,[1]Estrutura!C:E,3,FALSE))</f>
        <v>4.2</v>
      </c>
      <c r="N190" s="7"/>
      <c r="O190" s="7">
        <f t="shared" si="8"/>
        <v>2</v>
      </c>
      <c r="P190" s="7">
        <f t="shared" si="9"/>
        <v>6</v>
      </c>
      <c r="Q190" s="7">
        <f t="shared" si="10"/>
        <v>2026</v>
      </c>
      <c r="R190" s="6">
        <f t="shared" si="11"/>
        <v>-4953</v>
      </c>
      <c r="S190" s="12">
        <v>46175</v>
      </c>
    </row>
    <row r="191" spans="1:19">
      <c r="A191" s="12">
        <v>46175</v>
      </c>
      <c r="B191" s="7" t="s">
        <v>14</v>
      </c>
      <c r="C191" s="7" t="s">
        <v>9</v>
      </c>
      <c r="D191" s="11"/>
      <c r="E191" s="15">
        <v>4953</v>
      </c>
      <c r="F191" s="15" t="s">
        <v>146</v>
      </c>
      <c r="G191" s="7" t="s">
        <v>769</v>
      </c>
      <c r="H191" s="10"/>
      <c r="I191" s="9"/>
      <c r="J191" s="7" t="s">
        <v>144</v>
      </c>
      <c r="K191" s="7"/>
      <c r="L191" s="8"/>
      <c r="M191" s="8" t="str">
        <f>IF(C191="Caixa","-",VLOOKUP(J191,[1]Estrutura!C:E,3,FALSE))</f>
        <v>4.2</v>
      </c>
      <c r="N191" s="8"/>
      <c r="O191" s="7">
        <f t="shared" si="8"/>
        <v>2</v>
      </c>
      <c r="P191" s="7">
        <f t="shared" si="9"/>
        <v>6</v>
      </c>
      <c r="Q191" s="7">
        <f t="shared" si="10"/>
        <v>2026</v>
      </c>
      <c r="R191" s="6">
        <f t="shared" si="11"/>
        <v>-4953</v>
      </c>
      <c r="S191" s="16">
        <v>46175</v>
      </c>
    </row>
    <row r="192" spans="1:19">
      <c r="A192" s="16">
        <v>46175</v>
      </c>
      <c r="B192" s="8" t="s">
        <v>14</v>
      </c>
      <c r="C192" s="8" t="s">
        <v>9</v>
      </c>
      <c r="D192" s="15"/>
      <c r="E192" s="11">
        <v>100</v>
      </c>
      <c r="F192" s="15" t="s">
        <v>146</v>
      </c>
      <c r="G192" s="8" t="s">
        <v>768</v>
      </c>
      <c r="H192" s="14"/>
      <c r="I192" s="13"/>
      <c r="J192" s="43" t="s">
        <v>144</v>
      </c>
      <c r="K192" s="8"/>
      <c r="L192" s="7"/>
      <c r="M192" s="7" t="str">
        <f>IF(C192="Caixa","-",VLOOKUP(J192,[1]Estrutura!C:E,3,FALSE))</f>
        <v>4.2</v>
      </c>
      <c r="N192" s="7"/>
      <c r="O192" s="7">
        <f t="shared" si="8"/>
        <v>2</v>
      </c>
      <c r="P192" s="7">
        <f t="shared" si="9"/>
        <v>6</v>
      </c>
      <c r="Q192" s="7">
        <f t="shared" si="10"/>
        <v>2026</v>
      </c>
      <c r="R192" s="6">
        <f t="shared" si="11"/>
        <v>-100</v>
      </c>
      <c r="S192" s="12">
        <v>46175</v>
      </c>
    </row>
    <row r="193" spans="1:19">
      <c r="A193" s="12">
        <v>46175</v>
      </c>
      <c r="B193" s="7" t="s">
        <v>14</v>
      </c>
      <c r="C193" s="7" t="s">
        <v>9</v>
      </c>
      <c r="D193" s="11"/>
      <c r="E193" s="11">
        <v>100</v>
      </c>
      <c r="F193" s="15" t="s">
        <v>146</v>
      </c>
      <c r="G193" s="7" t="s">
        <v>768</v>
      </c>
      <c r="H193" s="10"/>
      <c r="I193" s="9"/>
      <c r="J193" s="39" t="s">
        <v>144</v>
      </c>
      <c r="K193" s="7"/>
      <c r="L193" s="8"/>
      <c r="M193" s="8" t="str">
        <f>IF(C193="Caixa","-",VLOOKUP(J193,[1]Estrutura!C:E,3,FALSE))</f>
        <v>4.2</v>
      </c>
      <c r="N193" s="8"/>
      <c r="O193" s="7">
        <f t="shared" si="8"/>
        <v>2</v>
      </c>
      <c r="P193" s="7">
        <f t="shared" si="9"/>
        <v>6</v>
      </c>
      <c r="Q193" s="7">
        <f t="shared" si="10"/>
        <v>2026</v>
      </c>
      <c r="R193" s="6">
        <f t="shared" si="11"/>
        <v>-100</v>
      </c>
      <c r="S193" s="16">
        <v>46175</v>
      </c>
    </row>
    <row r="194" spans="1:19">
      <c r="A194" s="12">
        <v>46175</v>
      </c>
      <c r="B194" s="7" t="s">
        <v>14</v>
      </c>
      <c r="C194" s="7" t="s">
        <v>9</v>
      </c>
      <c r="D194" s="11"/>
      <c r="E194" s="11">
        <v>35838.239999999998</v>
      </c>
      <c r="F194" s="11" t="s">
        <v>212</v>
      </c>
      <c r="G194" s="7" t="s">
        <v>767</v>
      </c>
      <c r="H194" s="10"/>
      <c r="I194" s="9"/>
      <c r="J194" s="21" t="s">
        <v>210</v>
      </c>
      <c r="K194" s="7"/>
      <c r="L194" s="7"/>
      <c r="M194" s="7" t="str">
        <f>IF(C194="Caixa","-",VLOOKUP(J194,[1]Estrutura!C:E,3,FALSE))</f>
        <v>4.12</v>
      </c>
      <c r="N194" s="7"/>
      <c r="O194" s="7">
        <f t="shared" si="8"/>
        <v>2</v>
      </c>
      <c r="P194" s="7">
        <f t="shared" si="9"/>
        <v>6</v>
      </c>
      <c r="Q194" s="7">
        <f t="shared" si="10"/>
        <v>2026</v>
      </c>
      <c r="R194" s="6">
        <f t="shared" si="11"/>
        <v>-35838.239999999998</v>
      </c>
      <c r="S194" s="12">
        <v>46175</v>
      </c>
    </row>
    <row r="195" spans="1:19">
      <c r="A195" s="12">
        <v>46175</v>
      </c>
      <c r="B195" s="7" t="s">
        <v>14</v>
      </c>
      <c r="C195" s="7" t="s">
        <v>9</v>
      </c>
      <c r="D195" s="11"/>
      <c r="E195" s="11">
        <v>225.83</v>
      </c>
      <c r="F195" s="11" t="s">
        <v>125</v>
      </c>
      <c r="G195" s="7" t="s">
        <v>392</v>
      </c>
      <c r="H195" s="10"/>
      <c r="I195" s="9"/>
      <c r="J195" s="8" t="s">
        <v>99</v>
      </c>
      <c r="K195" s="7"/>
      <c r="L195" s="8"/>
      <c r="M195" s="8" t="str">
        <f>IF(C195="Caixa","-",VLOOKUP(J195,[1]Estrutura!C:E,3,FALSE))</f>
        <v>4.3</v>
      </c>
      <c r="N195" s="8"/>
      <c r="O195" s="7">
        <f t="shared" si="8"/>
        <v>2</v>
      </c>
      <c r="P195" s="7">
        <f t="shared" si="9"/>
        <v>6</v>
      </c>
      <c r="Q195" s="7">
        <f t="shared" si="10"/>
        <v>2026</v>
      </c>
      <c r="R195" s="6">
        <f t="shared" si="11"/>
        <v>-225.83</v>
      </c>
      <c r="S195" s="16">
        <v>46175</v>
      </c>
    </row>
    <row r="196" spans="1:19">
      <c r="A196" s="16">
        <v>46175</v>
      </c>
      <c r="B196" s="8" t="s">
        <v>14</v>
      </c>
      <c r="C196" s="8" t="s">
        <v>9</v>
      </c>
      <c r="D196" s="15"/>
      <c r="E196" s="15">
        <v>950</v>
      </c>
      <c r="F196" s="15" t="s">
        <v>226</v>
      </c>
      <c r="G196" s="8" t="s">
        <v>766</v>
      </c>
      <c r="H196" s="14"/>
      <c r="I196" s="13"/>
      <c r="J196" s="8" t="s">
        <v>17</v>
      </c>
      <c r="K196" s="8"/>
      <c r="L196" s="7"/>
      <c r="M196" s="7" t="str">
        <f>IF(C196="Caixa","-",VLOOKUP(J196,[1]Estrutura!C:E,3,FALSE))</f>
        <v>4.4</v>
      </c>
      <c r="N196" s="7"/>
      <c r="O196" s="7">
        <f t="shared" si="8"/>
        <v>2</v>
      </c>
      <c r="P196" s="7">
        <f t="shared" si="9"/>
        <v>6</v>
      </c>
      <c r="Q196" s="7">
        <f t="shared" si="10"/>
        <v>2026</v>
      </c>
      <c r="R196" s="6">
        <f t="shared" si="11"/>
        <v>-950</v>
      </c>
      <c r="S196" s="12">
        <v>46175</v>
      </c>
    </row>
    <row r="197" spans="1:19">
      <c r="A197" s="12">
        <v>46175</v>
      </c>
      <c r="B197" s="7" t="s">
        <v>14</v>
      </c>
      <c r="C197" s="7" t="s">
        <v>9</v>
      </c>
      <c r="D197" s="11"/>
      <c r="E197" s="11">
        <v>973.35</v>
      </c>
      <c r="F197" s="15" t="s">
        <v>240</v>
      </c>
      <c r="G197" s="7" t="s">
        <v>765</v>
      </c>
      <c r="H197" s="10"/>
      <c r="I197" s="9"/>
      <c r="J197" s="7" t="s">
        <v>15</v>
      </c>
      <c r="K197" s="7"/>
      <c r="L197" s="8"/>
      <c r="M197" s="8" t="str">
        <f>IF(C197="Caixa","-",VLOOKUP(J197,[1]Estrutura!C:E,3,FALSE))</f>
        <v>4.7</v>
      </c>
      <c r="N197" s="8"/>
      <c r="O197" s="7">
        <f t="shared" si="8"/>
        <v>2</v>
      </c>
      <c r="P197" s="7">
        <f t="shared" si="9"/>
        <v>6</v>
      </c>
      <c r="Q197" s="7">
        <f t="shared" si="10"/>
        <v>2026</v>
      </c>
      <c r="R197" s="6">
        <f t="shared" si="11"/>
        <v>-973.35</v>
      </c>
      <c r="S197" s="16">
        <v>46175</v>
      </c>
    </row>
    <row r="198" spans="1:19">
      <c r="A198" s="16">
        <v>46175</v>
      </c>
      <c r="B198" s="8" t="s">
        <v>14</v>
      </c>
      <c r="C198" s="8" t="s">
        <v>9</v>
      </c>
      <c r="D198" s="15"/>
      <c r="E198" s="15">
        <v>744.07</v>
      </c>
      <c r="F198" s="15" t="s">
        <v>240</v>
      </c>
      <c r="G198" s="8" t="s">
        <v>764</v>
      </c>
      <c r="H198" s="14"/>
      <c r="I198" s="13"/>
      <c r="J198" s="8" t="s">
        <v>15</v>
      </c>
      <c r="K198" s="8"/>
      <c r="L198" s="7"/>
      <c r="M198" s="7" t="str">
        <f>IF(C198="Caixa","-",VLOOKUP(J198,[1]Estrutura!C:E,3,FALSE))</f>
        <v>4.7</v>
      </c>
      <c r="N198" s="7"/>
      <c r="O198" s="7">
        <f t="shared" si="8"/>
        <v>2</v>
      </c>
      <c r="P198" s="7">
        <f t="shared" si="9"/>
        <v>6</v>
      </c>
      <c r="Q198" s="7">
        <f t="shared" si="10"/>
        <v>2026</v>
      </c>
      <c r="R198" s="6">
        <f t="shared" si="11"/>
        <v>-744.07</v>
      </c>
      <c r="S198" s="12">
        <v>46175</v>
      </c>
    </row>
    <row r="199" spans="1:19">
      <c r="A199" s="12">
        <v>46175</v>
      </c>
      <c r="B199" s="7" t="s">
        <v>14</v>
      </c>
      <c r="C199" s="7" t="s">
        <v>9</v>
      </c>
      <c r="D199" s="11"/>
      <c r="E199" s="11">
        <v>715</v>
      </c>
      <c r="F199" s="11" t="s">
        <v>763</v>
      </c>
      <c r="G199" s="7" t="s">
        <v>762</v>
      </c>
      <c r="H199" s="10"/>
      <c r="I199" s="9"/>
      <c r="J199" s="7" t="s">
        <v>52</v>
      </c>
      <c r="K199" s="7"/>
      <c r="L199" s="8"/>
      <c r="M199" s="8" t="str">
        <f>IF(C199="Caixa","-",VLOOKUP(J199,[1]Estrutura!C:E,3,FALSE))</f>
        <v>4.2</v>
      </c>
      <c r="N199" s="8"/>
      <c r="O199" s="7">
        <f t="shared" si="8"/>
        <v>2</v>
      </c>
      <c r="P199" s="7">
        <f t="shared" si="9"/>
        <v>6</v>
      </c>
      <c r="Q199" s="7">
        <f t="shared" si="10"/>
        <v>2026</v>
      </c>
      <c r="R199" s="6">
        <f t="shared" si="11"/>
        <v>-715</v>
      </c>
      <c r="S199" s="16">
        <v>46175</v>
      </c>
    </row>
    <row r="200" spans="1:19">
      <c r="A200" s="16">
        <v>46175</v>
      </c>
      <c r="B200" s="8" t="s">
        <v>26</v>
      </c>
      <c r="C200" s="8" t="s">
        <v>6</v>
      </c>
      <c r="D200" s="15"/>
      <c r="E200" s="15">
        <v>800</v>
      </c>
      <c r="F200" s="15" t="s">
        <v>223</v>
      </c>
      <c r="G200" s="8" t="s">
        <v>224</v>
      </c>
      <c r="H200" s="14"/>
      <c r="I200" s="13"/>
      <c r="J200" s="8" t="s">
        <v>201</v>
      </c>
      <c r="K200" s="8" t="s">
        <v>21</v>
      </c>
      <c r="L200" s="7"/>
      <c r="M200" s="7" t="str">
        <f>IF(C200="Caixa","-",VLOOKUP(J200,[1]Estrutura!C:E,3,FALSE))</f>
        <v>4.4</v>
      </c>
      <c r="N200" s="7"/>
      <c r="O200" s="7">
        <f t="shared" si="8"/>
        <v>2</v>
      </c>
      <c r="P200" s="7">
        <f t="shared" si="9"/>
        <v>6</v>
      </c>
      <c r="Q200" s="7">
        <f t="shared" si="10"/>
        <v>2026</v>
      </c>
      <c r="R200" s="6">
        <f t="shared" si="11"/>
        <v>-800</v>
      </c>
      <c r="S200" s="12">
        <v>46175</v>
      </c>
    </row>
    <row r="201" spans="1:19">
      <c r="A201" s="12">
        <v>46175</v>
      </c>
      <c r="B201" s="7" t="s">
        <v>26</v>
      </c>
      <c r="C201" s="7" t="s">
        <v>6</v>
      </c>
      <c r="D201" s="11"/>
      <c r="E201" s="11">
        <v>800</v>
      </c>
      <c r="F201" s="11" t="s">
        <v>223</v>
      </c>
      <c r="G201" s="7" t="s">
        <v>224</v>
      </c>
      <c r="H201" s="10"/>
      <c r="I201" s="9"/>
      <c r="J201" s="7" t="s">
        <v>201</v>
      </c>
      <c r="K201" s="7" t="s">
        <v>21</v>
      </c>
      <c r="L201" s="8"/>
      <c r="M201" s="8" t="str">
        <f>IF(C201="Caixa","-",VLOOKUP(J201,[1]Estrutura!C:E,3,FALSE))</f>
        <v>4.4</v>
      </c>
      <c r="N201" s="8"/>
      <c r="O201" s="7">
        <f t="shared" si="8"/>
        <v>2</v>
      </c>
      <c r="P201" s="7">
        <f t="shared" si="9"/>
        <v>6</v>
      </c>
      <c r="Q201" s="7">
        <f t="shared" si="10"/>
        <v>2026</v>
      </c>
      <c r="R201" s="6">
        <f t="shared" si="11"/>
        <v>-800</v>
      </c>
      <c r="S201" s="16">
        <v>46175</v>
      </c>
    </row>
    <row r="202" spans="1:19">
      <c r="A202" s="16">
        <v>46175</v>
      </c>
      <c r="B202" s="8" t="s">
        <v>26</v>
      </c>
      <c r="C202" s="8" t="s">
        <v>6</v>
      </c>
      <c r="D202" s="15"/>
      <c r="E202" s="15">
        <v>283.32</v>
      </c>
      <c r="F202" s="15" t="s">
        <v>219</v>
      </c>
      <c r="G202" s="8" t="s">
        <v>221</v>
      </c>
      <c r="H202" s="14"/>
      <c r="I202" s="13"/>
      <c r="J202" s="8" t="s">
        <v>144</v>
      </c>
      <c r="K202" s="8" t="s">
        <v>21</v>
      </c>
      <c r="L202" s="7"/>
      <c r="M202" s="7" t="str">
        <f>IF(C202="Caixa","-",VLOOKUP(J202,[1]Estrutura!C:E,3,FALSE))</f>
        <v>4.2</v>
      </c>
      <c r="N202" s="7"/>
      <c r="O202" s="7">
        <f t="shared" si="8"/>
        <v>2</v>
      </c>
      <c r="P202" s="7">
        <f t="shared" si="9"/>
        <v>6</v>
      </c>
      <c r="Q202" s="7">
        <f t="shared" si="10"/>
        <v>2026</v>
      </c>
      <c r="R202" s="6">
        <f t="shared" si="11"/>
        <v>-283.32</v>
      </c>
      <c r="S202" s="12">
        <v>46175</v>
      </c>
    </row>
    <row r="203" spans="1:19">
      <c r="A203" s="12">
        <v>46175</v>
      </c>
      <c r="B203" s="7" t="s">
        <v>26</v>
      </c>
      <c r="C203" s="7" t="s">
        <v>6</v>
      </c>
      <c r="D203" s="11"/>
      <c r="E203" s="15">
        <v>7515.24</v>
      </c>
      <c r="F203" s="11" t="s">
        <v>219</v>
      </c>
      <c r="G203" s="7" t="s">
        <v>761</v>
      </c>
      <c r="H203" s="10"/>
      <c r="I203" s="9"/>
      <c r="J203" s="7" t="s">
        <v>144</v>
      </c>
      <c r="K203" s="7" t="s">
        <v>21</v>
      </c>
      <c r="L203" s="8"/>
      <c r="M203" s="8" t="str">
        <f>IF(C203="Caixa","-",VLOOKUP(J203,[1]Estrutura!C:E,3,FALSE))</f>
        <v>4.2</v>
      </c>
      <c r="N203" s="8"/>
      <c r="O203" s="7">
        <f t="shared" si="8"/>
        <v>2</v>
      </c>
      <c r="P203" s="7">
        <f t="shared" si="9"/>
        <v>6</v>
      </c>
      <c r="Q203" s="7">
        <f t="shared" si="10"/>
        <v>2026</v>
      </c>
      <c r="R203" s="6">
        <f t="shared" si="11"/>
        <v>-7515.24</v>
      </c>
      <c r="S203" s="16">
        <v>46175</v>
      </c>
    </row>
    <row r="204" spans="1:19">
      <c r="A204" s="16">
        <v>46175</v>
      </c>
      <c r="B204" s="8" t="s">
        <v>26</v>
      </c>
      <c r="C204" s="8" t="s">
        <v>6</v>
      </c>
      <c r="D204" s="15"/>
      <c r="E204" s="15">
        <v>681.34</v>
      </c>
      <c r="F204" s="15" t="s">
        <v>219</v>
      </c>
      <c r="G204" s="8" t="s">
        <v>218</v>
      </c>
      <c r="H204" s="14"/>
      <c r="I204" s="13"/>
      <c r="J204" s="8" t="s">
        <v>144</v>
      </c>
      <c r="K204" s="8" t="s">
        <v>21</v>
      </c>
      <c r="L204" s="7"/>
      <c r="M204" s="7" t="str">
        <f>IF(C204="Caixa","-",VLOOKUP(J204,[1]Estrutura!C:E,3,FALSE))</f>
        <v>4.2</v>
      </c>
      <c r="N204" s="7"/>
      <c r="O204" s="7">
        <f t="shared" si="8"/>
        <v>2</v>
      </c>
      <c r="P204" s="7">
        <f t="shared" si="9"/>
        <v>6</v>
      </c>
      <c r="Q204" s="7">
        <f t="shared" si="10"/>
        <v>2026</v>
      </c>
      <c r="R204" s="6">
        <f t="shared" si="11"/>
        <v>-681.34</v>
      </c>
      <c r="S204" s="16">
        <v>46175</v>
      </c>
    </row>
    <row r="205" spans="1:19">
      <c r="A205" s="12">
        <v>46175</v>
      </c>
      <c r="B205" s="7" t="s">
        <v>26</v>
      </c>
      <c r="C205" s="7" t="s">
        <v>6</v>
      </c>
      <c r="D205" s="11"/>
      <c r="E205" s="11">
        <v>1500</v>
      </c>
      <c r="F205" s="11" t="s">
        <v>613</v>
      </c>
      <c r="G205" s="7" t="s">
        <v>760</v>
      </c>
      <c r="H205" s="10"/>
      <c r="I205" s="9"/>
      <c r="J205" s="7" t="s">
        <v>116</v>
      </c>
      <c r="K205" s="7" t="s">
        <v>21</v>
      </c>
      <c r="L205" s="8"/>
      <c r="M205" s="8" t="str">
        <f>IF(C205="Caixa","-",VLOOKUP(J205,[1]Estrutura!C:E,3,FALSE))</f>
        <v>4.12</v>
      </c>
      <c r="N205" s="8"/>
      <c r="O205" s="7">
        <f t="shared" si="8"/>
        <v>2</v>
      </c>
      <c r="P205" s="7">
        <f t="shared" si="9"/>
        <v>6</v>
      </c>
      <c r="Q205" s="7">
        <f t="shared" si="10"/>
        <v>2026</v>
      </c>
      <c r="R205" s="6">
        <f t="shared" si="11"/>
        <v>-1500</v>
      </c>
      <c r="S205" s="12">
        <v>46175</v>
      </c>
    </row>
    <row r="206" spans="1:19">
      <c r="A206" s="16">
        <v>46175</v>
      </c>
      <c r="B206" s="8" t="s">
        <v>26</v>
      </c>
      <c r="C206" s="8" t="s">
        <v>6</v>
      </c>
      <c r="D206" s="15"/>
      <c r="E206" s="15">
        <v>1000</v>
      </c>
      <c r="F206" s="15" t="s">
        <v>199</v>
      </c>
      <c r="G206" s="8" t="s">
        <v>57</v>
      </c>
      <c r="H206" s="14"/>
      <c r="I206" s="13"/>
      <c r="J206" s="8" t="s">
        <v>56</v>
      </c>
      <c r="K206" s="7" t="s">
        <v>21</v>
      </c>
      <c r="L206" s="7"/>
      <c r="M206" s="7" t="str">
        <f>IF(C206="Caixa","-",VLOOKUP(J206,[1]Estrutura!C:E,3,FALSE))</f>
        <v>6.1</v>
      </c>
      <c r="N206" s="7"/>
      <c r="O206" s="7">
        <f t="shared" ref="O206:O269" si="12">DAY(A206)</f>
        <v>2</v>
      </c>
      <c r="P206" s="7">
        <f t="shared" ref="P206:P269" si="13">MONTH(A206)</f>
        <v>6</v>
      </c>
      <c r="Q206" s="7">
        <f t="shared" ref="Q206:Q269" si="14">YEAR(A206)</f>
        <v>2026</v>
      </c>
      <c r="R206" s="6">
        <f t="shared" ref="R206:R269" si="15">D206-E206</f>
        <v>-1000</v>
      </c>
      <c r="S206" s="12">
        <v>46175</v>
      </c>
    </row>
    <row r="207" spans="1:19">
      <c r="A207" s="12">
        <v>46175</v>
      </c>
      <c r="B207" s="7" t="s">
        <v>26</v>
      </c>
      <c r="C207" s="7" t="s">
        <v>6</v>
      </c>
      <c r="D207" s="11"/>
      <c r="E207" s="11">
        <v>193.09</v>
      </c>
      <c r="F207" s="11" t="s">
        <v>101</v>
      </c>
      <c r="G207" s="7" t="s">
        <v>611</v>
      </c>
      <c r="H207" s="10"/>
      <c r="I207" s="9"/>
      <c r="J207" s="8" t="s">
        <v>99</v>
      </c>
      <c r="K207" s="7" t="s">
        <v>34</v>
      </c>
      <c r="L207" s="8"/>
      <c r="M207" s="8" t="str">
        <f>IF(C207="Caixa","-",VLOOKUP(J207,[1]Estrutura!C:E,3,FALSE))</f>
        <v>4.3</v>
      </c>
      <c r="N207" s="8"/>
      <c r="O207" s="7">
        <f t="shared" si="12"/>
        <v>2</v>
      </c>
      <c r="P207" s="7">
        <f t="shared" si="13"/>
        <v>6</v>
      </c>
      <c r="Q207" s="7">
        <f t="shared" si="14"/>
        <v>2026</v>
      </c>
      <c r="R207" s="6">
        <f t="shared" si="15"/>
        <v>-193.09</v>
      </c>
      <c r="S207" s="12">
        <v>46176</v>
      </c>
    </row>
    <row r="208" spans="1:19">
      <c r="A208" s="16">
        <v>46175</v>
      </c>
      <c r="B208" s="8" t="s">
        <v>26</v>
      </c>
      <c r="C208" s="8" t="s">
        <v>6</v>
      </c>
      <c r="D208" s="15"/>
      <c r="E208" s="15">
        <v>105</v>
      </c>
      <c r="F208" s="15" t="s">
        <v>132</v>
      </c>
      <c r="G208" s="8" t="s">
        <v>759</v>
      </c>
      <c r="H208" s="14"/>
      <c r="I208" s="13"/>
      <c r="J208" s="8" t="s">
        <v>17</v>
      </c>
      <c r="K208" s="8" t="s">
        <v>21</v>
      </c>
      <c r="L208" s="7"/>
      <c r="M208" s="7" t="str">
        <f>IF(C208="Caixa","-",VLOOKUP(J208,[1]Estrutura!C:E,3,FALSE))</f>
        <v>4.4</v>
      </c>
      <c r="N208" s="7"/>
      <c r="O208" s="7">
        <f t="shared" si="12"/>
        <v>2</v>
      </c>
      <c r="P208" s="7">
        <f t="shared" si="13"/>
        <v>6</v>
      </c>
      <c r="Q208" s="7">
        <f t="shared" si="14"/>
        <v>2026</v>
      </c>
      <c r="R208" s="6">
        <f t="shared" si="15"/>
        <v>-105</v>
      </c>
      <c r="S208" s="16">
        <v>46176</v>
      </c>
    </row>
    <row r="209" spans="1:19">
      <c r="A209" s="12">
        <v>46175</v>
      </c>
      <c r="B209" s="7" t="s">
        <v>26</v>
      </c>
      <c r="C209" s="7" t="s">
        <v>6</v>
      </c>
      <c r="D209" s="11"/>
      <c r="E209" s="11">
        <v>76</v>
      </c>
      <c r="F209" s="11" t="s">
        <v>132</v>
      </c>
      <c r="G209" s="7" t="s">
        <v>758</v>
      </c>
      <c r="H209" s="10"/>
      <c r="I209" s="9"/>
      <c r="J209" s="7" t="s">
        <v>17</v>
      </c>
      <c r="K209" s="7" t="s">
        <v>40</v>
      </c>
      <c r="L209" s="8"/>
      <c r="M209" s="8" t="str">
        <f>IF(C209="Caixa","-",VLOOKUP(J209,[1]Estrutura!C:E,3,FALSE))</f>
        <v>4.4</v>
      </c>
      <c r="N209" s="8"/>
      <c r="O209" s="7">
        <f t="shared" si="12"/>
        <v>2</v>
      </c>
      <c r="P209" s="7">
        <f t="shared" si="13"/>
        <v>6</v>
      </c>
      <c r="Q209" s="7">
        <f t="shared" si="14"/>
        <v>2026</v>
      </c>
      <c r="R209" s="6">
        <f t="shared" si="15"/>
        <v>-76</v>
      </c>
      <c r="S209" s="16">
        <v>46176</v>
      </c>
    </row>
    <row r="210" spans="1:19">
      <c r="A210" s="16">
        <v>46175</v>
      </c>
      <c r="B210" s="8" t="s">
        <v>26</v>
      </c>
      <c r="C210" s="8" t="s">
        <v>6</v>
      </c>
      <c r="D210" s="15"/>
      <c r="E210" s="15">
        <v>2109.8000000000002</v>
      </c>
      <c r="F210" s="15" t="s">
        <v>132</v>
      </c>
      <c r="G210" s="8" t="s">
        <v>757</v>
      </c>
      <c r="H210" s="14"/>
      <c r="I210" s="13"/>
      <c r="J210" s="8" t="s">
        <v>17</v>
      </c>
      <c r="K210" s="8" t="s">
        <v>34</v>
      </c>
      <c r="L210" s="7"/>
      <c r="M210" s="7" t="str">
        <f>IF(C210="Caixa","-",VLOOKUP(J210,[1]Estrutura!C:E,3,FALSE))</f>
        <v>4.4</v>
      </c>
      <c r="N210" s="7"/>
      <c r="O210" s="7">
        <f t="shared" si="12"/>
        <v>2</v>
      </c>
      <c r="P210" s="7">
        <f t="shared" si="13"/>
        <v>6</v>
      </c>
      <c r="Q210" s="7">
        <f t="shared" si="14"/>
        <v>2026</v>
      </c>
      <c r="R210" s="6">
        <f t="shared" si="15"/>
        <v>-2109.8000000000002</v>
      </c>
      <c r="S210" s="16">
        <v>46176</v>
      </c>
    </row>
    <row r="211" spans="1:19">
      <c r="A211" s="16">
        <v>46175</v>
      </c>
      <c r="B211" s="7" t="s">
        <v>7</v>
      </c>
      <c r="C211" s="7" t="s">
        <v>9</v>
      </c>
      <c r="D211" s="15">
        <v>1194.29</v>
      </c>
      <c r="E211" s="15"/>
      <c r="F211" s="15"/>
      <c r="G211" s="8" t="s">
        <v>11</v>
      </c>
      <c r="H211" s="8"/>
      <c r="I211" s="17"/>
      <c r="J211" s="8" t="s">
        <v>10</v>
      </c>
      <c r="K211" s="8"/>
      <c r="L211" s="8"/>
      <c r="M211" s="8" t="str">
        <f>IF(C211="Caixa","-",VLOOKUP(J211,[1]Estrutura!C:E,3,FALSE))</f>
        <v>1.1</v>
      </c>
      <c r="N211" s="8"/>
      <c r="O211" s="7">
        <f t="shared" si="12"/>
        <v>2</v>
      </c>
      <c r="P211" s="7">
        <f t="shared" si="13"/>
        <v>6</v>
      </c>
      <c r="Q211" s="7">
        <f t="shared" si="14"/>
        <v>2026</v>
      </c>
      <c r="R211" s="6">
        <f t="shared" si="15"/>
        <v>1194.29</v>
      </c>
      <c r="S211" s="16">
        <v>46177</v>
      </c>
    </row>
    <row r="212" spans="1:19">
      <c r="A212" s="12">
        <v>46175</v>
      </c>
      <c r="B212" s="7" t="s">
        <v>7</v>
      </c>
      <c r="C212" s="7" t="s">
        <v>9</v>
      </c>
      <c r="D212" s="11"/>
      <c r="E212" s="11">
        <v>100.06</v>
      </c>
      <c r="F212" s="11" t="s">
        <v>198</v>
      </c>
      <c r="G212" s="7" t="s">
        <v>290</v>
      </c>
      <c r="H212" s="10"/>
      <c r="I212" s="9"/>
      <c r="J212" s="7" t="s">
        <v>196</v>
      </c>
      <c r="K212" s="7"/>
      <c r="L212" s="7"/>
      <c r="M212" s="7" t="str">
        <f>IF(C212="Caixa","-",VLOOKUP(J212,[1]Estrutura!C:E,3,FALSE))</f>
        <v>4.3</v>
      </c>
      <c r="N212" s="7"/>
      <c r="O212" s="7">
        <f t="shared" si="12"/>
        <v>2</v>
      </c>
      <c r="P212" s="7">
        <f t="shared" si="13"/>
        <v>6</v>
      </c>
      <c r="Q212" s="7">
        <f t="shared" si="14"/>
        <v>2026</v>
      </c>
      <c r="R212" s="6">
        <f t="shared" si="15"/>
        <v>-100.06</v>
      </c>
      <c r="S212" s="12">
        <v>46177</v>
      </c>
    </row>
    <row r="213" spans="1:19">
      <c r="A213" s="12">
        <v>46175</v>
      </c>
      <c r="B213" s="7" t="s">
        <v>7</v>
      </c>
      <c r="C213" s="7" t="s">
        <v>9</v>
      </c>
      <c r="D213" s="11"/>
      <c r="E213" s="11">
        <v>30000</v>
      </c>
      <c r="F213" s="11" t="s">
        <v>130</v>
      </c>
      <c r="G213" s="7" t="s">
        <v>129</v>
      </c>
      <c r="H213" s="10"/>
      <c r="I213" s="9"/>
      <c r="J213" s="7" t="s">
        <v>128</v>
      </c>
      <c r="K213" s="8"/>
      <c r="L213" s="8"/>
      <c r="M213" s="8" t="str">
        <f>IF(C213="Caixa","-",VLOOKUP(J213,[1]Estrutura!C:E,3,FALSE))</f>
        <v>9.1</v>
      </c>
      <c r="N213" s="8"/>
      <c r="O213" s="7">
        <f t="shared" si="12"/>
        <v>2</v>
      </c>
      <c r="P213" s="7">
        <f t="shared" si="13"/>
        <v>6</v>
      </c>
      <c r="Q213" s="7">
        <f t="shared" si="14"/>
        <v>2026</v>
      </c>
      <c r="R213" s="6">
        <f t="shared" si="15"/>
        <v>-30000</v>
      </c>
      <c r="S213" s="16">
        <v>46177</v>
      </c>
    </row>
    <row r="214" spans="1:19">
      <c r="A214" s="12">
        <v>46176</v>
      </c>
      <c r="B214" s="7" t="s">
        <v>122</v>
      </c>
      <c r="C214" s="7" t="s">
        <v>6</v>
      </c>
      <c r="D214" s="11"/>
      <c r="E214" s="11">
        <v>536.4</v>
      </c>
      <c r="F214" s="11" t="s">
        <v>125</v>
      </c>
      <c r="G214" s="7" t="s">
        <v>756</v>
      </c>
      <c r="H214" s="10"/>
      <c r="I214" s="9"/>
      <c r="J214" s="8" t="s">
        <v>99</v>
      </c>
      <c r="K214" s="7"/>
      <c r="L214" s="7"/>
      <c r="M214" s="7" t="str">
        <f>IF(C214="Caixa","-",VLOOKUP(J214,[1]Estrutura!C:E,3,FALSE))</f>
        <v>4.3</v>
      </c>
      <c r="N214" s="7"/>
      <c r="O214" s="7">
        <f t="shared" si="12"/>
        <v>3</v>
      </c>
      <c r="P214" s="7">
        <f t="shared" si="13"/>
        <v>6</v>
      </c>
      <c r="Q214" s="7">
        <f t="shared" si="14"/>
        <v>2026</v>
      </c>
      <c r="R214" s="6">
        <f t="shared" si="15"/>
        <v>-536.4</v>
      </c>
      <c r="S214" s="16">
        <v>46178</v>
      </c>
    </row>
    <row r="215" spans="1:19">
      <c r="A215" s="16">
        <v>46176</v>
      </c>
      <c r="B215" s="8" t="s">
        <v>14</v>
      </c>
      <c r="C215" s="7" t="s">
        <v>9</v>
      </c>
      <c r="D215" s="15">
        <v>2111.19</v>
      </c>
      <c r="E215" s="15"/>
      <c r="F215" s="15"/>
      <c r="G215" s="8" t="s">
        <v>11</v>
      </c>
      <c r="H215" s="8"/>
      <c r="I215" s="17"/>
      <c r="J215" s="8" t="s">
        <v>10</v>
      </c>
      <c r="K215" s="8"/>
      <c r="L215" s="8"/>
      <c r="M215" s="8" t="str">
        <f>IF(C215="Caixa","-",VLOOKUP(J215,[1]Estrutura!C:E,3,FALSE))</f>
        <v>1.1</v>
      </c>
      <c r="N215" s="8"/>
      <c r="O215" s="7">
        <f t="shared" si="12"/>
        <v>3</v>
      </c>
      <c r="P215" s="7">
        <f t="shared" si="13"/>
        <v>6</v>
      </c>
      <c r="Q215" s="7">
        <f t="shared" si="14"/>
        <v>2026</v>
      </c>
      <c r="R215" s="6">
        <f t="shared" si="15"/>
        <v>2111.19</v>
      </c>
      <c r="S215" s="12">
        <v>46178</v>
      </c>
    </row>
    <row r="216" spans="1:19">
      <c r="A216" s="16">
        <v>46176</v>
      </c>
      <c r="B216" s="8" t="s">
        <v>26</v>
      </c>
      <c r="C216" s="8" t="s">
        <v>25</v>
      </c>
      <c r="D216" s="15"/>
      <c r="E216" s="15">
        <v>86.8</v>
      </c>
      <c r="F216" s="15"/>
      <c r="G216" s="8" t="s">
        <v>200</v>
      </c>
      <c r="H216" s="14"/>
      <c r="I216" s="13"/>
      <c r="J216" s="8" t="s">
        <v>4</v>
      </c>
      <c r="K216" s="8" t="s">
        <v>40</v>
      </c>
      <c r="L216" s="7"/>
      <c r="M216" s="7" t="str">
        <f>IF(C216="Caixa","-",VLOOKUP(J216,[1]Estrutura!C:E,3,FALSE))</f>
        <v>5.2</v>
      </c>
      <c r="N216" s="7"/>
      <c r="O216" s="7">
        <f t="shared" si="12"/>
        <v>3</v>
      </c>
      <c r="P216" s="7">
        <f t="shared" si="13"/>
        <v>6</v>
      </c>
      <c r="Q216" s="7">
        <f t="shared" si="14"/>
        <v>2026</v>
      </c>
      <c r="R216" s="6">
        <f t="shared" si="15"/>
        <v>-86.8</v>
      </c>
      <c r="S216" s="16">
        <v>46178</v>
      </c>
    </row>
    <row r="217" spans="1:19">
      <c r="A217" s="16">
        <v>46176</v>
      </c>
      <c r="B217" s="7" t="s">
        <v>7</v>
      </c>
      <c r="C217" s="7" t="s">
        <v>9</v>
      </c>
      <c r="D217" s="15">
        <v>1142.57</v>
      </c>
      <c r="E217" s="15"/>
      <c r="F217" s="15"/>
      <c r="G217" s="8" t="s">
        <v>11</v>
      </c>
      <c r="H217" s="8"/>
      <c r="I217" s="17"/>
      <c r="J217" s="8" t="s">
        <v>10</v>
      </c>
      <c r="K217" s="8"/>
      <c r="L217" s="8"/>
      <c r="M217" s="8" t="str">
        <f>IF(C217="Caixa","-",VLOOKUP(J217,[1]Estrutura!C:E,3,FALSE))</f>
        <v>1.1</v>
      </c>
      <c r="N217" s="8"/>
      <c r="O217" s="7">
        <f t="shared" si="12"/>
        <v>3</v>
      </c>
      <c r="P217" s="7">
        <f t="shared" si="13"/>
        <v>6</v>
      </c>
      <c r="Q217" s="7">
        <f t="shared" si="14"/>
        <v>2026</v>
      </c>
      <c r="R217" s="6">
        <f t="shared" si="15"/>
        <v>1142.57</v>
      </c>
      <c r="S217" s="12">
        <v>46178</v>
      </c>
    </row>
    <row r="218" spans="1:19">
      <c r="A218" s="16">
        <v>46177</v>
      </c>
      <c r="B218" s="8" t="s">
        <v>26</v>
      </c>
      <c r="C218" s="24" t="s">
        <v>25</v>
      </c>
      <c r="D218" s="38">
        <v>1518</v>
      </c>
      <c r="E218" s="15"/>
      <c r="F218" s="15" t="s">
        <v>95</v>
      </c>
      <c r="G218" s="8" t="s">
        <v>755</v>
      </c>
      <c r="H218" s="14"/>
      <c r="I218" s="13"/>
      <c r="J218" s="8" t="s">
        <v>107</v>
      </c>
      <c r="K218" s="8" t="s">
        <v>21</v>
      </c>
      <c r="L218" s="7"/>
      <c r="M218" s="7" t="str">
        <f>IF(C218="Caixa","-",VLOOKUP(J218,[1]Estrutura!C:E,3,FALSE))</f>
        <v>1.4</v>
      </c>
      <c r="N218" s="7"/>
      <c r="O218" s="7">
        <f t="shared" si="12"/>
        <v>4</v>
      </c>
      <c r="P218" s="7">
        <f t="shared" si="13"/>
        <v>6</v>
      </c>
      <c r="Q218" s="7">
        <f t="shared" si="14"/>
        <v>2026</v>
      </c>
      <c r="R218" s="6">
        <f t="shared" si="15"/>
        <v>1518</v>
      </c>
      <c r="S218" s="16">
        <v>46179</v>
      </c>
    </row>
    <row r="219" spans="1:19">
      <c r="A219" s="12">
        <v>46177</v>
      </c>
      <c r="B219" s="7" t="s">
        <v>26</v>
      </c>
      <c r="C219" s="18" t="s">
        <v>25</v>
      </c>
      <c r="D219" s="37">
        <v>6920.56</v>
      </c>
      <c r="E219" s="11"/>
      <c r="F219" s="11" t="s">
        <v>95</v>
      </c>
      <c r="G219" s="7" t="s">
        <v>754</v>
      </c>
      <c r="H219" s="10"/>
      <c r="I219" s="9"/>
      <c r="J219" s="7" t="s">
        <v>107</v>
      </c>
      <c r="K219" s="7" t="s">
        <v>21</v>
      </c>
      <c r="L219" s="8"/>
      <c r="M219" s="8" t="str">
        <f>IF(C219="Caixa","-",VLOOKUP(J219,[1]Estrutura!C:E,3,FALSE))</f>
        <v>1.4</v>
      </c>
      <c r="N219" s="8"/>
      <c r="O219" s="7">
        <f t="shared" si="12"/>
        <v>4</v>
      </c>
      <c r="P219" s="7">
        <f t="shared" si="13"/>
        <v>6</v>
      </c>
      <c r="Q219" s="7">
        <f t="shared" si="14"/>
        <v>2026</v>
      </c>
      <c r="R219" s="6">
        <f t="shared" si="15"/>
        <v>6920.56</v>
      </c>
      <c r="S219" s="16">
        <v>46179</v>
      </c>
    </row>
    <row r="220" spans="1:19">
      <c r="A220" s="16">
        <v>46177</v>
      </c>
      <c r="B220" s="7" t="s">
        <v>7</v>
      </c>
      <c r="C220" s="7" t="s">
        <v>9</v>
      </c>
      <c r="D220" s="15">
        <v>1108.49</v>
      </c>
      <c r="E220" s="15"/>
      <c r="F220" s="15"/>
      <c r="G220" s="8" t="s">
        <v>11</v>
      </c>
      <c r="H220" s="8"/>
      <c r="I220" s="17"/>
      <c r="J220" s="8" t="s">
        <v>10</v>
      </c>
      <c r="K220" s="8"/>
      <c r="L220" s="7"/>
      <c r="M220" s="7" t="str">
        <f>IF(C220="Caixa","-",VLOOKUP(J220,[1]Estrutura!C:E,3,FALSE))</f>
        <v>1.1</v>
      </c>
      <c r="N220" s="7"/>
      <c r="O220" s="7">
        <f t="shared" si="12"/>
        <v>4</v>
      </c>
      <c r="P220" s="7">
        <f t="shared" si="13"/>
        <v>6</v>
      </c>
      <c r="Q220" s="7">
        <f t="shared" si="14"/>
        <v>2026</v>
      </c>
      <c r="R220" s="6">
        <f t="shared" si="15"/>
        <v>1108.49</v>
      </c>
      <c r="S220" s="12">
        <v>46179</v>
      </c>
    </row>
    <row r="221" spans="1:19">
      <c r="A221" s="16">
        <v>46178</v>
      </c>
      <c r="B221" s="8" t="s">
        <v>14</v>
      </c>
      <c r="C221" s="7" t="s">
        <v>9</v>
      </c>
      <c r="D221" s="15">
        <v>4953</v>
      </c>
      <c r="E221" s="15"/>
      <c r="F221" s="15"/>
      <c r="G221" s="8" t="s">
        <v>11</v>
      </c>
      <c r="H221" s="8"/>
      <c r="I221" s="17"/>
      <c r="J221" s="8" t="s">
        <v>10</v>
      </c>
      <c r="K221" s="8"/>
      <c r="L221" s="8"/>
      <c r="M221" s="8" t="str">
        <f>IF(C221="Caixa","-",VLOOKUP(J221,[1]Estrutura!C:E,3,FALSE))</f>
        <v>1.1</v>
      </c>
      <c r="N221" s="8"/>
      <c r="O221" s="7">
        <f t="shared" si="12"/>
        <v>5</v>
      </c>
      <c r="P221" s="7">
        <f t="shared" si="13"/>
        <v>6</v>
      </c>
      <c r="Q221" s="7">
        <f t="shared" si="14"/>
        <v>2026</v>
      </c>
      <c r="R221" s="6">
        <f t="shared" si="15"/>
        <v>4953</v>
      </c>
      <c r="S221" s="12">
        <v>46179</v>
      </c>
    </row>
    <row r="222" spans="1:19">
      <c r="A222" s="12">
        <v>46178</v>
      </c>
      <c r="B222" s="7" t="s">
        <v>14</v>
      </c>
      <c r="C222" s="7" t="s">
        <v>9</v>
      </c>
      <c r="D222" s="11"/>
      <c r="E222" s="11">
        <v>204.44</v>
      </c>
      <c r="F222" s="11" t="s">
        <v>194</v>
      </c>
      <c r="G222" s="7" t="s">
        <v>753</v>
      </c>
      <c r="H222" s="10"/>
      <c r="I222" s="9"/>
      <c r="J222" s="21" t="s">
        <v>67</v>
      </c>
      <c r="K222" s="7"/>
      <c r="L222" s="7"/>
      <c r="M222" s="7" t="str">
        <f>IF(C222="Caixa","-",VLOOKUP(J222,[1]Estrutura!C:E,3,FALSE))</f>
        <v>4.5</v>
      </c>
      <c r="N222" s="7"/>
      <c r="O222" s="7">
        <f t="shared" si="12"/>
        <v>5</v>
      </c>
      <c r="P222" s="7">
        <f t="shared" si="13"/>
        <v>6</v>
      </c>
      <c r="Q222" s="7">
        <f t="shared" si="14"/>
        <v>2026</v>
      </c>
      <c r="R222" s="6">
        <f t="shared" si="15"/>
        <v>-204.44</v>
      </c>
      <c r="S222" s="16">
        <v>46179</v>
      </c>
    </row>
    <row r="223" spans="1:19">
      <c r="A223" s="16">
        <v>46178</v>
      </c>
      <c r="B223" s="7" t="s">
        <v>7</v>
      </c>
      <c r="C223" s="7" t="s">
        <v>9</v>
      </c>
      <c r="D223" s="15">
        <v>1837.75</v>
      </c>
      <c r="E223" s="15"/>
      <c r="F223" s="15"/>
      <c r="G223" s="8" t="s">
        <v>11</v>
      </c>
      <c r="H223" s="8"/>
      <c r="I223" s="17"/>
      <c r="J223" s="8" t="s">
        <v>10</v>
      </c>
      <c r="K223" s="8"/>
      <c r="L223" s="8"/>
      <c r="M223" s="8" t="str">
        <f>IF(C223="Caixa","-",VLOOKUP(J223,[1]Estrutura!C:E,3,FALSE))</f>
        <v>1.1</v>
      </c>
      <c r="N223" s="8"/>
      <c r="O223" s="7">
        <f t="shared" si="12"/>
        <v>5</v>
      </c>
      <c r="P223" s="7">
        <f t="shared" si="13"/>
        <v>6</v>
      </c>
      <c r="Q223" s="7">
        <f t="shared" si="14"/>
        <v>2026</v>
      </c>
      <c r="R223" s="6">
        <f t="shared" si="15"/>
        <v>1837.75</v>
      </c>
      <c r="S223" s="16">
        <v>46180</v>
      </c>
    </row>
    <row r="224" spans="1:19">
      <c r="A224" s="12">
        <v>46178</v>
      </c>
      <c r="B224" s="7" t="s">
        <v>7</v>
      </c>
      <c r="C224" s="7" t="s">
        <v>9</v>
      </c>
      <c r="D224" s="11"/>
      <c r="E224" s="11">
        <v>946.67</v>
      </c>
      <c r="F224" s="11" t="s">
        <v>280</v>
      </c>
      <c r="G224" s="7" t="s">
        <v>279</v>
      </c>
      <c r="H224" s="10"/>
      <c r="I224" s="9"/>
      <c r="J224" s="7" t="s">
        <v>27</v>
      </c>
      <c r="K224" s="7"/>
      <c r="L224" s="7"/>
      <c r="M224" s="7" t="str">
        <f>IF(C224="Caixa","-",VLOOKUP(J224,[1]Estrutura!C:E,3,FALSE))</f>
        <v>7.3</v>
      </c>
      <c r="N224" s="7"/>
      <c r="O224" s="7">
        <f t="shared" si="12"/>
        <v>5</v>
      </c>
      <c r="P224" s="7">
        <f t="shared" si="13"/>
        <v>6</v>
      </c>
      <c r="Q224" s="7">
        <f t="shared" si="14"/>
        <v>2026</v>
      </c>
      <c r="R224" s="6">
        <f t="shared" si="15"/>
        <v>-946.67</v>
      </c>
      <c r="S224" s="16">
        <v>46181</v>
      </c>
    </row>
    <row r="225" spans="1:19">
      <c r="A225" s="16">
        <v>46179</v>
      </c>
      <c r="B225" s="8" t="s">
        <v>14</v>
      </c>
      <c r="C225" s="8" t="s">
        <v>9</v>
      </c>
      <c r="D225" s="15">
        <v>9751.4500000000007</v>
      </c>
      <c r="E225" s="15"/>
      <c r="F225" s="59" t="s">
        <v>181</v>
      </c>
      <c r="G225" s="54" t="s">
        <v>180</v>
      </c>
      <c r="H225" s="14"/>
      <c r="I225" s="13"/>
      <c r="J225" s="8" t="s">
        <v>179</v>
      </c>
      <c r="K225" s="8"/>
      <c r="L225" s="8"/>
      <c r="M225" s="8" t="str">
        <f>IF(C225="Caixa","-",VLOOKUP(J225,[1]Estrutura!C:E,3,FALSE))</f>
        <v>1.2</v>
      </c>
      <c r="N225" s="8"/>
      <c r="O225" s="7">
        <f t="shared" si="12"/>
        <v>6</v>
      </c>
      <c r="P225" s="7">
        <f t="shared" si="13"/>
        <v>6</v>
      </c>
      <c r="Q225" s="7">
        <f t="shared" si="14"/>
        <v>2026</v>
      </c>
      <c r="R225" s="6">
        <f t="shared" si="15"/>
        <v>9751.4500000000007</v>
      </c>
      <c r="S225" s="16">
        <v>46181</v>
      </c>
    </row>
    <row r="226" spans="1:19">
      <c r="A226" s="16">
        <v>46179</v>
      </c>
      <c r="B226" s="8" t="s">
        <v>14</v>
      </c>
      <c r="C226" s="8" t="s">
        <v>25</v>
      </c>
      <c r="D226" s="15"/>
      <c r="E226" s="15">
        <v>386.3</v>
      </c>
      <c r="F226" s="15" t="s">
        <v>125</v>
      </c>
      <c r="G226" s="8" t="s">
        <v>284</v>
      </c>
      <c r="H226" s="14"/>
      <c r="I226" s="13"/>
      <c r="J226" s="8" t="s">
        <v>99</v>
      </c>
      <c r="K226" s="8"/>
      <c r="L226" s="7"/>
      <c r="M226" s="7" t="str">
        <f>IF(C226="Caixa","-",VLOOKUP(J226,[1]Estrutura!C:E,3,FALSE))</f>
        <v>4.3</v>
      </c>
      <c r="N226" s="7"/>
      <c r="O226" s="7">
        <f t="shared" si="12"/>
        <v>6</v>
      </c>
      <c r="P226" s="7">
        <f t="shared" si="13"/>
        <v>6</v>
      </c>
      <c r="Q226" s="7">
        <f t="shared" si="14"/>
        <v>2026</v>
      </c>
      <c r="R226" s="6">
        <f t="shared" si="15"/>
        <v>-386.3</v>
      </c>
      <c r="S226" s="12">
        <v>46182</v>
      </c>
    </row>
    <row r="227" spans="1:19">
      <c r="A227" s="12">
        <v>46179</v>
      </c>
      <c r="B227" s="7" t="s">
        <v>26</v>
      </c>
      <c r="C227" s="7" t="s">
        <v>6</v>
      </c>
      <c r="D227" s="11"/>
      <c r="E227" s="11">
        <v>300</v>
      </c>
      <c r="F227" s="11" t="s">
        <v>132</v>
      </c>
      <c r="G227" s="7" t="s">
        <v>752</v>
      </c>
      <c r="H227" s="10"/>
      <c r="I227" s="9"/>
      <c r="J227" s="7" t="s">
        <v>116</v>
      </c>
      <c r="K227" s="7" t="s">
        <v>21</v>
      </c>
      <c r="L227" s="8"/>
      <c r="M227" s="8" t="str">
        <f>IF(C227="Caixa","-",VLOOKUP(J227,[1]Estrutura!C:E,3,FALSE))</f>
        <v>4.12</v>
      </c>
      <c r="N227" s="8"/>
      <c r="O227" s="7">
        <f t="shared" si="12"/>
        <v>6</v>
      </c>
      <c r="P227" s="7">
        <f t="shared" si="13"/>
        <v>6</v>
      </c>
      <c r="Q227" s="7">
        <f t="shared" si="14"/>
        <v>2026</v>
      </c>
      <c r="R227" s="6">
        <f t="shared" si="15"/>
        <v>-300</v>
      </c>
      <c r="S227" s="16">
        <v>46182</v>
      </c>
    </row>
    <row r="228" spans="1:19">
      <c r="A228" s="12">
        <v>46179</v>
      </c>
      <c r="B228" s="7" t="s">
        <v>26</v>
      </c>
      <c r="C228" s="7" t="s">
        <v>6</v>
      </c>
      <c r="D228" s="11"/>
      <c r="E228" s="11">
        <v>78.58</v>
      </c>
      <c r="F228" s="11" t="s">
        <v>132</v>
      </c>
      <c r="G228" s="7" t="s">
        <v>751</v>
      </c>
      <c r="H228" s="10"/>
      <c r="I228" s="9"/>
      <c r="J228" s="7" t="s">
        <v>17</v>
      </c>
      <c r="K228" s="7" t="s">
        <v>21</v>
      </c>
      <c r="L228" s="7"/>
      <c r="M228" s="7" t="str">
        <f>IF(C228="Caixa","-",VLOOKUP(J228,[1]Estrutura!C:E,3,FALSE))</f>
        <v>4.4</v>
      </c>
      <c r="N228" s="7"/>
      <c r="O228" s="7">
        <f t="shared" si="12"/>
        <v>6</v>
      </c>
      <c r="P228" s="7">
        <f t="shared" si="13"/>
        <v>6</v>
      </c>
      <c r="Q228" s="7">
        <f t="shared" si="14"/>
        <v>2026</v>
      </c>
      <c r="R228" s="6">
        <f t="shared" si="15"/>
        <v>-78.58</v>
      </c>
      <c r="S228" s="12">
        <v>46182</v>
      </c>
    </row>
    <row r="229" spans="1:19">
      <c r="A229" s="16">
        <v>46179</v>
      </c>
      <c r="B229" s="7" t="s">
        <v>7</v>
      </c>
      <c r="C229" s="7" t="s">
        <v>9</v>
      </c>
      <c r="D229" s="15">
        <v>5732.3399999999992</v>
      </c>
      <c r="E229" s="15"/>
      <c r="F229" s="15"/>
      <c r="G229" s="8" t="s">
        <v>11</v>
      </c>
      <c r="H229" s="8"/>
      <c r="I229" s="17"/>
      <c r="J229" s="8" t="s">
        <v>10</v>
      </c>
      <c r="K229" s="8"/>
      <c r="L229" s="8"/>
      <c r="M229" s="8" t="str">
        <f>IF(C229="Caixa","-",VLOOKUP(J229,[1]Estrutura!C:E,3,FALSE))</f>
        <v>1.1</v>
      </c>
      <c r="N229" s="8"/>
      <c r="O229" s="7">
        <f t="shared" si="12"/>
        <v>6</v>
      </c>
      <c r="P229" s="7">
        <f t="shared" si="13"/>
        <v>6</v>
      </c>
      <c r="Q229" s="7">
        <f t="shared" si="14"/>
        <v>2026</v>
      </c>
      <c r="R229" s="6">
        <f t="shared" si="15"/>
        <v>5732.3399999999992</v>
      </c>
      <c r="S229" s="16">
        <v>46182</v>
      </c>
    </row>
    <row r="230" spans="1:19">
      <c r="A230" s="16">
        <v>46180</v>
      </c>
      <c r="B230" s="7" t="s">
        <v>7</v>
      </c>
      <c r="C230" s="7" t="s">
        <v>9</v>
      </c>
      <c r="D230" s="15">
        <v>1248.33</v>
      </c>
      <c r="E230" s="15"/>
      <c r="F230" s="15"/>
      <c r="G230" s="8" t="s">
        <v>11</v>
      </c>
      <c r="H230" s="8"/>
      <c r="I230" s="17"/>
      <c r="J230" s="8" t="s">
        <v>10</v>
      </c>
      <c r="K230" s="8"/>
      <c r="L230" s="7"/>
      <c r="M230" s="7" t="str">
        <f>IF(C230="Caixa","-",VLOOKUP(J230,[1]Estrutura!C:E,3,FALSE))</f>
        <v>1.1</v>
      </c>
      <c r="N230" s="7"/>
      <c r="O230" s="7">
        <f t="shared" si="12"/>
        <v>7</v>
      </c>
      <c r="P230" s="7">
        <f t="shared" si="13"/>
        <v>6</v>
      </c>
      <c r="Q230" s="7">
        <f t="shared" si="14"/>
        <v>2026</v>
      </c>
      <c r="R230" s="6">
        <f t="shared" si="15"/>
        <v>1248.33</v>
      </c>
      <c r="S230" s="12">
        <v>46182</v>
      </c>
    </row>
    <row r="231" spans="1:19">
      <c r="A231" s="16">
        <v>46181</v>
      </c>
      <c r="B231" s="8" t="s">
        <v>14</v>
      </c>
      <c r="C231" s="7" t="s">
        <v>9</v>
      </c>
      <c r="D231" s="15">
        <v>1273.52</v>
      </c>
      <c r="E231" s="15"/>
      <c r="F231" s="15"/>
      <c r="G231" s="8" t="s">
        <v>11</v>
      </c>
      <c r="H231" s="8"/>
      <c r="I231" s="17"/>
      <c r="J231" s="8" t="s">
        <v>10</v>
      </c>
      <c r="K231" s="8"/>
      <c r="L231" s="8"/>
      <c r="M231" s="8" t="str">
        <f>IF(C231="Caixa","-",VLOOKUP(J231,[1]Estrutura!C:E,3,FALSE))</f>
        <v>1.1</v>
      </c>
      <c r="N231" s="8"/>
      <c r="O231" s="7">
        <f t="shared" si="12"/>
        <v>8</v>
      </c>
      <c r="P231" s="7">
        <f t="shared" si="13"/>
        <v>6</v>
      </c>
      <c r="Q231" s="7">
        <f t="shared" si="14"/>
        <v>2026</v>
      </c>
      <c r="R231" s="6">
        <f t="shared" si="15"/>
        <v>1273.52</v>
      </c>
      <c r="S231" s="16">
        <v>46182</v>
      </c>
    </row>
    <row r="232" spans="1:19">
      <c r="A232" s="16">
        <v>46181</v>
      </c>
      <c r="B232" s="7" t="s">
        <v>7</v>
      </c>
      <c r="C232" s="7" t="s">
        <v>9</v>
      </c>
      <c r="D232" s="15">
        <v>911.88</v>
      </c>
      <c r="E232" s="15"/>
      <c r="F232" s="15"/>
      <c r="G232" s="8" t="s">
        <v>11</v>
      </c>
      <c r="H232" s="8"/>
      <c r="I232" s="17"/>
      <c r="J232" s="8" t="s">
        <v>10</v>
      </c>
      <c r="K232" s="8"/>
      <c r="L232" s="7"/>
      <c r="M232" s="7" t="str">
        <f>IF(C232="Caixa","-",VLOOKUP(J232,[1]Estrutura!C:E,3,FALSE))</f>
        <v>1.1</v>
      </c>
      <c r="N232" s="7"/>
      <c r="O232" s="7">
        <f t="shared" si="12"/>
        <v>8</v>
      </c>
      <c r="P232" s="7">
        <f t="shared" si="13"/>
        <v>6</v>
      </c>
      <c r="Q232" s="7">
        <f t="shared" si="14"/>
        <v>2026</v>
      </c>
      <c r="R232" s="6">
        <f t="shared" si="15"/>
        <v>911.88</v>
      </c>
      <c r="S232" s="12">
        <v>46182</v>
      </c>
    </row>
    <row r="233" spans="1:19">
      <c r="A233" s="12">
        <v>46182</v>
      </c>
      <c r="B233" s="7" t="s">
        <v>14</v>
      </c>
      <c r="C233" s="7" t="s">
        <v>9</v>
      </c>
      <c r="D233" s="11"/>
      <c r="E233" s="11">
        <v>376.59</v>
      </c>
      <c r="F233" s="11" t="s">
        <v>750</v>
      </c>
      <c r="G233" s="7" t="s">
        <v>749</v>
      </c>
      <c r="H233" s="10"/>
      <c r="I233" s="9"/>
      <c r="J233" s="7" t="s">
        <v>64</v>
      </c>
      <c r="K233" s="7"/>
      <c r="L233" s="8"/>
      <c r="M233" s="8" t="str">
        <f>IF(C233="Caixa","-",VLOOKUP(J233,[1]Estrutura!C:E,3,FALSE))</f>
        <v>4.4</v>
      </c>
      <c r="N233" s="8"/>
      <c r="O233" s="7">
        <f t="shared" si="12"/>
        <v>9</v>
      </c>
      <c r="P233" s="7">
        <f t="shared" si="13"/>
        <v>6</v>
      </c>
      <c r="Q233" s="7">
        <f t="shared" si="14"/>
        <v>2026</v>
      </c>
      <c r="R233" s="6">
        <f t="shared" si="15"/>
        <v>-376.59</v>
      </c>
      <c r="S233" s="16">
        <v>46182</v>
      </c>
    </row>
    <row r="234" spans="1:19">
      <c r="A234" s="16">
        <v>46182</v>
      </c>
      <c r="B234" s="8" t="s">
        <v>14</v>
      </c>
      <c r="C234" s="8" t="s">
        <v>9</v>
      </c>
      <c r="D234" s="15"/>
      <c r="E234" s="11">
        <v>1134.42</v>
      </c>
      <c r="F234" s="15" t="s">
        <v>159</v>
      </c>
      <c r="G234" s="8" t="s">
        <v>158</v>
      </c>
      <c r="H234" s="14"/>
      <c r="I234" s="13"/>
      <c r="J234" s="8" t="s">
        <v>29</v>
      </c>
      <c r="K234" s="8"/>
      <c r="L234" s="7"/>
      <c r="M234" s="7" t="str">
        <f>IF(C234="Caixa","-",VLOOKUP(J234,[1]Estrutura!C:E,3,FALSE))</f>
        <v>4.8</v>
      </c>
      <c r="N234" s="7"/>
      <c r="O234" s="7">
        <f t="shared" si="12"/>
        <v>9</v>
      </c>
      <c r="P234" s="7">
        <f t="shared" si="13"/>
        <v>6</v>
      </c>
      <c r="Q234" s="7">
        <f t="shared" si="14"/>
        <v>2026</v>
      </c>
      <c r="R234" s="6">
        <f t="shared" si="15"/>
        <v>-1134.42</v>
      </c>
      <c r="S234" s="12">
        <v>46182</v>
      </c>
    </row>
    <row r="235" spans="1:19">
      <c r="A235" s="12">
        <v>46174</v>
      </c>
      <c r="B235" s="7" t="s">
        <v>14</v>
      </c>
      <c r="C235" s="7" t="s">
        <v>9</v>
      </c>
      <c r="D235" s="11"/>
      <c r="E235" s="11">
        <v>100000</v>
      </c>
      <c r="F235" s="11" t="s">
        <v>138</v>
      </c>
      <c r="G235" s="8" t="s">
        <v>129</v>
      </c>
      <c r="H235" s="10"/>
      <c r="I235" s="9"/>
      <c r="J235" s="7" t="s">
        <v>128</v>
      </c>
      <c r="K235" s="7"/>
      <c r="L235" s="8"/>
      <c r="M235" s="8" t="str">
        <f>IF(C235="Caixa","-",VLOOKUP(J235,[1]Estrutura!C:E,3,FALSE))</f>
        <v>9.1</v>
      </c>
      <c r="N235" s="8"/>
      <c r="O235" s="7">
        <f t="shared" si="12"/>
        <v>1</v>
      </c>
      <c r="P235" s="7">
        <f t="shared" si="13"/>
        <v>6</v>
      </c>
      <c r="Q235" s="7">
        <f t="shared" si="14"/>
        <v>2026</v>
      </c>
      <c r="R235" s="6">
        <f t="shared" si="15"/>
        <v>-100000</v>
      </c>
      <c r="S235" s="12">
        <v>46182</v>
      </c>
    </row>
    <row r="236" spans="1:19">
      <c r="A236" s="16">
        <v>46182</v>
      </c>
      <c r="B236" s="8" t="s">
        <v>14</v>
      </c>
      <c r="C236" s="8" t="s">
        <v>9</v>
      </c>
      <c r="D236" s="15"/>
      <c r="E236" s="15">
        <v>2165.58</v>
      </c>
      <c r="F236" s="15" t="s">
        <v>652</v>
      </c>
      <c r="G236" s="8" t="s">
        <v>748</v>
      </c>
      <c r="H236" s="14"/>
      <c r="I236" s="13"/>
      <c r="J236" s="8" t="s">
        <v>269</v>
      </c>
      <c r="K236" s="8"/>
      <c r="L236" s="7"/>
      <c r="M236" s="7" t="str">
        <f>IF(C236="Caixa","-",VLOOKUP(J236,[1]Estrutura!C:E,3,FALSE))</f>
        <v>4.7</v>
      </c>
      <c r="N236" s="7"/>
      <c r="O236" s="7">
        <f t="shared" si="12"/>
        <v>9</v>
      </c>
      <c r="P236" s="7">
        <f t="shared" si="13"/>
        <v>6</v>
      </c>
      <c r="Q236" s="7">
        <f t="shared" si="14"/>
        <v>2026</v>
      </c>
      <c r="R236" s="6">
        <f t="shared" si="15"/>
        <v>-2165.58</v>
      </c>
      <c r="S236" s="16">
        <v>46182</v>
      </c>
    </row>
    <row r="237" spans="1:19">
      <c r="A237" s="12">
        <v>46182</v>
      </c>
      <c r="B237" s="7" t="s">
        <v>14</v>
      </c>
      <c r="C237" s="7" t="s">
        <v>9</v>
      </c>
      <c r="D237" s="11"/>
      <c r="E237" s="11">
        <v>71.709999999999994</v>
      </c>
      <c r="F237" s="11" t="s">
        <v>82</v>
      </c>
      <c r="G237" s="7" t="s">
        <v>747</v>
      </c>
      <c r="H237" s="10"/>
      <c r="I237" s="9"/>
      <c r="J237" s="7" t="s">
        <v>80</v>
      </c>
      <c r="K237" s="7"/>
      <c r="L237" s="8"/>
      <c r="M237" s="8" t="str">
        <f>IF(C237="Caixa","-",VLOOKUP(J237,[1]Estrutura!C:E,3,FALSE))</f>
        <v>4.5</v>
      </c>
      <c r="N237" s="8"/>
      <c r="O237" s="7">
        <f t="shared" si="12"/>
        <v>9</v>
      </c>
      <c r="P237" s="7">
        <f t="shared" si="13"/>
        <v>6</v>
      </c>
      <c r="Q237" s="7">
        <f t="shared" si="14"/>
        <v>2026</v>
      </c>
      <c r="R237" s="6">
        <f t="shared" si="15"/>
        <v>-71.709999999999994</v>
      </c>
      <c r="S237" s="19">
        <v>46182</v>
      </c>
    </row>
    <row r="238" spans="1:19">
      <c r="A238" s="16">
        <v>46182</v>
      </c>
      <c r="B238" s="8" t="s">
        <v>14</v>
      </c>
      <c r="C238" s="8" t="s">
        <v>9</v>
      </c>
      <c r="D238" s="15"/>
      <c r="E238" s="15">
        <v>394.55</v>
      </c>
      <c r="F238" s="15" t="s">
        <v>24</v>
      </c>
      <c r="G238" s="8" t="s">
        <v>746</v>
      </c>
      <c r="H238" s="14"/>
      <c r="I238" s="13"/>
      <c r="J238" s="8" t="s">
        <v>22</v>
      </c>
      <c r="K238" s="8"/>
      <c r="L238" s="7"/>
      <c r="M238" s="7" t="str">
        <f>IF(C238="Caixa","-",VLOOKUP(J238,[1]Estrutura!C:E,3,FALSE))</f>
        <v>4.3</v>
      </c>
      <c r="N238" s="7"/>
      <c r="O238" s="7">
        <f t="shared" si="12"/>
        <v>9</v>
      </c>
      <c r="P238" s="7">
        <f t="shared" si="13"/>
        <v>6</v>
      </c>
      <c r="Q238" s="7">
        <f t="shared" si="14"/>
        <v>2026</v>
      </c>
      <c r="R238" s="6">
        <f t="shared" si="15"/>
        <v>-394.55</v>
      </c>
      <c r="S238" s="12">
        <v>46182</v>
      </c>
    </row>
    <row r="239" spans="1:19">
      <c r="A239" s="12">
        <v>46182</v>
      </c>
      <c r="B239" s="7" t="s">
        <v>14</v>
      </c>
      <c r="C239" s="7" t="s">
        <v>9</v>
      </c>
      <c r="D239" s="11"/>
      <c r="E239" s="11">
        <v>410</v>
      </c>
      <c r="F239" s="11" t="s">
        <v>659</v>
      </c>
      <c r="G239" s="7" t="s">
        <v>658</v>
      </c>
      <c r="H239" s="10"/>
      <c r="I239" s="9"/>
      <c r="J239" s="7" t="s">
        <v>22</v>
      </c>
      <c r="K239" s="7"/>
      <c r="L239" s="8"/>
      <c r="M239" s="8" t="str">
        <f>IF(C239="Caixa","-",VLOOKUP(J239,[1]Estrutura!C:E,3,FALSE))</f>
        <v>4.3</v>
      </c>
      <c r="N239" s="8"/>
      <c r="O239" s="7">
        <f t="shared" si="12"/>
        <v>9</v>
      </c>
      <c r="P239" s="7">
        <f t="shared" si="13"/>
        <v>6</v>
      </c>
      <c r="Q239" s="7">
        <f t="shared" si="14"/>
        <v>2026</v>
      </c>
      <c r="R239" s="6">
        <f t="shared" si="15"/>
        <v>-410</v>
      </c>
      <c r="S239" s="16">
        <v>46182</v>
      </c>
    </row>
    <row r="240" spans="1:19">
      <c r="A240" s="16">
        <v>46182</v>
      </c>
      <c r="B240" s="8" t="s">
        <v>26</v>
      </c>
      <c r="C240" s="8" t="s">
        <v>25</v>
      </c>
      <c r="D240" s="15"/>
      <c r="E240" s="15">
        <v>667.74</v>
      </c>
      <c r="F240" s="15" t="s">
        <v>101</v>
      </c>
      <c r="G240" s="15" t="s">
        <v>488</v>
      </c>
      <c r="H240" s="14"/>
      <c r="I240" s="13"/>
      <c r="J240" s="8" t="s">
        <v>99</v>
      </c>
      <c r="K240" s="8" t="s">
        <v>34</v>
      </c>
      <c r="L240" s="7"/>
      <c r="M240" s="7" t="str">
        <f>IF(C240="Caixa","-",VLOOKUP(J240,[1]Estrutura!C:E,3,FALSE))</f>
        <v>4.3</v>
      </c>
      <c r="N240" s="7"/>
      <c r="O240" s="7">
        <f t="shared" si="12"/>
        <v>9</v>
      </c>
      <c r="P240" s="7">
        <f t="shared" si="13"/>
        <v>6</v>
      </c>
      <c r="Q240" s="7">
        <f t="shared" si="14"/>
        <v>2026</v>
      </c>
      <c r="R240" s="6">
        <f t="shared" si="15"/>
        <v>-667.74</v>
      </c>
      <c r="S240" s="16">
        <v>46182</v>
      </c>
    </row>
    <row r="241" spans="1:19">
      <c r="A241" s="12">
        <v>46182</v>
      </c>
      <c r="B241" s="7" t="s">
        <v>26</v>
      </c>
      <c r="C241" s="7" t="s">
        <v>6</v>
      </c>
      <c r="D241" s="11"/>
      <c r="E241" s="11">
        <v>11.86</v>
      </c>
      <c r="F241" s="11" t="s">
        <v>155</v>
      </c>
      <c r="G241" s="7" t="s">
        <v>589</v>
      </c>
      <c r="H241" s="10"/>
      <c r="I241" s="9"/>
      <c r="J241" s="7" t="s">
        <v>153</v>
      </c>
      <c r="K241" s="7" t="s">
        <v>21</v>
      </c>
      <c r="L241" s="8"/>
      <c r="M241" s="8" t="str">
        <f>IF(C241="Caixa","-",VLOOKUP(J241,[1]Estrutura!C:E,3,FALSE))</f>
        <v>4.3</v>
      </c>
      <c r="N241" s="8"/>
      <c r="O241" s="7">
        <f t="shared" si="12"/>
        <v>9</v>
      </c>
      <c r="P241" s="7">
        <f t="shared" si="13"/>
        <v>6</v>
      </c>
      <c r="Q241" s="7">
        <f t="shared" si="14"/>
        <v>2026</v>
      </c>
      <c r="R241" s="6">
        <f t="shared" si="15"/>
        <v>-11.86</v>
      </c>
      <c r="S241" s="12">
        <v>46182</v>
      </c>
    </row>
    <row r="242" spans="1:19">
      <c r="A242" s="12">
        <v>46182</v>
      </c>
      <c r="B242" s="7" t="s">
        <v>26</v>
      </c>
      <c r="C242" s="7" t="s">
        <v>6</v>
      </c>
      <c r="D242" s="11"/>
      <c r="E242" s="11">
        <v>896.3</v>
      </c>
      <c r="F242" s="11" t="s">
        <v>404</v>
      </c>
      <c r="G242" s="7" t="s">
        <v>403</v>
      </c>
      <c r="H242" s="10"/>
      <c r="I242" s="9"/>
      <c r="J242" s="7" t="s">
        <v>17</v>
      </c>
      <c r="K242" s="7" t="s">
        <v>40</v>
      </c>
      <c r="L242" s="7"/>
      <c r="M242" s="7" t="str">
        <f>IF(C242="Caixa","-",VLOOKUP(J242,[1]Estrutura!C:E,3,FALSE))</f>
        <v>4.4</v>
      </c>
      <c r="N242" s="7"/>
      <c r="O242" s="7">
        <f t="shared" si="12"/>
        <v>9</v>
      </c>
      <c r="P242" s="7">
        <f t="shared" si="13"/>
        <v>6</v>
      </c>
      <c r="Q242" s="7">
        <f t="shared" si="14"/>
        <v>2026</v>
      </c>
      <c r="R242" s="6">
        <f t="shared" si="15"/>
        <v>-896.3</v>
      </c>
      <c r="S242" s="16">
        <v>46182</v>
      </c>
    </row>
    <row r="243" spans="1:19">
      <c r="A243" s="16">
        <v>46182</v>
      </c>
      <c r="B243" s="8" t="s">
        <v>26</v>
      </c>
      <c r="C243" s="8" t="s">
        <v>6</v>
      </c>
      <c r="D243" s="15"/>
      <c r="E243" s="15">
        <v>31670</v>
      </c>
      <c r="F243" s="15" t="s">
        <v>165</v>
      </c>
      <c r="G243" s="8" t="s">
        <v>164</v>
      </c>
      <c r="H243" s="14"/>
      <c r="I243" s="13"/>
      <c r="J243" s="8" t="s">
        <v>17</v>
      </c>
      <c r="K243" s="8" t="s">
        <v>21</v>
      </c>
      <c r="L243" s="8"/>
      <c r="M243" s="8" t="str">
        <f>IF(C243="Caixa","-",VLOOKUP(J243,[1]Estrutura!C:E,3,FALSE))</f>
        <v>4.4</v>
      </c>
      <c r="N243" s="8"/>
      <c r="O243" s="7">
        <f t="shared" si="12"/>
        <v>9</v>
      </c>
      <c r="P243" s="7">
        <f t="shared" si="13"/>
        <v>6</v>
      </c>
      <c r="Q243" s="7">
        <f t="shared" si="14"/>
        <v>2026</v>
      </c>
      <c r="R243" s="6">
        <f t="shared" si="15"/>
        <v>-31670</v>
      </c>
      <c r="S243" s="12">
        <v>46182</v>
      </c>
    </row>
    <row r="244" spans="1:19">
      <c r="A244" s="19">
        <v>46182</v>
      </c>
      <c r="B244" s="24" t="s">
        <v>26</v>
      </c>
      <c r="C244" s="24" t="s">
        <v>6</v>
      </c>
      <c r="D244" s="15"/>
      <c r="E244" s="15">
        <v>309.77999999999997</v>
      </c>
      <c r="F244" s="15" t="s">
        <v>24</v>
      </c>
      <c r="G244" s="24" t="s">
        <v>584</v>
      </c>
      <c r="H244" s="14"/>
      <c r="I244" s="25"/>
      <c r="J244" s="8" t="s">
        <v>77</v>
      </c>
      <c r="K244" s="24" t="s">
        <v>21</v>
      </c>
      <c r="L244" s="7"/>
      <c r="M244" s="7" t="str">
        <f>IF(C244="Caixa","-",VLOOKUP(J244,[1]Estrutura!C:E,3,FALSE))</f>
        <v>4.3</v>
      </c>
      <c r="N244" s="7"/>
      <c r="O244" s="7">
        <f t="shared" si="12"/>
        <v>9</v>
      </c>
      <c r="P244" s="7">
        <f t="shared" si="13"/>
        <v>6</v>
      </c>
      <c r="Q244" s="7">
        <f t="shared" si="14"/>
        <v>2026</v>
      </c>
      <c r="R244" s="6">
        <f t="shared" si="15"/>
        <v>-309.77999999999997</v>
      </c>
      <c r="S244" s="16">
        <v>46183</v>
      </c>
    </row>
    <row r="245" spans="1:19">
      <c r="A245" s="12">
        <v>46182</v>
      </c>
      <c r="B245" s="7" t="s">
        <v>26</v>
      </c>
      <c r="C245" s="7" t="s">
        <v>6</v>
      </c>
      <c r="D245" s="11"/>
      <c r="E245" s="11">
        <v>272.95</v>
      </c>
      <c r="F245" s="11" t="s">
        <v>106</v>
      </c>
      <c r="G245" s="7" t="s">
        <v>704</v>
      </c>
      <c r="H245" s="10"/>
      <c r="I245" s="9"/>
      <c r="J245" s="7" t="s">
        <v>77</v>
      </c>
      <c r="K245" s="7" t="s">
        <v>40</v>
      </c>
      <c r="L245" s="8"/>
      <c r="M245" s="8" t="str">
        <f>IF(C245="Caixa","-",VLOOKUP(J245,[1]Estrutura!C:E,3,FALSE))</f>
        <v>4.3</v>
      </c>
      <c r="N245" s="8"/>
      <c r="O245" s="7">
        <f t="shared" si="12"/>
        <v>9</v>
      </c>
      <c r="P245" s="7">
        <f t="shared" si="13"/>
        <v>6</v>
      </c>
      <c r="Q245" s="7">
        <f t="shared" si="14"/>
        <v>2026</v>
      </c>
      <c r="R245" s="6">
        <f t="shared" si="15"/>
        <v>-272.95</v>
      </c>
      <c r="S245" s="16">
        <v>46183</v>
      </c>
    </row>
    <row r="246" spans="1:19">
      <c r="A246" s="16">
        <v>46182</v>
      </c>
      <c r="B246" s="8" t="s">
        <v>26</v>
      </c>
      <c r="C246" s="8" t="s">
        <v>6</v>
      </c>
      <c r="D246" s="15"/>
      <c r="E246" s="15">
        <v>313.29000000000002</v>
      </c>
      <c r="F246" s="15" t="s">
        <v>161</v>
      </c>
      <c r="G246" s="8" t="s">
        <v>745</v>
      </c>
      <c r="H246" s="14"/>
      <c r="I246" s="13"/>
      <c r="J246" s="8" t="s">
        <v>12</v>
      </c>
      <c r="K246" s="8" t="s">
        <v>34</v>
      </c>
      <c r="L246" s="7"/>
      <c r="M246" s="7" t="str">
        <f>IF(C246="Caixa","-",VLOOKUP(J246,[1]Estrutura!C:E,3,FALSE))</f>
        <v>4.9</v>
      </c>
      <c r="N246" s="7"/>
      <c r="O246" s="7">
        <f t="shared" si="12"/>
        <v>9</v>
      </c>
      <c r="P246" s="7">
        <f t="shared" si="13"/>
        <v>6</v>
      </c>
      <c r="Q246" s="7">
        <f t="shared" si="14"/>
        <v>2026</v>
      </c>
      <c r="R246" s="6">
        <f t="shared" si="15"/>
        <v>-313.29000000000002</v>
      </c>
      <c r="S246" s="12">
        <v>46183</v>
      </c>
    </row>
    <row r="247" spans="1:19">
      <c r="A247" s="16">
        <v>46182</v>
      </c>
      <c r="B247" s="8" t="s">
        <v>7</v>
      </c>
      <c r="C247" s="8" t="s">
        <v>9</v>
      </c>
      <c r="D247" s="15"/>
      <c r="E247" s="15">
        <v>300</v>
      </c>
      <c r="F247" s="15" t="s">
        <v>109</v>
      </c>
      <c r="G247" s="8" t="s">
        <v>744</v>
      </c>
      <c r="H247" s="14"/>
      <c r="I247" s="13"/>
      <c r="J247" s="8" t="s">
        <v>17</v>
      </c>
      <c r="K247" s="8"/>
      <c r="L247" s="8"/>
      <c r="M247" s="8" t="str">
        <f>IF(C247="Caixa","-",VLOOKUP(J247,[1]Estrutura!C:E,3,FALSE))</f>
        <v>4.4</v>
      </c>
      <c r="N247" s="8"/>
      <c r="O247" s="7">
        <f t="shared" si="12"/>
        <v>9</v>
      </c>
      <c r="P247" s="7">
        <f t="shared" si="13"/>
        <v>6</v>
      </c>
      <c r="Q247" s="7">
        <f t="shared" si="14"/>
        <v>2026</v>
      </c>
      <c r="R247" s="6">
        <f t="shared" si="15"/>
        <v>-300</v>
      </c>
      <c r="S247" s="12">
        <v>46183</v>
      </c>
    </row>
    <row r="248" spans="1:19">
      <c r="A248" s="12">
        <v>46182</v>
      </c>
      <c r="B248" s="7" t="s">
        <v>7</v>
      </c>
      <c r="C248" s="7" t="s">
        <v>9</v>
      </c>
      <c r="D248" s="11"/>
      <c r="E248" s="11">
        <v>250</v>
      </c>
      <c r="F248" s="11" t="s">
        <v>578</v>
      </c>
      <c r="G248" s="7" t="s">
        <v>743</v>
      </c>
      <c r="H248" s="10"/>
      <c r="I248" s="9"/>
      <c r="J248" s="7" t="s">
        <v>273</v>
      </c>
      <c r="K248" s="7"/>
      <c r="L248" s="7"/>
      <c r="M248" s="7" t="str">
        <f>IF(C248="Caixa","-",VLOOKUP(J248,[1]Estrutura!C:E,3,FALSE))</f>
        <v>4.9</v>
      </c>
      <c r="N248" s="7"/>
      <c r="O248" s="7">
        <f t="shared" si="12"/>
        <v>9</v>
      </c>
      <c r="P248" s="7">
        <f t="shared" si="13"/>
        <v>6</v>
      </c>
      <c r="Q248" s="7">
        <f t="shared" si="14"/>
        <v>2026</v>
      </c>
      <c r="R248" s="6">
        <f t="shared" si="15"/>
        <v>-250</v>
      </c>
      <c r="S248" s="16">
        <v>46183</v>
      </c>
    </row>
    <row r="249" spans="1:19">
      <c r="A249" s="16">
        <v>46182</v>
      </c>
      <c r="B249" s="8" t="s">
        <v>7</v>
      </c>
      <c r="C249" s="8" t="s">
        <v>9</v>
      </c>
      <c r="D249" s="15"/>
      <c r="E249" s="15">
        <v>3500</v>
      </c>
      <c r="F249" s="15" t="s">
        <v>132</v>
      </c>
      <c r="G249" s="8" t="s">
        <v>742</v>
      </c>
      <c r="H249" s="14"/>
      <c r="I249" s="13"/>
      <c r="J249" s="8" t="s">
        <v>29</v>
      </c>
      <c r="K249" s="8"/>
      <c r="L249" s="8"/>
      <c r="M249" s="8" t="str">
        <f>IF(C249="Caixa","-",VLOOKUP(J249,[1]Estrutura!C:E,3,FALSE))</f>
        <v>4.8</v>
      </c>
      <c r="N249" s="8"/>
      <c r="O249" s="7">
        <f t="shared" si="12"/>
        <v>9</v>
      </c>
      <c r="P249" s="7">
        <f t="shared" si="13"/>
        <v>6</v>
      </c>
      <c r="Q249" s="7">
        <f t="shared" si="14"/>
        <v>2026</v>
      </c>
      <c r="R249" s="6">
        <f t="shared" si="15"/>
        <v>-3500</v>
      </c>
      <c r="S249" s="16">
        <v>46183</v>
      </c>
    </row>
    <row r="250" spans="1:19">
      <c r="A250" s="12">
        <v>46182</v>
      </c>
      <c r="B250" s="7" t="s">
        <v>7</v>
      </c>
      <c r="C250" s="7" t="s">
        <v>9</v>
      </c>
      <c r="D250" s="11"/>
      <c r="E250" s="15">
        <v>3661.15</v>
      </c>
      <c r="F250" s="11" t="s">
        <v>159</v>
      </c>
      <c r="G250" s="7" t="s">
        <v>158</v>
      </c>
      <c r="H250" s="10"/>
      <c r="I250" s="9"/>
      <c r="J250" s="7" t="s">
        <v>29</v>
      </c>
      <c r="K250" s="7"/>
      <c r="L250" s="7"/>
      <c r="M250" s="7" t="str">
        <f>IF(C250="Caixa","-",VLOOKUP(J250,[1]Estrutura!C:E,3,FALSE))</f>
        <v>4.8</v>
      </c>
      <c r="N250" s="7"/>
      <c r="O250" s="7">
        <f t="shared" si="12"/>
        <v>9</v>
      </c>
      <c r="P250" s="7">
        <f t="shared" si="13"/>
        <v>6</v>
      </c>
      <c r="Q250" s="7">
        <f t="shared" si="14"/>
        <v>2026</v>
      </c>
      <c r="R250" s="6">
        <f t="shared" si="15"/>
        <v>-3661.15</v>
      </c>
      <c r="S250" s="16">
        <v>46183</v>
      </c>
    </row>
    <row r="251" spans="1:19">
      <c r="A251" s="16">
        <v>46183</v>
      </c>
      <c r="B251" s="8" t="s">
        <v>14</v>
      </c>
      <c r="C251" s="7" t="s">
        <v>9</v>
      </c>
      <c r="D251" s="15">
        <v>5286.0999999999995</v>
      </c>
      <c r="E251" s="15"/>
      <c r="F251" s="15"/>
      <c r="G251" s="8" t="s">
        <v>11</v>
      </c>
      <c r="H251" s="8"/>
      <c r="I251" s="17"/>
      <c r="J251" s="8" t="s">
        <v>10</v>
      </c>
      <c r="K251" s="8"/>
      <c r="L251" s="8"/>
      <c r="M251" s="8" t="str">
        <f>IF(C251="Caixa","-",VLOOKUP(J251,[1]Estrutura!C:E,3,FALSE))</f>
        <v>1.1</v>
      </c>
      <c r="N251" s="8"/>
      <c r="O251" s="7">
        <f t="shared" si="12"/>
        <v>10</v>
      </c>
      <c r="P251" s="7">
        <f t="shared" si="13"/>
        <v>6</v>
      </c>
      <c r="Q251" s="7">
        <f t="shared" si="14"/>
        <v>2026</v>
      </c>
      <c r="R251" s="6">
        <f t="shared" si="15"/>
        <v>5286.0999999999995</v>
      </c>
      <c r="S251" s="16">
        <v>46183</v>
      </c>
    </row>
    <row r="252" spans="1:19">
      <c r="A252" s="12">
        <v>46174</v>
      </c>
      <c r="B252" s="7" t="s">
        <v>14</v>
      </c>
      <c r="C252" s="7" t="s">
        <v>9</v>
      </c>
      <c r="D252" s="11">
        <v>150000</v>
      </c>
      <c r="E252" s="11"/>
      <c r="F252" s="11" t="s">
        <v>148</v>
      </c>
      <c r="G252" s="8" t="s">
        <v>129</v>
      </c>
      <c r="H252" s="10"/>
      <c r="I252" s="9"/>
      <c r="J252" s="7" t="s">
        <v>128</v>
      </c>
      <c r="K252" s="7"/>
      <c r="L252" s="7"/>
      <c r="M252" s="7" t="str">
        <f>IF(C252="Caixa","-",VLOOKUP(J252,[1]Estrutura!C:E,3,FALSE))</f>
        <v>9.1</v>
      </c>
      <c r="N252" s="7"/>
      <c r="O252" s="7">
        <f t="shared" si="12"/>
        <v>1</v>
      </c>
      <c r="P252" s="7">
        <f t="shared" si="13"/>
        <v>6</v>
      </c>
      <c r="Q252" s="7">
        <f t="shared" si="14"/>
        <v>2026</v>
      </c>
      <c r="R252" s="6">
        <f t="shared" si="15"/>
        <v>150000</v>
      </c>
      <c r="S252" s="16">
        <v>46184</v>
      </c>
    </row>
    <row r="253" spans="1:19">
      <c r="A253" s="12">
        <v>46183</v>
      </c>
      <c r="B253" s="18" t="s">
        <v>14</v>
      </c>
      <c r="C253" s="18" t="s">
        <v>9</v>
      </c>
      <c r="D253" s="11"/>
      <c r="E253" s="11">
        <v>1060.9000000000001</v>
      </c>
      <c r="F253" s="11" t="s">
        <v>171</v>
      </c>
      <c r="G253" s="7" t="s">
        <v>741</v>
      </c>
      <c r="H253" s="10"/>
      <c r="I253" s="9"/>
      <c r="J253" s="7" t="s">
        <v>150</v>
      </c>
      <c r="K253" s="7"/>
      <c r="L253" s="8"/>
      <c r="M253" s="8" t="str">
        <f>IF(C253="Caixa","-",VLOOKUP(J253,[1]Estrutura!C:E,3,FALSE))</f>
        <v>4.4</v>
      </c>
      <c r="N253" s="8"/>
      <c r="O253" s="7">
        <f t="shared" si="12"/>
        <v>10</v>
      </c>
      <c r="P253" s="7">
        <f t="shared" si="13"/>
        <v>6</v>
      </c>
      <c r="Q253" s="7">
        <f t="shared" si="14"/>
        <v>2026</v>
      </c>
      <c r="R253" s="6">
        <f t="shared" si="15"/>
        <v>-1060.9000000000001</v>
      </c>
      <c r="S253" s="16">
        <v>46184</v>
      </c>
    </row>
    <row r="254" spans="1:19">
      <c r="A254" s="12">
        <v>46183</v>
      </c>
      <c r="B254" s="7" t="s">
        <v>14</v>
      </c>
      <c r="C254" s="7" t="s">
        <v>9</v>
      </c>
      <c r="D254" s="11"/>
      <c r="E254" s="11">
        <v>4.38</v>
      </c>
      <c r="F254" s="11" t="s">
        <v>672</v>
      </c>
      <c r="G254" s="7" t="s">
        <v>740</v>
      </c>
      <c r="H254" s="10"/>
      <c r="I254" s="9"/>
      <c r="J254" s="7" t="s">
        <v>273</v>
      </c>
      <c r="K254" s="7"/>
      <c r="L254" s="7"/>
      <c r="M254" s="7" t="str">
        <f>IF(C254="Caixa","-",VLOOKUP(J254,[1]Estrutura!C:E,3,FALSE))</f>
        <v>4.9</v>
      </c>
      <c r="N254" s="7"/>
      <c r="O254" s="7">
        <f t="shared" si="12"/>
        <v>10</v>
      </c>
      <c r="P254" s="7">
        <f t="shared" si="13"/>
        <v>6</v>
      </c>
      <c r="Q254" s="7">
        <f t="shared" si="14"/>
        <v>2026</v>
      </c>
      <c r="R254" s="6">
        <f t="shared" si="15"/>
        <v>-4.38</v>
      </c>
      <c r="S254" s="16">
        <v>46185</v>
      </c>
    </row>
    <row r="255" spans="1:19">
      <c r="A255" s="16">
        <v>46183</v>
      </c>
      <c r="B255" s="7" t="s">
        <v>14</v>
      </c>
      <c r="C255" s="7" t="s">
        <v>9</v>
      </c>
      <c r="D255" s="11"/>
      <c r="E255" s="11">
        <v>410</v>
      </c>
      <c r="F255" s="11" t="s">
        <v>177</v>
      </c>
      <c r="G255" s="39" t="s">
        <v>176</v>
      </c>
      <c r="H255" s="10"/>
      <c r="I255" s="9"/>
      <c r="J255" s="7" t="s">
        <v>22</v>
      </c>
      <c r="K255" s="8"/>
      <c r="L255" s="8"/>
      <c r="M255" s="8" t="str">
        <f>IF(C255="Caixa","-",VLOOKUP(J255,[1]Estrutura!C:E,3,FALSE))</f>
        <v>4.3</v>
      </c>
      <c r="N255" s="8"/>
      <c r="O255" s="7">
        <f t="shared" si="12"/>
        <v>10</v>
      </c>
      <c r="P255" s="7">
        <f t="shared" si="13"/>
        <v>6</v>
      </c>
      <c r="Q255" s="7">
        <f t="shared" si="14"/>
        <v>2026</v>
      </c>
      <c r="R255" s="6">
        <f t="shared" si="15"/>
        <v>-410</v>
      </c>
      <c r="S255" s="12">
        <v>46185</v>
      </c>
    </row>
    <row r="256" spans="1:19">
      <c r="A256" s="16">
        <v>46183</v>
      </c>
      <c r="B256" s="8" t="s">
        <v>26</v>
      </c>
      <c r="C256" s="8" t="s">
        <v>6</v>
      </c>
      <c r="D256" s="15"/>
      <c r="E256" s="59">
        <v>313.29000000000002</v>
      </c>
      <c r="F256" s="15" t="s">
        <v>161</v>
      </c>
      <c r="G256" s="8" t="s">
        <v>160</v>
      </c>
      <c r="H256" s="14"/>
      <c r="I256" s="13"/>
      <c r="J256" s="7" t="s">
        <v>35</v>
      </c>
      <c r="K256" s="8" t="s">
        <v>21</v>
      </c>
      <c r="L256" s="7"/>
      <c r="M256" s="7" t="str">
        <f>IF(C256="Caixa","-",VLOOKUP(J256,[1]Estrutura!C:E,3,FALSE))</f>
        <v>4.1</v>
      </c>
      <c r="N256" s="7"/>
      <c r="O256" s="7">
        <f t="shared" si="12"/>
        <v>10</v>
      </c>
      <c r="P256" s="7">
        <f t="shared" si="13"/>
        <v>6</v>
      </c>
      <c r="Q256" s="7">
        <f t="shared" si="14"/>
        <v>2026</v>
      </c>
      <c r="R256" s="6">
        <f t="shared" si="15"/>
        <v>-313.29000000000002</v>
      </c>
      <c r="S256" s="16">
        <v>46185</v>
      </c>
    </row>
    <row r="257" spans="1:19">
      <c r="A257" s="16">
        <v>46183</v>
      </c>
      <c r="B257" s="7" t="s">
        <v>7</v>
      </c>
      <c r="C257" s="7" t="s">
        <v>9</v>
      </c>
      <c r="D257" s="15">
        <v>11926.24</v>
      </c>
      <c r="E257" s="15"/>
      <c r="F257" s="15"/>
      <c r="G257" s="8" t="s">
        <v>11</v>
      </c>
      <c r="H257" s="8"/>
      <c r="I257" s="17"/>
      <c r="J257" s="8" t="s">
        <v>10</v>
      </c>
      <c r="K257" s="8"/>
      <c r="L257" s="8"/>
      <c r="M257" s="8" t="str">
        <f>IF(C257="Caixa","-",VLOOKUP(J257,[1]Estrutura!C:E,3,FALSE))</f>
        <v>1.1</v>
      </c>
      <c r="N257" s="8"/>
      <c r="O257" s="7">
        <f t="shared" si="12"/>
        <v>10</v>
      </c>
      <c r="P257" s="7">
        <f t="shared" si="13"/>
        <v>6</v>
      </c>
      <c r="Q257" s="7">
        <f t="shared" si="14"/>
        <v>2026</v>
      </c>
      <c r="R257" s="6">
        <f t="shared" si="15"/>
        <v>11926.24</v>
      </c>
      <c r="S257" s="16">
        <v>46185</v>
      </c>
    </row>
    <row r="258" spans="1:19">
      <c r="A258" s="12">
        <v>46174</v>
      </c>
      <c r="B258" s="7" t="s">
        <v>7</v>
      </c>
      <c r="C258" s="7" t="s">
        <v>9</v>
      </c>
      <c r="D258" s="11"/>
      <c r="E258" s="11">
        <v>150000</v>
      </c>
      <c r="F258" s="11" t="s">
        <v>157</v>
      </c>
      <c r="G258" s="7" t="s">
        <v>129</v>
      </c>
      <c r="H258" s="10"/>
      <c r="I258" s="9"/>
      <c r="J258" s="7" t="s">
        <v>128</v>
      </c>
      <c r="K258" s="7"/>
      <c r="L258" s="7"/>
      <c r="M258" s="7" t="str">
        <f>IF(C258="Caixa","-",VLOOKUP(J258,[1]Estrutura!C:E,3,FALSE))</f>
        <v>9.1</v>
      </c>
      <c r="N258" s="7"/>
      <c r="O258" s="7">
        <f t="shared" si="12"/>
        <v>1</v>
      </c>
      <c r="P258" s="7">
        <f t="shared" si="13"/>
        <v>6</v>
      </c>
      <c r="Q258" s="7">
        <f t="shared" si="14"/>
        <v>2026</v>
      </c>
      <c r="R258" s="6">
        <f t="shared" si="15"/>
        <v>-150000</v>
      </c>
      <c r="S258" s="16">
        <v>46185</v>
      </c>
    </row>
    <row r="259" spans="1:19">
      <c r="A259" s="16">
        <v>46184</v>
      </c>
      <c r="B259" s="8" t="s">
        <v>14</v>
      </c>
      <c r="C259" s="7" t="s">
        <v>9</v>
      </c>
      <c r="D259" s="15">
        <v>4430.58</v>
      </c>
      <c r="E259" s="15"/>
      <c r="F259" s="15"/>
      <c r="G259" s="8" t="s">
        <v>11</v>
      </c>
      <c r="H259" s="8"/>
      <c r="I259" s="17"/>
      <c r="J259" s="8" t="s">
        <v>10</v>
      </c>
      <c r="K259" s="8"/>
      <c r="L259" s="8"/>
      <c r="M259" s="8" t="str">
        <f>IF(C259="Caixa","-",VLOOKUP(J259,[1]Estrutura!C:E,3,FALSE))</f>
        <v>1.1</v>
      </c>
      <c r="N259" s="8"/>
      <c r="O259" s="7">
        <f t="shared" si="12"/>
        <v>11</v>
      </c>
      <c r="P259" s="7">
        <f t="shared" si="13"/>
        <v>6</v>
      </c>
      <c r="Q259" s="7">
        <f t="shared" si="14"/>
        <v>2026</v>
      </c>
      <c r="R259" s="6">
        <f t="shared" si="15"/>
        <v>4430.58</v>
      </c>
      <c r="S259" s="16">
        <v>46186</v>
      </c>
    </row>
    <row r="260" spans="1:19">
      <c r="A260" s="16">
        <v>46184</v>
      </c>
      <c r="B260" s="7" t="s">
        <v>7</v>
      </c>
      <c r="C260" s="7" t="s">
        <v>9</v>
      </c>
      <c r="D260" s="15">
        <v>3860.34</v>
      </c>
      <c r="E260" s="15"/>
      <c r="F260" s="15"/>
      <c r="G260" s="8" t="s">
        <v>11</v>
      </c>
      <c r="H260" s="8"/>
      <c r="I260" s="17"/>
      <c r="J260" s="8" t="s">
        <v>10</v>
      </c>
      <c r="K260" s="8"/>
      <c r="L260" s="7"/>
      <c r="M260" s="7" t="str">
        <f>IF(C260="Caixa","-",VLOOKUP(J260,[1]Estrutura!C:E,3,FALSE))</f>
        <v>1.1</v>
      </c>
      <c r="N260" s="7"/>
      <c r="O260" s="7">
        <f t="shared" si="12"/>
        <v>11</v>
      </c>
      <c r="P260" s="7">
        <f t="shared" si="13"/>
        <v>6</v>
      </c>
      <c r="Q260" s="7">
        <f t="shared" si="14"/>
        <v>2026</v>
      </c>
      <c r="R260" s="6">
        <f t="shared" si="15"/>
        <v>3860.34</v>
      </c>
      <c r="S260" s="16">
        <v>46186</v>
      </c>
    </row>
    <row r="261" spans="1:19">
      <c r="A261" s="16">
        <v>46185</v>
      </c>
      <c r="B261" s="8" t="s">
        <v>14</v>
      </c>
      <c r="C261" s="7" t="s">
        <v>9</v>
      </c>
      <c r="D261" s="15">
        <v>1242.69</v>
      </c>
      <c r="E261" s="15"/>
      <c r="F261" s="15"/>
      <c r="G261" s="8" t="s">
        <v>11</v>
      </c>
      <c r="H261" s="8"/>
      <c r="I261" s="17"/>
      <c r="J261" s="8" t="s">
        <v>10</v>
      </c>
      <c r="K261" s="8"/>
      <c r="L261" s="8"/>
      <c r="M261" s="8" t="str">
        <f>IF(C261="Caixa","-",VLOOKUP(J261,[1]Estrutura!C:E,3,FALSE))</f>
        <v>1.1</v>
      </c>
      <c r="N261" s="8"/>
      <c r="O261" s="7">
        <f t="shared" si="12"/>
        <v>12</v>
      </c>
      <c r="P261" s="7">
        <f t="shared" si="13"/>
        <v>6</v>
      </c>
      <c r="Q261" s="7">
        <f t="shared" si="14"/>
        <v>2026</v>
      </c>
      <c r="R261" s="6">
        <f t="shared" si="15"/>
        <v>1242.69</v>
      </c>
      <c r="S261" s="16">
        <v>46187</v>
      </c>
    </row>
    <row r="262" spans="1:19">
      <c r="A262" s="12">
        <v>46185</v>
      </c>
      <c r="B262" s="7" t="s">
        <v>26</v>
      </c>
      <c r="C262" s="7" t="s">
        <v>25</v>
      </c>
      <c r="D262" s="11"/>
      <c r="E262" s="11">
        <v>514.73</v>
      </c>
      <c r="F262" s="11" t="s">
        <v>101</v>
      </c>
      <c r="G262" s="7" t="s">
        <v>739</v>
      </c>
      <c r="H262" s="10"/>
      <c r="I262" s="9"/>
      <c r="J262" s="8" t="s">
        <v>99</v>
      </c>
      <c r="K262" s="7" t="s">
        <v>34</v>
      </c>
      <c r="L262" s="7"/>
      <c r="M262" s="7" t="str">
        <f>IF(C262="Caixa","-",VLOOKUP(J262,[1]Estrutura!C:E,3,FALSE))</f>
        <v>4.3</v>
      </c>
      <c r="N262" s="7"/>
      <c r="O262" s="7">
        <f t="shared" si="12"/>
        <v>12</v>
      </c>
      <c r="P262" s="7">
        <f t="shared" si="13"/>
        <v>6</v>
      </c>
      <c r="Q262" s="7">
        <f t="shared" si="14"/>
        <v>2026</v>
      </c>
      <c r="R262" s="6">
        <f t="shared" si="15"/>
        <v>-514.73</v>
      </c>
      <c r="S262" s="12">
        <v>46188</v>
      </c>
    </row>
    <row r="263" spans="1:19">
      <c r="A263" s="16">
        <v>46185</v>
      </c>
      <c r="B263" s="8" t="s">
        <v>26</v>
      </c>
      <c r="C263" s="8" t="s">
        <v>6</v>
      </c>
      <c r="D263" s="15"/>
      <c r="E263" s="15">
        <v>3121.29</v>
      </c>
      <c r="F263" s="15" t="s">
        <v>178</v>
      </c>
      <c r="G263" s="8" t="s">
        <v>738</v>
      </c>
      <c r="H263" s="14"/>
      <c r="I263" s="13"/>
      <c r="J263" s="8" t="s">
        <v>178</v>
      </c>
      <c r="K263" s="18" t="s">
        <v>34</v>
      </c>
      <c r="L263" s="8"/>
      <c r="M263" s="8" t="str">
        <f>IF(C263="Caixa","-",VLOOKUP(J263,[1]Estrutura!C:E,3,FALSE))</f>
        <v>4.1</v>
      </c>
      <c r="N263" s="8"/>
      <c r="O263" s="7">
        <f t="shared" si="12"/>
        <v>12</v>
      </c>
      <c r="P263" s="7">
        <f t="shared" si="13"/>
        <v>6</v>
      </c>
      <c r="Q263" s="7">
        <f t="shared" si="14"/>
        <v>2026</v>
      </c>
      <c r="R263" s="6">
        <f t="shared" si="15"/>
        <v>-3121.29</v>
      </c>
      <c r="S263" s="16">
        <v>46188</v>
      </c>
    </row>
    <row r="264" spans="1:19">
      <c r="A264" s="16">
        <v>46185</v>
      </c>
      <c r="B264" s="24" t="s">
        <v>26</v>
      </c>
      <c r="C264" s="8" t="s">
        <v>25</v>
      </c>
      <c r="D264" s="15"/>
      <c r="E264" s="15">
        <v>5000</v>
      </c>
      <c r="F264" s="15" t="s">
        <v>109</v>
      </c>
      <c r="G264" s="8" t="s">
        <v>737</v>
      </c>
      <c r="H264" s="14">
        <v>9923</v>
      </c>
      <c r="I264" s="13"/>
      <c r="J264" s="8" t="s">
        <v>17</v>
      </c>
      <c r="K264" s="8" t="s">
        <v>21</v>
      </c>
      <c r="L264" s="7"/>
      <c r="M264" s="7" t="str">
        <f>IF(C264="Caixa","-",VLOOKUP(J264,[1]Estrutura!C:E,3,FALSE))</f>
        <v>4.4</v>
      </c>
      <c r="N264" s="7"/>
      <c r="O264" s="7">
        <f t="shared" si="12"/>
        <v>12</v>
      </c>
      <c r="P264" s="7">
        <f t="shared" si="13"/>
        <v>6</v>
      </c>
      <c r="Q264" s="7">
        <f t="shared" si="14"/>
        <v>2026</v>
      </c>
      <c r="R264" s="6">
        <f t="shared" si="15"/>
        <v>-5000</v>
      </c>
      <c r="S264" s="12">
        <v>46188</v>
      </c>
    </row>
    <row r="265" spans="1:19">
      <c r="A265" s="16">
        <v>46185</v>
      </c>
      <c r="B265" s="7" t="s">
        <v>7</v>
      </c>
      <c r="C265" s="7" t="s">
        <v>9</v>
      </c>
      <c r="D265" s="15">
        <v>6298.7300000000005</v>
      </c>
      <c r="E265" s="15"/>
      <c r="F265" s="15"/>
      <c r="G265" s="8" t="s">
        <v>11</v>
      </c>
      <c r="H265" s="8"/>
      <c r="I265" s="17"/>
      <c r="J265" s="8" t="s">
        <v>10</v>
      </c>
      <c r="K265" s="8"/>
      <c r="L265" s="8"/>
      <c r="M265" s="8" t="str">
        <f>IF(C265="Caixa","-",VLOOKUP(J265,[1]Estrutura!C:E,3,FALSE))</f>
        <v>1.1</v>
      </c>
      <c r="N265" s="8"/>
      <c r="O265" s="7">
        <f t="shared" si="12"/>
        <v>12</v>
      </c>
      <c r="P265" s="7">
        <f t="shared" si="13"/>
        <v>6</v>
      </c>
      <c r="Q265" s="7">
        <f t="shared" si="14"/>
        <v>2026</v>
      </c>
      <c r="R265" s="6">
        <f t="shared" si="15"/>
        <v>6298.7300000000005</v>
      </c>
      <c r="S265" s="16">
        <v>46188</v>
      </c>
    </row>
    <row r="266" spans="1:19">
      <c r="A266" s="16">
        <v>46186</v>
      </c>
      <c r="B266" s="8" t="s">
        <v>14</v>
      </c>
      <c r="C266" s="7" t="s">
        <v>9</v>
      </c>
      <c r="D266" s="15">
        <v>1469.47</v>
      </c>
      <c r="E266" s="15"/>
      <c r="F266" s="15"/>
      <c r="G266" s="8" t="s">
        <v>11</v>
      </c>
      <c r="H266" s="8"/>
      <c r="I266" s="17"/>
      <c r="J266" s="8" t="s">
        <v>10</v>
      </c>
      <c r="K266" s="8"/>
      <c r="L266" s="7"/>
      <c r="M266" s="7" t="str">
        <f>IF(C266="Caixa","-",VLOOKUP(J266,[1]Estrutura!C:E,3,FALSE))</f>
        <v>1.1</v>
      </c>
      <c r="N266" s="7"/>
      <c r="O266" s="7">
        <f t="shared" si="12"/>
        <v>13</v>
      </c>
      <c r="P266" s="7">
        <f t="shared" si="13"/>
        <v>6</v>
      </c>
      <c r="Q266" s="7">
        <f t="shared" si="14"/>
        <v>2026</v>
      </c>
      <c r="R266" s="6">
        <f t="shared" si="15"/>
        <v>1469.47</v>
      </c>
      <c r="S266" s="16">
        <v>46188</v>
      </c>
    </row>
    <row r="267" spans="1:19">
      <c r="A267" s="16">
        <v>46186</v>
      </c>
      <c r="B267" s="7" t="s">
        <v>7</v>
      </c>
      <c r="C267" s="7" t="s">
        <v>9</v>
      </c>
      <c r="D267" s="15">
        <v>9864.1299999999992</v>
      </c>
      <c r="E267" s="15"/>
      <c r="F267" s="15"/>
      <c r="G267" s="8" t="s">
        <v>11</v>
      </c>
      <c r="H267" s="8"/>
      <c r="I267" s="17"/>
      <c r="J267" s="8" t="s">
        <v>10</v>
      </c>
      <c r="K267" s="8"/>
      <c r="L267" s="8"/>
      <c r="M267" s="8" t="str">
        <f>IF(C267="Caixa","-",VLOOKUP(J267,[1]Estrutura!C:E,3,FALSE))</f>
        <v>1.1</v>
      </c>
      <c r="N267" s="8"/>
      <c r="O267" s="7">
        <f t="shared" si="12"/>
        <v>13</v>
      </c>
      <c r="P267" s="7">
        <f t="shared" si="13"/>
        <v>6</v>
      </c>
      <c r="Q267" s="7">
        <f t="shared" si="14"/>
        <v>2026</v>
      </c>
      <c r="R267" s="6">
        <f t="shared" si="15"/>
        <v>9864.1299999999992</v>
      </c>
      <c r="S267" s="16">
        <v>46189</v>
      </c>
    </row>
    <row r="268" spans="1:19">
      <c r="A268" s="16">
        <v>46187</v>
      </c>
      <c r="B268" s="7" t="s">
        <v>7</v>
      </c>
      <c r="C268" s="7" t="s">
        <v>9</v>
      </c>
      <c r="D268" s="15">
        <v>2564.42</v>
      </c>
      <c r="E268" s="15"/>
      <c r="F268" s="15"/>
      <c r="G268" s="8" t="s">
        <v>11</v>
      </c>
      <c r="H268" s="8"/>
      <c r="I268" s="17"/>
      <c r="J268" s="8" t="s">
        <v>10</v>
      </c>
      <c r="K268" s="8"/>
      <c r="L268" s="7"/>
      <c r="M268" s="7" t="str">
        <f>IF(C268="Caixa","-",VLOOKUP(J268,[1]Estrutura!C:E,3,FALSE))</f>
        <v>1.1</v>
      </c>
      <c r="N268" s="7"/>
      <c r="O268" s="7">
        <f t="shared" si="12"/>
        <v>14</v>
      </c>
      <c r="P268" s="7">
        <f t="shared" si="13"/>
        <v>6</v>
      </c>
      <c r="Q268" s="7">
        <f t="shared" si="14"/>
        <v>2026</v>
      </c>
      <c r="R268" s="6">
        <f t="shared" si="15"/>
        <v>2564.42</v>
      </c>
      <c r="S268" s="16">
        <v>46189</v>
      </c>
    </row>
    <row r="269" spans="1:19">
      <c r="A269" s="12">
        <v>46188</v>
      </c>
      <c r="B269" s="7" t="s">
        <v>122</v>
      </c>
      <c r="C269" s="7" t="s">
        <v>6</v>
      </c>
      <c r="D269" s="11"/>
      <c r="E269" s="11">
        <v>12000</v>
      </c>
      <c r="F269" s="11" t="s">
        <v>121</v>
      </c>
      <c r="G269" s="7" t="s">
        <v>736</v>
      </c>
      <c r="H269" s="10"/>
      <c r="I269" s="9"/>
      <c r="J269" s="7" t="s">
        <v>119</v>
      </c>
      <c r="K269" s="7" t="s">
        <v>34</v>
      </c>
      <c r="L269" s="8"/>
      <c r="M269" s="8" t="str">
        <f>IF(C269="Caixa","-",VLOOKUP(J269,[1]Estrutura!C:E,3,FALSE))</f>
        <v>4.5</v>
      </c>
      <c r="N269" s="8"/>
      <c r="O269" s="7">
        <f t="shared" si="12"/>
        <v>15</v>
      </c>
      <c r="P269" s="7">
        <f t="shared" si="13"/>
        <v>6</v>
      </c>
      <c r="Q269" s="7">
        <f t="shared" si="14"/>
        <v>2026</v>
      </c>
      <c r="R269" s="6">
        <f t="shared" si="15"/>
        <v>-12000</v>
      </c>
      <c r="S269" s="12">
        <v>46189</v>
      </c>
    </row>
    <row r="270" spans="1:19">
      <c r="A270" s="16">
        <v>46188</v>
      </c>
      <c r="B270" s="8" t="s">
        <v>14</v>
      </c>
      <c r="C270" s="8" t="s">
        <v>9</v>
      </c>
      <c r="D270" s="15"/>
      <c r="E270" s="15">
        <v>2874</v>
      </c>
      <c r="F270" s="15" t="s">
        <v>146</v>
      </c>
      <c r="G270" s="8" t="s">
        <v>147</v>
      </c>
      <c r="H270" s="8"/>
      <c r="I270" s="17"/>
      <c r="J270" s="8" t="s">
        <v>144</v>
      </c>
      <c r="K270" s="8"/>
      <c r="L270" s="7"/>
      <c r="M270" s="7" t="str">
        <f>IF(C270="Caixa","-",VLOOKUP(J270,[1]Estrutura!C:E,3,FALSE))</f>
        <v>4.2</v>
      </c>
      <c r="N270" s="7"/>
      <c r="O270" s="7">
        <f t="shared" ref="O270:O333" si="16">DAY(A270)</f>
        <v>15</v>
      </c>
      <c r="P270" s="7">
        <f t="shared" ref="P270:P333" si="17">MONTH(A270)</f>
        <v>6</v>
      </c>
      <c r="Q270" s="7">
        <f t="shared" ref="Q270:Q333" si="18">YEAR(A270)</f>
        <v>2026</v>
      </c>
      <c r="R270" s="6">
        <f t="shared" ref="R270:R333" si="19">D270-E270</f>
        <v>-2874</v>
      </c>
      <c r="S270" s="12">
        <v>46189</v>
      </c>
    </row>
    <row r="271" spans="1:19">
      <c r="A271" s="12">
        <v>46188</v>
      </c>
      <c r="B271" s="7" t="s">
        <v>14</v>
      </c>
      <c r="C271" s="7" t="s">
        <v>9</v>
      </c>
      <c r="D271" s="11"/>
      <c r="E271" s="15">
        <v>2874</v>
      </c>
      <c r="F271" s="15" t="s">
        <v>146</v>
      </c>
      <c r="G271" s="7" t="s">
        <v>145</v>
      </c>
      <c r="H271" s="7"/>
      <c r="I271" s="30"/>
      <c r="J271" s="7" t="s">
        <v>144</v>
      </c>
      <c r="K271" s="7"/>
      <c r="L271" s="8"/>
      <c r="M271" s="8" t="str">
        <f>IF(C271="Caixa","-",VLOOKUP(J271,[1]Estrutura!C:E,3,FALSE))</f>
        <v>4.2</v>
      </c>
      <c r="N271" s="8"/>
      <c r="O271" s="7">
        <f t="shared" si="16"/>
        <v>15</v>
      </c>
      <c r="P271" s="7">
        <f t="shared" si="17"/>
        <v>6</v>
      </c>
      <c r="Q271" s="7">
        <f t="shared" si="18"/>
        <v>2026</v>
      </c>
      <c r="R271" s="6">
        <f t="shared" si="19"/>
        <v>-2874</v>
      </c>
      <c r="S271" s="12">
        <v>46189</v>
      </c>
    </row>
    <row r="272" spans="1:19">
      <c r="A272" s="16">
        <v>46188</v>
      </c>
      <c r="B272" s="7" t="s">
        <v>7</v>
      </c>
      <c r="C272" s="7" t="s">
        <v>9</v>
      </c>
      <c r="D272" s="15">
        <v>11110.24</v>
      </c>
      <c r="E272" s="15"/>
      <c r="F272" s="15"/>
      <c r="G272" s="8" t="s">
        <v>11</v>
      </c>
      <c r="H272" s="8"/>
      <c r="I272" s="17"/>
      <c r="J272" s="8" t="s">
        <v>10</v>
      </c>
      <c r="K272" s="8"/>
      <c r="L272" s="7"/>
      <c r="M272" s="7" t="str">
        <f>IF(C272="Caixa","-",VLOOKUP(J272,[1]Estrutura!C:E,3,FALSE))</f>
        <v>1.1</v>
      </c>
      <c r="N272" s="7"/>
      <c r="O272" s="7">
        <f t="shared" si="16"/>
        <v>15</v>
      </c>
      <c r="P272" s="7">
        <f t="shared" si="17"/>
        <v>6</v>
      </c>
      <c r="Q272" s="7">
        <f t="shared" si="18"/>
        <v>2026</v>
      </c>
      <c r="R272" s="6">
        <f t="shared" si="19"/>
        <v>11110.24</v>
      </c>
      <c r="S272" s="16">
        <v>46189</v>
      </c>
    </row>
    <row r="273" spans="1:19">
      <c r="A273" s="16">
        <v>46188</v>
      </c>
      <c r="B273" s="8" t="s">
        <v>7</v>
      </c>
      <c r="C273" s="8" t="s">
        <v>9</v>
      </c>
      <c r="D273" s="15"/>
      <c r="E273" s="15">
        <v>24719.29</v>
      </c>
      <c r="F273" s="15" t="s">
        <v>735</v>
      </c>
      <c r="G273" s="8" t="s">
        <v>377</v>
      </c>
      <c r="H273" s="14"/>
      <c r="I273" s="13"/>
      <c r="J273" s="7" t="s">
        <v>119</v>
      </c>
      <c r="K273" s="8"/>
      <c r="L273" s="8"/>
      <c r="M273" s="8" t="str">
        <f>IF(C273="Caixa","-",VLOOKUP(J273,[1]Estrutura!C:E,3,FALSE))</f>
        <v>4.5</v>
      </c>
      <c r="N273" s="8"/>
      <c r="O273" s="7">
        <f t="shared" si="16"/>
        <v>15</v>
      </c>
      <c r="P273" s="7">
        <f t="shared" si="17"/>
        <v>6</v>
      </c>
      <c r="Q273" s="7">
        <f t="shared" si="18"/>
        <v>2026</v>
      </c>
      <c r="R273" s="6">
        <f t="shared" si="19"/>
        <v>-24719.29</v>
      </c>
      <c r="S273" s="16">
        <v>46189</v>
      </c>
    </row>
    <row r="274" spans="1:19">
      <c r="A274" s="16">
        <v>46189</v>
      </c>
      <c r="B274" s="8" t="s">
        <v>14</v>
      </c>
      <c r="C274" s="7" t="s">
        <v>9</v>
      </c>
      <c r="D274" s="15">
        <v>2783.2</v>
      </c>
      <c r="E274" s="15"/>
      <c r="F274" s="15"/>
      <c r="G274" s="8" t="s">
        <v>11</v>
      </c>
      <c r="H274" s="8"/>
      <c r="I274" s="17"/>
      <c r="J274" s="8" t="s">
        <v>10</v>
      </c>
      <c r="K274" s="8"/>
      <c r="L274" s="7"/>
      <c r="M274" s="7" t="str">
        <f>IF(C274="Caixa","-",VLOOKUP(J274,[1]Estrutura!C:E,3,FALSE))</f>
        <v>1.1</v>
      </c>
      <c r="N274" s="7"/>
      <c r="O274" s="7">
        <f t="shared" si="16"/>
        <v>16</v>
      </c>
      <c r="P274" s="7">
        <f t="shared" si="17"/>
        <v>6</v>
      </c>
      <c r="Q274" s="7">
        <f t="shared" si="18"/>
        <v>2026</v>
      </c>
      <c r="R274" s="6">
        <f t="shared" si="19"/>
        <v>2783.2</v>
      </c>
      <c r="S274" s="12">
        <v>46189</v>
      </c>
    </row>
    <row r="275" spans="1:19">
      <c r="A275" s="16">
        <v>46189</v>
      </c>
      <c r="B275" s="8" t="s">
        <v>14</v>
      </c>
      <c r="C275" s="8" t="s">
        <v>9</v>
      </c>
      <c r="D275" s="15"/>
      <c r="E275" s="15">
        <v>362.72</v>
      </c>
      <c r="F275" s="15" t="s">
        <v>118</v>
      </c>
      <c r="G275" s="8" t="s">
        <v>117</v>
      </c>
      <c r="H275" s="14"/>
      <c r="I275" s="13"/>
      <c r="J275" s="21" t="s">
        <v>210</v>
      </c>
      <c r="K275" s="8"/>
      <c r="L275" s="8"/>
      <c r="M275" s="8" t="str">
        <f>IF(C275="Caixa","-",VLOOKUP(J275,[1]Estrutura!C:E,3,FALSE))</f>
        <v>4.12</v>
      </c>
      <c r="N275" s="8"/>
      <c r="O275" s="7">
        <f t="shared" si="16"/>
        <v>16</v>
      </c>
      <c r="P275" s="7">
        <f t="shared" si="17"/>
        <v>6</v>
      </c>
      <c r="Q275" s="7">
        <f t="shared" si="18"/>
        <v>2026</v>
      </c>
      <c r="R275" s="6">
        <f t="shared" si="19"/>
        <v>-362.72</v>
      </c>
      <c r="S275" s="16">
        <v>46189</v>
      </c>
    </row>
    <row r="276" spans="1:19">
      <c r="A276" s="12">
        <v>46189</v>
      </c>
      <c r="B276" s="7" t="s">
        <v>14</v>
      </c>
      <c r="C276" s="7" t="s">
        <v>9</v>
      </c>
      <c r="D276" s="11"/>
      <c r="E276" s="11">
        <v>2832.92</v>
      </c>
      <c r="F276" s="11" t="s">
        <v>104</v>
      </c>
      <c r="G276" s="7" t="s">
        <v>734</v>
      </c>
      <c r="H276" s="10"/>
      <c r="I276" s="9"/>
      <c r="J276" s="8" t="s">
        <v>102</v>
      </c>
      <c r="K276" s="7"/>
      <c r="L276" s="7"/>
      <c r="M276" s="7" t="str">
        <f>IF(C276="Caixa","-",VLOOKUP(J276,[1]Estrutura!C:E,3,FALSE))</f>
        <v>4.5</v>
      </c>
      <c r="N276" s="7"/>
      <c r="O276" s="7">
        <f t="shared" si="16"/>
        <v>16</v>
      </c>
      <c r="P276" s="7">
        <f t="shared" si="17"/>
        <v>6</v>
      </c>
      <c r="Q276" s="7">
        <f t="shared" si="18"/>
        <v>2026</v>
      </c>
      <c r="R276" s="6">
        <f t="shared" si="19"/>
        <v>-2832.92</v>
      </c>
      <c r="S276" s="12">
        <v>46189</v>
      </c>
    </row>
    <row r="277" spans="1:19">
      <c r="A277" s="12">
        <v>46189</v>
      </c>
      <c r="B277" s="7" t="s">
        <v>14</v>
      </c>
      <c r="C277" s="7" t="s">
        <v>9</v>
      </c>
      <c r="D277" s="11"/>
      <c r="E277" s="11">
        <v>103.44</v>
      </c>
      <c r="F277" s="11" t="s">
        <v>168</v>
      </c>
      <c r="G277" s="7" t="s">
        <v>704</v>
      </c>
      <c r="H277" s="10"/>
      <c r="I277" s="9"/>
      <c r="J277" s="7" t="s">
        <v>77</v>
      </c>
      <c r="K277" s="7"/>
      <c r="L277" s="8"/>
      <c r="M277" s="8" t="str">
        <f>IF(C277="Caixa","-",VLOOKUP(J277,[1]Estrutura!C:E,3,FALSE))</f>
        <v>4.3</v>
      </c>
      <c r="N277" s="8"/>
      <c r="O277" s="7">
        <f t="shared" si="16"/>
        <v>16</v>
      </c>
      <c r="P277" s="7">
        <f t="shared" si="17"/>
        <v>6</v>
      </c>
      <c r="Q277" s="7">
        <f t="shared" si="18"/>
        <v>2026</v>
      </c>
      <c r="R277" s="6">
        <f t="shared" si="19"/>
        <v>-103.44</v>
      </c>
      <c r="S277" s="16">
        <v>46189</v>
      </c>
    </row>
    <row r="278" spans="1:19">
      <c r="A278" s="12">
        <v>46189</v>
      </c>
      <c r="B278" s="7" t="s">
        <v>14</v>
      </c>
      <c r="C278" s="7" t="s">
        <v>9</v>
      </c>
      <c r="D278" s="11"/>
      <c r="E278" s="11">
        <v>700.74</v>
      </c>
      <c r="F278" s="11" t="s">
        <v>24</v>
      </c>
      <c r="G278" s="7" t="s">
        <v>126</v>
      </c>
      <c r="H278" s="10"/>
      <c r="I278" s="9"/>
      <c r="J278" s="7" t="s">
        <v>77</v>
      </c>
      <c r="K278" s="7"/>
      <c r="L278" s="7"/>
      <c r="M278" s="7" t="str">
        <f>IF(C278="Caixa","-",VLOOKUP(J278,[1]Estrutura!C:E,3,FALSE))</f>
        <v>4.3</v>
      </c>
      <c r="N278" s="7"/>
      <c r="O278" s="7">
        <f t="shared" si="16"/>
        <v>16</v>
      </c>
      <c r="P278" s="7">
        <f t="shared" si="17"/>
        <v>6</v>
      </c>
      <c r="Q278" s="7">
        <f t="shared" si="18"/>
        <v>2026</v>
      </c>
      <c r="R278" s="6">
        <f t="shared" si="19"/>
        <v>-700.74</v>
      </c>
      <c r="S278" s="16">
        <v>46189</v>
      </c>
    </row>
    <row r="279" spans="1:19">
      <c r="A279" s="16">
        <v>46189</v>
      </c>
      <c r="B279" s="8" t="s">
        <v>14</v>
      </c>
      <c r="C279" s="8" t="s">
        <v>9</v>
      </c>
      <c r="D279" s="15"/>
      <c r="E279" s="15">
        <v>219.44</v>
      </c>
      <c r="F279" s="15" t="s">
        <v>347</v>
      </c>
      <c r="G279" s="8" t="s">
        <v>733</v>
      </c>
      <c r="H279" s="14"/>
      <c r="I279" s="13"/>
      <c r="J279" s="8" t="s">
        <v>250</v>
      </c>
      <c r="K279" s="8"/>
      <c r="L279" s="8"/>
      <c r="M279" s="8" t="str">
        <f>IF(C279="Caixa","-",VLOOKUP(J279,[1]Estrutura!C:E,3,FALSE))</f>
        <v>4.9</v>
      </c>
      <c r="N279" s="8"/>
      <c r="O279" s="7">
        <f t="shared" si="16"/>
        <v>16</v>
      </c>
      <c r="P279" s="7">
        <f t="shared" si="17"/>
        <v>6</v>
      </c>
      <c r="Q279" s="7">
        <f t="shared" si="18"/>
        <v>2026</v>
      </c>
      <c r="R279" s="6">
        <f t="shared" si="19"/>
        <v>-219.44</v>
      </c>
      <c r="S279" s="12">
        <v>46189</v>
      </c>
    </row>
    <row r="280" spans="1:19">
      <c r="A280" s="16">
        <v>46189</v>
      </c>
      <c r="B280" s="8" t="s">
        <v>14</v>
      </c>
      <c r="C280" s="8" t="s">
        <v>9</v>
      </c>
      <c r="D280" s="15"/>
      <c r="E280" s="15">
        <v>2065.61</v>
      </c>
      <c r="F280" s="15" t="s">
        <v>652</v>
      </c>
      <c r="G280" s="8" t="s">
        <v>732</v>
      </c>
      <c r="H280" s="14"/>
      <c r="I280" s="13"/>
      <c r="J280" s="8" t="s">
        <v>269</v>
      </c>
      <c r="K280" s="8"/>
      <c r="L280" s="7"/>
      <c r="M280" s="7" t="str">
        <f>IF(C280="Caixa","-",VLOOKUP(J280,[1]Estrutura!C:E,3,FALSE))</f>
        <v>4.7</v>
      </c>
      <c r="N280" s="7"/>
      <c r="O280" s="7">
        <f t="shared" si="16"/>
        <v>16</v>
      </c>
      <c r="P280" s="7">
        <f t="shared" si="17"/>
        <v>6</v>
      </c>
      <c r="Q280" s="7">
        <f t="shared" si="18"/>
        <v>2026</v>
      </c>
      <c r="R280" s="6">
        <f t="shared" si="19"/>
        <v>-2065.61</v>
      </c>
      <c r="S280" s="16">
        <v>46189</v>
      </c>
    </row>
    <row r="281" spans="1:19">
      <c r="A281" s="12">
        <v>46189</v>
      </c>
      <c r="B281" s="7" t="s">
        <v>14</v>
      </c>
      <c r="C281" s="7" t="s">
        <v>9</v>
      </c>
      <c r="D281" s="11"/>
      <c r="E281" s="11">
        <v>176.04</v>
      </c>
      <c r="F281" s="11" t="s">
        <v>24</v>
      </c>
      <c r="G281" s="7" t="s">
        <v>731</v>
      </c>
      <c r="H281" s="10"/>
      <c r="I281" s="9"/>
      <c r="J281" s="7" t="s">
        <v>22</v>
      </c>
      <c r="K281" s="7"/>
      <c r="L281" s="8"/>
      <c r="M281" s="8" t="str">
        <f>IF(C281="Caixa","-",VLOOKUP(J281,[1]Estrutura!C:E,3,FALSE))</f>
        <v>4.3</v>
      </c>
      <c r="N281" s="8"/>
      <c r="O281" s="7">
        <f t="shared" si="16"/>
        <v>16</v>
      </c>
      <c r="P281" s="7">
        <f t="shared" si="17"/>
        <v>6</v>
      </c>
      <c r="Q281" s="7">
        <f t="shared" si="18"/>
        <v>2026</v>
      </c>
      <c r="R281" s="6">
        <f t="shared" si="19"/>
        <v>-176.04</v>
      </c>
      <c r="S281" s="12">
        <v>46189</v>
      </c>
    </row>
    <row r="282" spans="1:19">
      <c r="A282" s="16">
        <v>46189</v>
      </c>
      <c r="B282" s="8" t="s">
        <v>26</v>
      </c>
      <c r="C282" s="8" t="s">
        <v>6</v>
      </c>
      <c r="D282" s="15"/>
      <c r="E282" s="15">
        <v>9112.7999999999993</v>
      </c>
      <c r="F282" s="15" t="s">
        <v>730</v>
      </c>
      <c r="G282" s="8" t="s">
        <v>729</v>
      </c>
      <c r="H282" s="14">
        <v>75173</v>
      </c>
      <c r="I282" s="13"/>
      <c r="J282" s="8" t="s">
        <v>17</v>
      </c>
      <c r="K282" s="8" t="s">
        <v>34</v>
      </c>
      <c r="L282" s="7"/>
      <c r="M282" s="7" t="str">
        <f>IF(C282="Caixa","-",VLOOKUP(J282,[1]Estrutura!C:E,3,FALSE))</f>
        <v>4.4</v>
      </c>
      <c r="N282" s="7"/>
      <c r="O282" s="7">
        <f t="shared" si="16"/>
        <v>16</v>
      </c>
      <c r="P282" s="7">
        <f t="shared" si="17"/>
        <v>6</v>
      </c>
      <c r="Q282" s="7">
        <f t="shared" si="18"/>
        <v>2026</v>
      </c>
      <c r="R282" s="6">
        <f t="shared" si="19"/>
        <v>-9112.7999999999993</v>
      </c>
      <c r="S282" s="16">
        <v>46189</v>
      </c>
    </row>
    <row r="283" spans="1:19">
      <c r="A283" s="12">
        <v>46189</v>
      </c>
      <c r="B283" s="7" t="s">
        <v>26</v>
      </c>
      <c r="C283" s="7" t="s">
        <v>6</v>
      </c>
      <c r="D283" s="11"/>
      <c r="E283" s="11">
        <v>669.02</v>
      </c>
      <c r="F283" s="15" t="s">
        <v>32</v>
      </c>
      <c r="G283" s="7" t="s">
        <v>728</v>
      </c>
      <c r="H283" s="10"/>
      <c r="I283" s="9"/>
      <c r="J283" s="7" t="s">
        <v>95</v>
      </c>
      <c r="K283" s="7" t="s">
        <v>21</v>
      </c>
      <c r="L283" s="8"/>
      <c r="M283" s="8" t="str">
        <f>IF(C283="Caixa","-",VLOOKUP(J283,[1]Estrutura!C:E,3,FALSE))</f>
        <v>4.1</v>
      </c>
      <c r="N283" s="8"/>
      <c r="O283" s="7">
        <f t="shared" si="16"/>
        <v>16</v>
      </c>
      <c r="P283" s="7">
        <f t="shared" si="17"/>
        <v>6</v>
      </c>
      <c r="Q283" s="7">
        <f t="shared" si="18"/>
        <v>2026</v>
      </c>
      <c r="R283" s="6">
        <f t="shared" si="19"/>
        <v>-669.02</v>
      </c>
      <c r="S283" s="12">
        <v>46189</v>
      </c>
    </row>
    <row r="284" spans="1:19">
      <c r="A284" s="16">
        <v>46189</v>
      </c>
      <c r="B284" s="8" t="s">
        <v>26</v>
      </c>
      <c r="C284" s="8" t="s">
        <v>6</v>
      </c>
      <c r="D284" s="15"/>
      <c r="E284" s="15">
        <v>6243.4</v>
      </c>
      <c r="F284" s="15" t="s">
        <v>157</v>
      </c>
      <c r="G284" s="7" t="s">
        <v>251</v>
      </c>
      <c r="H284" s="14"/>
      <c r="I284" s="13"/>
      <c r="J284" s="8" t="s">
        <v>250</v>
      </c>
      <c r="K284" s="8" t="s">
        <v>21</v>
      </c>
      <c r="L284" s="7"/>
      <c r="M284" s="7" t="str">
        <f>IF(C284="Caixa","-",VLOOKUP(J284,[1]Estrutura!C:E,3,FALSE))</f>
        <v>4.9</v>
      </c>
      <c r="N284" s="7"/>
      <c r="O284" s="7">
        <f t="shared" si="16"/>
        <v>16</v>
      </c>
      <c r="P284" s="7">
        <f t="shared" si="17"/>
        <v>6</v>
      </c>
      <c r="Q284" s="7">
        <f t="shared" si="18"/>
        <v>2026</v>
      </c>
      <c r="R284" s="6">
        <f t="shared" si="19"/>
        <v>-6243.4</v>
      </c>
      <c r="S284" s="12">
        <v>46189</v>
      </c>
    </row>
    <row r="285" spans="1:19">
      <c r="A285" s="16">
        <v>46189</v>
      </c>
      <c r="B285" s="7" t="s">
        <v>7</v>
      </c>
      <c r="C285" s="7" t="s">
        <v>9</v>
      </c>
      <c r="D285" s="15">
        <v>5066.75</v>
      </c>
      <c r="E285" s="15"/>
      <c r="F285" s="15"/>
      <c r="G285" s="8" t="s">
        <v>11</v>
      </c>
      <c r="H285" s="8"/>
      <c r="I285" s="17"/>
      <c r="J285" s="8" t="s">
        <v>10</v>
      </c>
      <c r="K285" s="8"/>
      <c r="L285" s="8"/>
      <c r="M285" s="8" t="str">
        <f>IF(C285="Caixa","-",VLOOKUP(J285,[1]Estrutura!C:E,3,FALSE))</f>
        <v>1.1</v>
      </c>
      <c r="N285" s="8"/>
      <c r="O285" s="7">
        <f t="shared" si="16"/>
        <v>16</v>
      </c>
      <c r="P285" s="7">
        <f t="shared" si="17"/>
        <v>6</v>
      </c>
      <c r="Q285" s="7">
        <f t="shared" si="18"/>
        <v>2026</v>
      </c>
      <c r="R285" s="6">
        <f t="shared" si="19"/>
        <v>5066.75</v>
      </c>
      <c r="S285" s="16">
        <v>46190</v>
      </c>
    </row>
    <row r="286" spans="1:19">
      <c r="A286" s="12">
        <v>46189</v>
      </c>
      <c r="B286" s="18" t="s">
        <v>7</v>
      </c>
      <c r="C286" s="7" t="s">
        <v>9</v>
      </c>
      <c r="D286" s="11"/>
      <c r="E286" s="11">
        <v>2232.8000000000002</v>
      </c>
      <c r="F286" s="11" t="s">
        <v>303</v>
      </c>
      <c r="G286" s="8" t="s">
        <v>133</v>
      </c>
      <c r="H286" s="10"/>
      <c r="I286" s="9"/>
      <c r="J286" s="7" t="s">
        <v>119</v>
      </c>
      <c r="K286" s="7"/>
      <c r="L286" s="7"/>
      <c r="M286" s="7" t="str">
        <f>IF(C286="Caixa","-",VLOOKUP(J286,[1]Estrutura!C:E,3,FALSE))</f>
        <v>4.5</v>
      </c>
      <c r="N286" s="7"/>
      <c r="O286" s="7">
        <f t="shared" si="16"/>
        <v>16</v>
      </c>
      <c r="P286" s="7">
        <f t="shared" si="17"/>
        <v>6</v>
      </c>
      <c r="Q286" s="7">
        <f t="shared" si="18"/>
        <v>2026</v>
      </c>
      <c r="R286" s="6">
        <f t="shared" si="19"/>
        <v>-2232.8000000000002</v>
      </c>
      <c r="S286" s="12">
        <v>46190</v>
      </c>
    </row>
    <row r="287" spans="1:19">
      <c r="A287" s="16">
        <v>46189</v>
      </c>
      <c r="B287" s="24" t="s">
        <v>7</v>
      </c>
      <c r="C287" s="8" t="s">
        <v>9</v>
      </c>
      <c r="D287" s="15"/>
      <c r="E287" s="15">
        <v>265</v>
      </c>
      <c r="F287" s="15" t="s">
        <v>152</v>
      </c>
      <c r="G287" s="7" t="s">
        <v>151</v>
      </c>
      <c r="H287" s="14"/>
      <c r="I287" s="13"/>
      <c r="J287" s="8" t="s">
        <v>150</v>
      </c>
      <c r="K287" s="8"/>
      <c r="L287" s="8"/>
      <c r="M287" s="8" t="str">
        <f>IF(C287="Caixa","-",VLOOKUP(J287,[1]Estrutura!C:E,3,FALSE))</f>
        <v>4.4</v>
      </c>
      <c r="N287" s="8"/>
      <c r="O287" s="7">
        <f t="shared" si="16"/>
        <v>16</v>
      </c>
      <c r="P287" s="7">
        <f t="shared" si="17"/>
        <v>6</v>
      </c>
      <c r="Q287" s="7">
        <f t="shared" si="18"/>
        <v>2026</v>
      </c>
      <c r="R287" s="6">
        <f t="shared" si="19"/>
        <v>-265</v>
      </c>
      <c r="S287" s="12">
        <v>46191</v>
      </c>
    </row>
    <row r="288" spans="1:19">
      <c r="A288" s="12">
        <v>46189</v>
      </c>
      <c r="B288" s="18" t="s">
        <v>7</v>
      </c>
      <c r="C288" s="7" t="s">
        <v>9</v>
      </c>
      <c r="D288" s="11"/>
      <c r="E288" s="11">
        <v>552.52</v>
      </c>
      <c r="F288" s="11" t="s">
        <v>726</v>
      </c>
      <c r="G288" s="7" t="s">
        <v>727</v>
      </c>
      <c r="H288" s="10"/>
      <c r="I288" s="9"/>
      <c r="J288" s="7" t="s">
        <v>173</v>
      </c>
      <c r="K288" s="7"/>
      <c r="L288" s="7"/>
      <c r="M288" s="7" t="str">
        <f>IF(C288="Caixa","-",VLOOKUP(J288,[1]Estrutura!C:E,3,FALSE))</f>
        <v>4.3</v>
      </c>
      <c r="N288" s="7"/>
      <c r="O288" s="7">
        <f t="shared" si="16"/>
        <v>16</v>
      </c>
      <c r="P288" s="7">
        <f t="shared" si="17"/>
        <v>6</v>
      </c>
      <c r="Q288" s="7">
        <f t="shared" si="18"/>
        <v>2026</v>
      </c>
      <c r="R288" s="6">
        <f t="shared" si="19"/>
        <v>-552.52</v>
      </c>
      <c r="S288" s="16">
        <v>46191</v>
      </c>
    </row>
    <row r="289" spans="1:19">
      <c r="A289" s="16">
        <v>46189</v>
      </c>
      <c r="B289" s="24" t="s">
        <v>7</v>
      </c>
      <c r="C289" s="8" t="s">
        <v>9</v>
      </c>
      <c r="D289" s="15"/>
      <c r="E289" s="15">
        <v>4.75</v>
      </c>
      <c r="F289" s="15" t="s">
        <v>726</v>
      </c>
      <c r="G289" s="8" t="s">
        <v>725</v>
      </c>
      <c r="H289" s="14"/>
      <c r="I289" s="13"/>
      <c r="J289" s="8" t="s">
        <v>173</v>
      </c>
      <c r="K289" s="8"/>
      <c r="L289" s="8"/>
      <c r="M289" s="8" t="str">
        <f>IF(C289="Caixa","-",VLOOKUP(J289,[1]Estrutura!C:E,3,FALSE))</f>
        <v>4.3</v>
      </c>
      <c r="N289" s="8"/>
      <c r="O289" s="7">
        <f t="shared" si="16"/>
        <v>16</v>
      </c>
      <c r="P289" s="7">
        <f t="shared" si="17"/>
        <v>6</v>
      </c>
      <c r="Q289" s="7">
        <f t="shared" si="18"/>
        <v>2026</v>
      </c>
      <c r="R289" s="6">
        <f t="shared" si="19"/>
        <v>-4.75</v>
      </c>
      <c r="S289" s="12">
        <v>46191</v>
      </c>
    </row>
    <row r="290" spans="1:19">
      <c r="A290" s="12">
        <v>46189</v>
      </c>
      <c r="B290" s="18" t="s">
        <v>7</v>
      </c>
      <c r="C290" s="7" t="s">
        <v>9</v>
      </c>
      <c r="D290" s="11"/>
      <c r="E290" s="11">
        <v>2717.81</v>
      </c>
      <c r="F290" s="11" t="s">
        <v>104</v>
      </c>
      <c r="G290" s="7" t="s">
        <v>718</v>
      </c>
      <c r="H290" s="10"/>
      <c r="I290" s="9"/>
      <c r="J290" s="8" t="s">
        <v>102</v>
      </c>
      <c r="K290" s="7"/>
      <c r="L290" s="7"/>
      <c r="M290" s="7" t="str">
        <f>IF(C290="Caixa","-",VLOOKUP(J290,[1]Estrutura!C:E,3,FALSE))</f>
        <v>4.5</v>
      </c>
      <c r="N290" s="7"/>
      <c r="O290" s="7">
        <f t="shared" si="16"/>
        <v>16</v>
      </c>
      <c r="P290" s="7">
        <f t="shared" si="17"/>
        <v>6</v>
      </c>
      <c r="Q290" s="7">
        <f t="shared" si="18"/>
        <v>2026</v>
      </c>
      <c r="R290" s="6">
        <f t="shared" si="19"/>
        <v>-2717.81</v>
      </c>
      <c r="S290" s="16">
        <v>46191</v>
      </c>
    </row>
    <row r="291" spans="1:19">
      <c r="A291" s="12">
        <v>46189</v>
      </c>
      <c r="B291" s="18" t="s">
        <v>7</v>
      </c>
      <c r="C291" s="7" t="s">
        <v>9</v>
      </c>
      <c r="D291" s="11"/>
      <c r="E291" s="11">
        <v>1637.81</v>
      </c>
      <c r="F291" s="11" t="s">
        <v>97</v>
      </c>
      <c r="G291" s="7" t="s">
        <v>723</v>
      </c>
      <c r="H291" s="10"/>
      <c r="I291" s="9"/>
      <c r="J291" s="7" t="s">
        <v>95</v>
      </c>
      <c r="K291" s="7"/>
      <c r="L291" s="8"/>
      <c r="M291" s="8" t="str">
        <f>IF(C291="Caixa","-",VLOOKUP(J291,[1]Estrutura!C:E,3,FALSE))</f>
        <v>4.1</v>
      </c>
      <c r="N291" s="8"/>
      <c r="O291" s="7">
        <f t="shared" si="16"/>
        <v>16</v>
      </c>
      <c r="P291" s="7">
        <f t="shared" si="17"/>
        <v>6</v>
      </c>
      <c r="Q291" s="7">
        <f t="shared" si="18"/>
        <v>2026</v>
      </c>
      <c r="R291" s="6">
        <f t="shared" si="19"/>
        <v>-1637.81</v>
      </c>
      <c r="S291" s="16">
        <v>46191</v>
      </c>
    </row>
    <row r="292" spans="1:19">
      <c r="A292" s="16">
        <v>46190</v>
      </c>
      <c r="B292" s="8" t="s">
        <v>14</v>
      </c>
      <c r="C292" s="7" t="s">
        <v>9</v>
      </c>
      <c r="D292" s="15">
        <v>1240.02</v>
      </c>
      <c r="E292" s="15"/>
      <c r="F292" s="15"/>
      <c r="G292" s="8" t="s">
        <v>11</v>
      </c>
      <c r="H292" s="8"/>
      <c r="I292" s="17"/>
      <c r="J292" s="8" t="s">
        <v>10</v>
      </c>
      <c r="K292" s="8"/>
      <c r="L292" s="7"/>
      <c r="M292" s="7" t="str">
        <f>IF(C292="Caixa","-",VLOOKUP(J292,[1]Estrutura!C:E,3,FALSE))</f>
        <v>1.1</v>
      </c>
      <c r="N292" s="7"/>
      <c r="O292" s="7">
        <f t="shared" si="16"/>
        <v>17</v>
      </c>
      <c r="P292" s="7">
        <f t="shared" si="17"/>
        <v>6</v>
      </c>
      <c r="Q292" s="7">
        <f t="shared" si="18"/>
        <v>2026</v>
      </c>
      <c r="R292" s="6">
        <f t="shared" si="19"/>
        <v>1240.02</v>
      </c>
      <c r="S292" s="16">
        <v>46192</v>
      </c>
    </row>
    <row r="293" spans="1:19">
      <c r="A293" s="50">
        <v>46190</v>
      </c>
      <c r="B293" s="39" t="s">
        <v>14</v>
      </c>
      <c r="C293" s="39" t="s">
        <v>9</v>
      </c>
      <c r="D293" s="42"/>
      <c r="E293" s="42">
        <v>763</v>
      </c>
      <c r="F293" s="42" t="s">
        <v>143</v>
      </c>
      <c r="G293" s="7" t="s">
        <v>704</v>
      </c>
      <c r="H293" s="41"/>
      <c r="I293" s="40"/>
      <c r="J293" s="39" t="s">
        <v>141</v>
      </c>
      <c r="K293" s="39"/>
      <c r="L293" s="8"/>
      <c r="M293" s="8" t="str">
        <f>IF(C293="Caixa","-",VLOOKUP(J293,[1]Estrutura!C:E,3,FALSE))</f>
        <v>4.6</v>
      </c>
      <c r="N293" s="8"/>
      <c r="O293" s="7">
        <f t="shared" si="16"/>
        <v>17</v>
      </c>
      <c r="P293" s="7">
        <f t="shared" si="17"/>
        <v>6</v>
      </c>
      <c r="Q293" s="7">
        <f t="shared" si="18"/>
        <v>2026</v>
      </c>
      <c r="R293" s="6">
        <f t="shared" si="19"/>
        <v>-763</v>
      </c>
      <c r="S293" s="16">
        <v>46192</v>
      </c>
    </row>
    <row r="294" spans="1:19">
      <c r="A294" s="50">
        <v>46191</v>
      </c>
      <c r="B294" s="7" t="s">
        <v>14</v>
      </c>
      <c r="C294" s="7" t="s">
        <v>9</v>
      </c>
      <c r="D294" s="11"/>
      <c r="E294" s="11">
        <v>2512.96</v>
      </c>
      <c r="F294" s="11" t="s">
        <v>97</v>
      </c>
      <c r="G294" s="7" t="s">
        <v>724</v>
      </c>
      <c r="H294" s="10"/>
      <c r="I294" s="9"/>
      <c r="J294" s="7" t="s">
        <v>95</v>
      </c>
      <c r="K294" s="7"/>
      <c r="L294" s="7"/>
      <c r="M294" s="7" t="str">
        <f>IF(C294="Caixa","-",VLOOKUP(J294,[1]Estrutura!C:E,3,FALSE))</f>
        <v>4.1</v>
      </c>
      <c r="N294" s="7"/>
      <c r="O294" s="7">
        <f t="shared" si="16"/>
        <v>18</v>
      </c>
      <c r="P294" s="7">
        <f t="shared" si="17"/>
        <v>6</v>
      </c>
      <c r="Q294" s="7">
        <f t="shared" si="18"/>
        <v>2026</v>
      </c>
      <c r="R294" s="6">
        <f t="shared" si="19"/>
        <v>-2512.96</v>
      </c>
      <c r="S294" s="16">
        <v>46193</v>
      </c>
    </row>
    <row r="295" spans="1:19">
      <c r="A295" s="16">
        <v>46191</v>
      </c>
      <c r="B295" s="8" t="s">
        <v>14</v>
      </c>
      <c r="C295" s="8" t="s">
        <v>9</v>
      </c>
      <c r="D295" s="15"/>
      <c r="E295" s="15">
        <v>7468.01</v>
      </c>
      <c r="F295" s="15" t="s">
        <v>97</v>
      </c>
      <c r="G295" s="8" t="s">
        <v>723</v>
      </c>
      <c r="H295" s="14"/>
      <c r="I295" s="13"/>
      <c r="J295" s="8" t="s">
        <v>95</v>
      </c>
      <c r="K295" s="8"/>
      <c r="L295" s="8"/>
      <c r="M295" s="8" t="str">
        <f>IF(C295="Caixa","-",VLOOKUP(J295,[1]Estrutura!C:E,3,FALSE))</f>
        <v>4.1</v>
      </c>
      <c r="N295" s="8"/>
      <c r="O295" s="7">
        <f t="shared" si="16"/>
        <v>18</v>
      </c>
      <c r="P295" s="7">
        <f t="shared" si="17"/>
        <v>6</v>
      </c>
      <c r="Q295" s="7">
        <f t="shared" si="18"/>
        <v>2026</v>
      </c>
      <c r="R295" s="6">
        <f t="shared" si="19"/>
        <v>-7468.01</v>
      </c>
      <c r="S295" s="16">
        <v>46193</v>
      </c>
    </row>
    <row r="296" spans="1:19">
      <c r="A296" s="12">
        <v>46191</v>
      </c>
      <c r="B296" s="7" t="s">
        <v>26</v>
      </c>
      <c r="C296" s="7" t="s">
        <v>6</v>
      </c>
      <c r="D296" s="11"/>
      <c r="E296" s="11">
        <v>2512.96</v>
      </c>
      <c r="F296" s="15" t="s">
        <v>32</v>
      </c>
      <c r="G296" s="7" t="s">
        <v>722</v>
      </c>
      <c r="H296" s="10"/>
      <c r="I296" s="9"/>
      <c r="J296" s="7" t="s">
        <v>95</v>
      </c>
      <c r="K296" s="7" t="s">
        <v>21</v>
      </c>
      <c r="L296" s="7"/>
      <c r="M296" s="7" t="str">
        <f>IF(C296="Caixa","-",VLOOKUP(J296,[1]Estrutura!C:E,3,FALSE))</f>
        <v>4.1</v>
      </c>
      <c r="N296" s="7"/>
      <c r="O296" s="7">
        <f t="shared" si="16"/>
        <v>18</v>
      </c>
      <c r="P296" s="7">
        <f t="shared" si="17"/>
        <v>6</v>
      </c>
      <c r="Q296" s="7">
        <f t="shared" si="18"/>
        <v>2026</v>
      </c>
      <c r="R296" s="6">
        <f t="shared" si="19"/>
        <v>-2512.96</v>
      </c>
      <c r="S296" s="16">
        <v>46193</v>
      </c>
    </row>
    <row r="297" spans="1:19">
      <c r="A297" s="16">
        <v>46191</v>
      </c>
      <c r="B297" s="8" t="s">
        <v>26</v>
      </c>
      <c r="C297" s="8" t="s">
        <v>6</v>
      </c>
      <c r="D297" s="15"/>
      <c r="E297" s="15">
        <v>622.4</v>
      </c>
      <c r="F297" s="15" t="s">
        <v>721</v>
      </c>
      <c r="G297" s="8" t="s">
        <v>720</v>
      </c>
      <c r="H297" s="14"/>
      <c r="I297" s="13"/>
      <c r="J297" s="8" t="s">
        <v>52</v>
      </c>
      <c r="K297" s="8" t="s">
        <v>40</v>
      </c>
      <c r="L297" s="8"/>
      <c r="M297" s="8" t="str">
        <f>IF(C297="Caixa","-",VLOOKUP(J297,[1]Estrutura!C:E,3,FALSE))</f>
        <v>4.2</v>
      </c>
      <c r="N297" s="8"/>
      <c r="O297" s="7">
        <f t="shared" si="16"/>
        <v>18</v>
      </c>
      <c r="P297" s="7">
        <f t="shared" si="17"/>
        <v>6</v>
      </c>
      <c r="Q297" s="7">
        <f t="shared" si="18"/>
        <v>2026</v>
      </c>
      <c r="R297" s="6">
        <f t="shared" si="19"/>
        <v>-622.4</v>
      </c>
      <c r="S297" s="12">
        <v>46193</v>
      </c>
    </row>
    <row r="298" spans="1:19">
      <c r="A298" s="16">
        <v>46191</v>
      </c>
      <c r="B298" s="7" t="s">
        <v>7</v>
      </c>
      <c r="C298" s="7" t="s">
        <v>9</v>
      </c>
      <c r="D298" s="15">
        <v>4132.76</v>
      </c>
      <c r="E298" s="15"/>
      <c r="F298" s="15"/>
      <c r="G298" s="8" t="s">
        <v>11</v>
      </c>
      <c r="H298" s="8"/>
      <c r="I298" s="17"/>
      <c r="J298" s="8" t="s">
        <v>10</v>
      </c>
      <c r="K298" s="8"/>
      <c r="L298" s="7"/>
      <c r="M298" s="7" t="str">
        <f>IF(C298="Caixa","-",VLOOKUP(J298,[1]Estrutura!C:E,3,FALSE))</f>
        <v>1.1</v>
      </c>
      <c r="N298" s="7"/>
      <c r="O298" s="7">
        <f t="shared" si="16"/>
        <v>18</v>
      </c>
      <c r="P298" s="7">
        <f t="shared" si="17"/>
        <v>6</v>
      </c>
      <c r="Q298" s="7">
        <f t="shared" si="18"/>
        <v>2026</v>
      </c>
      <c r="R298" s="6">
        <f t="shared" si="19"/>
        <v>4132.76</v>
      </c>
      <c r="S298" s="16">
        <v>46193</v>
      </c>
    </row>
    <row r="299" spans="1:19">
      <c r="A299" s="16">
        <v>46192</v>
      </c>
      <c r="B299" s="8" t="s">
        <v>14</v>
      </c>
      <c r="C299" s="7" t="s">
        <v>9</v>
      </c>
      <c r="D299" s="15">
        <v>2112.06</v>
      </c>
      <c r="E299" s="15"/>
      <c r="F299" s="15"/>
      <c r="G299" s="8" t="s">
        <v>11</v>
      </c>
      <c r="H299" s="8"/>
      <c r="I299" s="17"/>
      <c r="J299" s="8" t="s">
        <v>10</v>
      </c>
      <c r="K299" s="8"/>
      <c r="L299" s="8"/>
      <c r="M299" s="8" t="str">
        <f>IF(C299="Caixa","-",VLOOKUP(J299,[1]Estrutura!C:E,3,FALSE))</f>
        <v>1.1</v>
      </c>
      <c r="N299" s="8"/>
      <c r="O299" s="7">
        <f t="shared" si="16"/>
        <v>19</v>
      </c>
      <c r="P299" s="7">
        <f t="shared" si="17"/>
        <v>6</v>
      </c>
      <c r="Q299" s="7">
        <f t="shared" si="18"/>
        <v>2026</v>
      </c>
      <c r="R299" s="6">
        <f t="shared" si="19"/>
        <v>2112.06</v>
      </c>
      <c r="S299" s="16">
        <v>46194</v>
      </c>
    </row>
    <row r="300" spans="1:19">
      <c r="A300" s="16">
        <v>46192</v>
      </c>
      <c r="B300" s="7" t="s">
        <v>7</v>
      </c>
      <c r="C300" s="7" t="s">
        <v>9</v>
      </c>
      <c r="D300" s="15">
        <v>3332.33</v>
      </c>
      <c r="E300" s="15"/>
      <c r="F300" s="15"/>
      <c r="G300" s="8" t="s">
        <v>11</v>
      </c>
      <c r="H300" s="8"/>
      <c r="I300" s="17"/>
      <c r="J300" s="8" t="s">
        <v>10</v>
      </c>
      <c r="K300" s="8"/>
      <c r="L300" s="7"/>
      <c r="M300" s="7" t="str">
        <f>IF(C300="Caixa","-",VLOOKUP(J300,[1]Estrutura!C:E,3,FALSE))</f>
        <v>1.1</v>
      </c>
      <c r="N300" s="7"/>
      <c r="O300" s="7">
        <f t="shared" si="16"/>
        <v>19</v>
      </c>
      <c r="P300" s="7">
        <f t="shared" si="17"/>
        <v>6</v>
      </c>
      <c r="Q300" s="7">
        <f t="shared" si="18"/>
        <v>2026</v>
      </c>
      <c r="R300" s="6">
        <f t="shared" si="19"/>
        <v>3332.33</v>
      </c>
      <c r="S300" s="16">
        <v>46194</v>
      </c>
    </row>
    <row r="301" spans="1:19">
      <c r="A301" s="16">
        <v>46193</v>
      </c>
      <c r="B301" s="8" t="s">
        <v>14</v>
      </c>
      <c r="C301" s="7" t="s">
        <v>9</v>
      </c>
      <c r="D301" s="15">
        <v>3472.13</v>
      </c>
      <c r="E301" s="15"/>
      <c r="F301" s="15"/>
      <c r="G301" s="8" t="s">
        <v>11</v>
      </c>
      <c r="H301" s="8"/>
      <c r="I301" s="17"/>
      <c r="J301" s="8" t="s">
        <v>10</v>
      </c>
      <c r="K301" s="8"/>
      <c r="L301" s="8"/>
      <c r="M301" s="8" t="str">
        <f>IF(C301="Caixa","-",VLOOKUP(J301,[1]Estrutura!C:E,3,FALSE))</f>
        <v>1.1</v>
      </c>
      <c r="N301" s="8"/>
      <c r="O301" s="7">
        <f t="shared" si="16"/>
        <v>20</v>
      </c>
      <c r="P301" s="7">
        <f t="shared" si="17"/>
        <v>6</v>
      </c>
      <c r="Q301" s="7">
        <f t="shared" si="18"/>
        <v>2026</v>
      </c>
      <c r="R301" s="6">
        <f t="shared" si="19"/>
        <v>3472.13</v>
      </c>
      <c r="S301" s="16">
        <v>46195</v>
      </c>
    </row>
    <row r="302" spans="1:19">
      <c r="A302" s="16">
        <v>46193</v>
      </c>
      <c r="B302" s="8" t="s">
        <v>14</v>
      </c>
      <c r="C302" s="8" t="s">
        <v>9</v>
      </c>
      <c r="D302" s="15"/>
      <c r="E302" s="15">
        <v>427.2399999999999</v>
      </c>
      <c r="F302" s="15"/>
      <c r="G302" s="8" t="s">
        <v>8</v>
      </c>
      <c r="H302" s="14"/>
      <c r="I302" s="13"/>
      <c r="J302" s="8" t="s">
        <v>4</v>
      </c>
      <c r="K302" s="8"/>
      <c r="L302" s="7"/>
      <c r="M302" s="7" t="str">
        <f>IF(C302="Caixa","-",VLOOKUP(J302,[1]Estrutura!C:E,3,FALSE))</f>
        <v>5.2</v>
      </c>
      <c r="N302" s="7"/>
      <c r="O302" s="7">
        <f t="shared" si="16"/>
        <v>20</v>
      </c>
      <c r="P302" s="7">
        <f t="shared" si="17"/>
        <v>6</v>
      </c>
      <c r="Q302" s="7">
        <f t="shared" si="18"/>
        <v>2026</v>
      </c>
      <c r="R302" s="6">
        <f t="shared" si="19"/>
        <v>-427.2399999999999</v>
      </c>
      <c r="S302" s="16">
        <v>46195</v>
      </c>
    </row>
    <row r="303" spans="1:19">
      <c r="A303" s="16">
        <v>46193</v>
      </c>
      <c r="B303" s="7" t="s">
        <v>7</v>
      </c>
      <c r="C303" s="7" t="s">
        <v>9</v>
      </c>
      <c r="D303" s="15">
        <v>8261.5500000000011</v>
      </c>
      <c r="E303" s="15"/>
      <c r="F303" s="15"/>
      <c r="G303" s="8" t="s">
        <v>11</v>
      </c>
      <c r="H303" s="8"/>
      <c r="I303" s="17"/>
      <c r="J303" s="8" t="s">
        <v>10</v>
      </c>
      <c r="K303" s="8"/>
      <c r="L303" s="8"/>
      <c r="M303" s="8" t="str">
        <f>IF(C303="Caixa","-",VLOOKUP(J303,[1]Estrutura!C:E,3,FALSE))</f>
        <v>1.1</v>
      </c>
      <c r="N303" s="8"/>
      <c r="O303" s="7">
        <f t="shared" si="16"/>
        <v>20</v>
      </c>
      <c r="P303" s="7">
        <f t="shared" si="17"/>
        <v>6</v>
      </c>
      <c r="Q303" s="7">
        <f t="shared" si="18"/>
        <v>2026</v>
      </c>
      <c r="R303" s="6">
        <f t="shared" si="19"/>
        <v>8261.5500000000011</v>
      </c>
      <c r="S303" s="16">
        <v>46196</v>
      </c>
    </row>
    <row r="304" spans="1:19">
      <c r="A304" s="16">
        <v>46193</v>
      </c>
      <c r="B304" s="8" t="s">
        <v>7</v>
      </c>
      <c r="C304" s="8" t="s">
        <v>9</v>
      </c>
      <c r="D304" s="15"/>
      <c r="E304" s="15">
        <v>1444.22</v>
      </c>
      <c r="F304" s="15"/>
      <c r="G304" s="8" t="s">
        <v>8</v>
      </c>
      <c r="H304" s="14"/>
      <c r="I304" s="13"/>
      <c r="J304" s="58" t="s">
        <v>4</v>
      </c>
      <c r="K304" s="8"/>
      <c r="L304" s="7"/>
      <c r="M304" s="7" t="str">
        <f>IF(C304="Caixa","-",VLOOKUP(J304,[1]Estrutura!C:E,3,FALSE))</f>
        <v>5.2</v>
      </c>
      <c r="N304" s="7"/>
      <c r="O304" s="7">
        <f t="shared" si="16"/>
        <v>20</v>
      </c>
      <c r="P304" s="7">
        <f t="shared" si="17"/>
        <v>6</v>
      </c>
      <c r="Q304" s="7">
        <f t="shared" si="18"/>
        <v>2026</v>
      </c>
      <c r="R304" s="6">
        <f t="shared" si="19"/>
        <v>-1444.22</v>
      </c>
      <c r="S304" s="16">
        <v>46196</v>
      </c>
    </row>
    <row r="305" spans="1:19">
      <c r="A305" s="16">
        <v>46194</v>
      </c>
      <c r="B305" s="8" t="s">
        <v>14</v>
      </c>
      <c r="C305" s="7" t="s">
        <v>9</v>
      </c>
      <c r="D305" s="15">
        <v>2074.1999999999998</v>
      </c>
      <c r="E305" s="15"/>
      <c r="F305" s="15"/>
      <c r="G305" s="8" t="s">
        <v>11</v>
      </c>
      <c r="H305" s="8"/>
      <c r="I305" s="17"/>
      <c r="J305" s="8" t="s">
        <v>10</v>
      </c>
      <c r="K305" s="8"/>
      <c r="L305" s="8"/>
      <c r="M305" s="8" t="str">
        <f>IF(C305="Caixa","-",VLOOKUP(J305,[1]Estrutura!C:E,3,FALSE))</f>
        <v>1.1</v>
      </c>
      <c r="N305" s="8"/>
      <c r="O305" s="7">
        <f t="shared" si="16"/>
        <v>21</v>
      </c>
      <c r="P305" s="7">
        <f t="shared" si="17"/>
        <v>6</v>
      </c>
      <c r="Q305" s="7">
        <f t="shared" si="18"/>
        <v>2026</v>
      </c>
      <c r="R305" s="6">
        <f t="shared" si="19"/>
        <v>2074.1999999999998</v>
      </c>
      <c r="S305" s="12">
        <v>46196</v>
      </c>
    </row>
    <row r="306" spans="1:19">
      <c r="A306" s="16">
        <v>46194</v>
      </c>
      <c r="B306" s="7" t="s">
        <v>7</v>
      </c>
      <c r="C306" s="7" t="s">
        <v>9</v>
      </c>
      <c r="D306" s="15">
        <v>1607.85</v>
      </c>
      <c r="E306" s="15"/>
      <c r="F306" s="15"/>
      <c r="G306" s="8" t="s">
        <v>11</v>
      </c>
      <c r="H306" s="8"/>
      <c r="I306" s="17"/>
      <c r="J306" s="8" t="s">
        <v>10</v>
      </c>
      <c r="K306" s="8"/>
      <c r="L306" s="7"/>
      <c r="M306" s="7" t="str">
        <f>IF(C306="Caixa","-",VLOOKUP(J306,[1]Estrutura!C:E,3,FALSE))</f>
        <v>1.1</v>
      </c>
      <c r="N306" s="7"/>
      <c r="O306" s="7">
        <f t="shared" si="16"/>
        <v>21</v>
      </c>
      <c r="P306" s="7">
        <f t="shared" si="17"/>
        <v>6</v>
      </c>
      <c r="Q306" s="7">
        <f t="shared" si="18"/>
        <v>2026</v>
      </c>
      <c r="R306" s="6">
        <f t="shared" si="19"/>
        <v>1607.85</v>
      </c>
      <c r="S306" s="16">
        <v>46196</v>
      </c>
    </row>
    <row r="307" spans="1:19">
      <c r="A307" s="16">
        <v>46195</v>
      </c>
      <c r="B307" s="8" t="s">
        <v>14</v>
      </c>
      <c r="C307" s="7" t="s">
        <v>9</v>
      </c>
      <c r="D307" s="15">
        <v>1473.36</v>
      </c>
      <c r="E307" s="15"/>
      <c r="F307" s="15"/>
      <c r="G307" s="8" t="s">
        <v>11</v>
      </c>
      <c r="H307" s="8"/>
      <c r="I307" s="17"/>
      <c r="J307" s="8" t="s">
        <v>10</v>
      </c>
      <c r="K307" s="8"/>
      <c r="L307" s="8"/>
      <c r="M307" s="8" t="str">
        <f>IF(C307="Caixa","-",VLOOKUP(J307,[1]Estrutura!C:E,3,FALSE))</f>
        <v>1.1</v>
      </c>
      <c r="N307" s="8"/>
      <c r="O307" s="7">
        <f t="shared" si="16"/>
        <v>22</v>
      </c>
      <c r="P307" s="7">
        <f t="shared" si="17"/>
        <v>6</v>
      </c>
      <c r="Q307" s="7">
        <f t="shared" si="18"/>
        <v>2026</v>
      </c>
      <c r="R307" s="6">
        <f t="shared" si="19"/>
        <v>1473.36</v>
      </c>
      <c r="S307" s="16">
        <v>46196</v>
      </c>
    </row>
    <row r="308" spans="1:19">
      <c r="A308" s="16">
        <v>46195</v>
      </c>
      <c r="B308" s="7" t="s">
        <v>7</v>
      </c>
      <c r="C308" s="7" t="s">
        <v>9</v>
      </c>
      <c r="D308" s="15">
        <v>3960.14</v>
      </c>
      <c r="E308" s="15"/>
      <c r="F308" s="15"/>
      <c r="G308" s="8" t="s">
        <v>11</v>
      </c>
      <c r="H308" s="8"/>
      <c r="I308" s="17"/>
      <c r="J308" s="8" t="s">
        <v>10</v>
      </c>
      <c r="K308" s="8"/>
      <c r="L308" s="7"/>
      <c r="M308" s="7" t="str">
        <f>IF(C308="Caixa","-",VLOOKUP(J308,[1]Estrutura!C:E,3,FALSE))</f>
        <v>1.1</v>
      </c>
      <c r="N308" s="7"/>
      <c r="O308" s="7">
        <f t="shared" si="16"/>
        <v>22</v>
      </c>
      <c r="P308" s="7">
        <f t="shared" si="17"/>
        <v>6</v>
      </c>
      <c r="Q308" s="7">
        <f t="shared" si="18"/>
        <v>2026</v>
      </c>
      <c r="R308" s="6">
        <f t="shared" si="19"/>
        <v>3960.14</v>
      </c>
      <c r="S308" s="12">
        <v>46196</v>
      </c>
    </row>
    <row r="309" spans="1:19">
      <c r="A309" s="16">
        <v>46196</v>
      </c>
      <c r="B309" s="8" t="s">
        <v>122</v>
      </c>
      <c r="C309" s="8" t="s">
        <v>6</v>
      </c>
      <c r="D309" s="15"/>
      <c r="E309" s="15">
        <v>215.3</v>
      </c>
      <c r="F309" s="15" t="s">
        <v>125</v>
      </c>
      <c r="G309" s="8" t="s">
        <v>537</v>
      </c>
      <c r="H309" s="14"/>
      <c r="I309" s="13"/>
      <c r="J309" s="8" t="s">
        <v>99</v>
      </c>
      <c r="K309" s="8"/>
      <c r="L309" s="8"/>
      <c r="M309" s="8" t="str">
        <f>IF(C309="Caixa","-",VLOOKUP(J309,[1]Estrutura!C:E,3,FALSE))</f>
        <v>4.3</v>
      </c>
      <c r="N309" s="8"/>
      <c r="O309" s="7">
        <f t="shared" si="16"/>
        <v>23</v>
      </c>
      <c r="P309" s="7">
        <f t="shared" si="17"/>
        <v>6</v>
      </c>
      <c r="Q309" s="7">
        <f t="shared" si="18"/>
        <v>2026</v>
      </c>
      <c r="R309" s="6">
        <f t="shared" si="19"/>
        <v>-215.3</v>
      </c>
      <c r="S309" s="16">
        <v>46196</v>
      </c>
    </row>
    <row r="310" spans="1:19">
      <c r="A310" s="16">
        <v>46196</v>
      </c>
      <c r="B310" s="8" t="s">
        <v>14</v>
      </c>
      <c r="C310" s="24" t="s">
        <v>9</v>
      </c>
      <c r="D310" s="15"/>
      <c r="E310" s="46">
        <v>105.88</v>
      </c>
      <c r="F310" s="15" t="s">
        <v>125</v>
      </c>
      <c r="G310" s="8" t="s">
        <v>441</v>
      </c>
      <c r="H310" s="14"/>
      <c r="I310" s="13"/>
      <c r="J310" s="8" t="s">
        <v>99</v>
      </c>
      <c r="K310" s="8"/>
      <c r="L310" s="7"/>
      <c r="M310" s="7" t="str">
        <f>IF(C310="Caixa","-",VLOOKUP(J310,[1]Estrutura!C:E,3,FALSE))</f>
        <v>4.3</v>
      </c>
      <c r="N310" s="7"/>
      <c r="O310" s="7">
        <f t="shared" si="16"/>
        <v>23</v>
      </c>
      <c r="P310" s="7">
        <f t="shared" si="17"/>
        <v>6</v>
      </c>
      <c r="Q310" s="7">
        <f t="shared" si="18"/>
        <v>2026</v>
      </c>
      <c r="R310" s="6">
        <f t="shared" si="19"/>
        <v>-105.88</v>
      </c>
      <c r="S310" s="12">
        <v>46196</v>
      </c>
    </row>
    <row r="311" spans="1:19">
      <c r="A311" s="12">
        <v>46196</v>
      </c>
      <c r="B311" s="7" t="s">
        <v>14</v>
      </c>
      <c r="C311" s="18" t="s">
        <v>9</v>
      </c>
      <c r="D311" s="11"/>
      <c r="E311" s="11">
        <v>616</v>
      </c>
      <c r="F311" s="11" t="s">
        <v>73</v>
      </c>
      <c r="G311" s="7" t="s">
        <v>622</v>
      </c>
      <c r="H311" s="10"/>
      <c r="I311" s="9"/>
      <c r="J311" s="7" t="s">
        <v>77</v>
      </c>
      <c r="K311" s="7"/>
      <c r="L311" s="8"/>
      <c r="M311" s="8" t="str">
        <f>IF(C311="Caixa","-",VLOOKUP(J311,[1]Estrutura!C:E,3,FALSE))</f>
        <v>4.3</v>
      </c>
      <c r="N311" s="8"/>
      <c r="O311" s="7">
        <f t="shared" si="16"/>
        <v>23</v>
      </c>
      <c r="P311" s="7">
        <f t="shared" si="17"/>
        <v>6</v>
      </c>
      <c r="Q311" s="7">
        <f t="shared" si="18"/>
        <v>2026</v>
      </c>
      <c r="R311" s="6">
        <f t="shared" si="19"/>
        <v>-616</v>
      </c>
      <c r="S311" s="16">
        <v>46196</v>
      </c>
    </row>
    <row r="312" spans="1:19">
      <c r="A312" s="16">
        <v>46196</v>
      </c>
      <c r="B312" s="8" t="s">
        <v>14</v>
      </c>
      <c r="C312" s="8" t="s">
        <v>9</v>
      </c>
      <c r="D312" s="15"/>
      <c r="E312" s="15">
        <v>124.82</v>
      </c>
      <c r="F312" s="15" t="s">
        <v>82</v>
      </c>
      <c r="G312" s="8" t="s">
        <v>719</v>
      </c>
      <c r="H312" s="14"/>
      <c r="I312" s="13"/>
      <c r="J312" s="8" t="s">
        <v>80</v>
      </c>
      <c r="K312" s="8"/>
      <c r="L312" s="7"/>
      <c r="M312" s="7" t="str">
        <f>IF(C312="Caixa","-",VLOOKUP(J312,[1]Estrutura!C:E,3,FALSE))</f>
        <v>4.5</v>
      </c>
      <c r="N312" s="7"/>
      <c r="O312" s="7">
        <f t="shared" si="16"/>
        <v>23</v>
      </c>
      <c r="P312" s="7">
        <f t="shared" si="17"/>
        <v>6</v>
      </c>
      <c r="Q312" s="7">
        <f t="shared" si="18"/>
        <v>2026</v>
      </c>
      <c r="R312" s="6">
        <f t="shared" si="19"/>
        <v>-124.82</v>
      </c>
      <c r="S312" s="12">
        <v>46196</v>
      </c>
    </row>
    <row r="313" spans="1:19">
      <c r="A313" s="16">
        <v>46196</v>
      </c>
      <c r="B313" s="8" t="s">
        <v>14</v>
      </c>
      <c r="C313" s="8" t="s">
        <v>9</v>
      </c>
      <c r="D313" s="15"/>
      <c r="E313" s="15">
        <v>800</v>
      </c>
      <c r="F313" s="11" t="s">
        <v>49</v>
      </c>
      <c r="G313" s="7" t="s">
        <v>112</v>
      </c>
      <c r="H313" s="14"/>
      <c r="I313" s="13"/>
      <c r="J313" s="8" t="s">
        <v>110</v>
      </c>
      <c r="K313" s="8"/>
      <c r="L313" s="8"/>
      <c r="M313" s="8" t="str">
        <f>IF(C313="Caixa","-",VLOOKUP(J313,[1]Estrutura!C:E,3,FALSE))</f>
        <v>4.1</v>
      </c>
      <c r="N313" s="8"/>
      <c r="O313" s="7">
        <f t="shared" si="16"/>
        <v>23</v>
      </c>
      <c r="P313" s="7">
        <f t="shared" si="17"/>
        <v>6</v>
      </c>
      <c r="Q313" s="7">
        <f t="shared" si="18"/>
        <v>2026</v>
      </c>
      <c r="R313" s="6">
        <f t="shared" si="19"/>
        <v>-800</v>
      </c>
      <c r="S313" s="16">
        <v>46196</v>
      </c>
    </row>
    <row r="314" spans="1:19">
      <c r="A314" s="12">
        <v>46196</v>
      </c>
      <c r="B314" s="7" t="s">
        <v>26</v>
      </c>
      <c r="C314" s="7" t="s">
        <v>6</v>
      </c>
      <c r="D314" s="11"/>
      <c r="E314" s="11">
        <v>1053.45</v>
      </c>
      <c r="F314" s="11" t="s">
        <v>104</v>
      </c>
      <c r="G314" s="7" t="s">
        <v>718</v>
      </c>
      <c r="H314" s="10">
        <v>22655</v>
      </c>
      <c r="I314" s="9"/>
      <c r="J314" s="8" t="s">
        <v>102</v>
      </c>
      <c r="K314" s="7" t="s">
        <v>21</v>
      </c>
      <c r="L314" s="7"/>
      <c r="M314" s="7" t="str">
        <f>IF(C314="Caixa","-",VLOOKUP(J314,[1]Estrutura!C:E,3,FALSE))</f>
        <v>4.5</v>
      </c>
      <c r="N314" s="7"/>
      <c r="O314" s="7">
        <f t="shared" si="16"/>
        <v>23</v>
      </c>
      <c r="P314" s="7">
        <f t="shared" si="17"/>
        <v>6</v>
      </c>
      <c r="Q314" s="7">
        <f t="shared" si="18"/>
        <v>2026</v>
      </c>
      <c r="R314" s="6">
        <f t="shared" si="19"/>
        <v>-1053.45</v>
      </c>
      <c r="S314" s="16">
        <v>46196</v>
      </c>
    </row>
    <row r="315" spans="1:19">
      <c r="A315" s="16">
        <v>46196</v>
      </c>
      <c r="B315" s="8" t="s">
        <v>26</v>
      </c>
      <c r="C315" s="8" t="s">
        <v>6</v>
      </c>
      <c r="D315" s="15"/>
      <c r="E315" s="15">
        <v>4818.87</v>
      </c>
      <c r="F315" s="15" t="s">
        <v>341</v>
      </c>
      <c r="G315" s="8" t="s">
        <v>717</v>
      </c>
      <c r="H315" s="14"/>
      <c r="I315" s="13"/>
      <c r="J315" s="8" t="s">
        <v>339</v>
      </c>
      <c r="K315" s="8" t="s">
        <v>21</v>
      </c>
      <c r="L315" s="8"/>
      <c r="M315" s="8" t="str">
        <f>IF(C315="Caixa","-",VLOOKUP(J315,[1]Estrutura!C:E,3,FALSE))</f>
        <v>4.6</v>
      </c>
      <c r="N315" s="8"/>
      <c r="O315" s="7">
        <f t="shared" si="16"/>
        <v>23</v>
      </c>
      <c r="P315" s="7">
        <f t="shared" si="17"/>
        <v>6</v>
      </c>
      <c r="Q315" s="7">
        <f t="shared" si="18"/>
        <v>2026</v>
      </c>
      <c r="R315" s="6">
        <f t="shared" si="19"/>
        <v>-4818.87</v>
      </c>
      <c r="S315" s="12">
        <v>46196</v>
      </c>
    </row>
    <row r="316" spans="1:19">
      <c r="A316" s="12">
        <v>46196</v>
      </c>
      <c r="B316" s="7" t="s">
        <v>26</v>
      </c>
      <c r="C316" s="7" t="s">
        <v>6</v>
      </c>
      <c r="D316" s="11"/>
      <c r="E316" s="11">
        <v>9762</v>
      </c>
      <c r="F316" s="11" t="s">
        <v>69</v>
      </c>
      <c r="G316" s="7" t="s">
        <v>625</v>
      </c>
      <c r="H316" s="10"/>
      <c r="I316" s="9"/>
      <c r="J316" s="21" t="s">
        <v>67</v>
      </c>
      <c r="K316" s="7" t="s">
        <v>21</v>
      </c>
      <c r="L316" s="7"/>
      <c r="M316" s="7" t="str">
        <f>IF(C316="Caixa","-",VLOOKUP(J316,[1]Estrutura!C:E,3,FALSE))</f>
        <v>4.5</v>
      </c>
      <c r="N316" s="7"/>
      <c r="O316" s="7">
        <f t="shared" si="16"/>
        <v>23</v>
      </c>
      <c r="P316" s="7">
        <f t="shared" si="17"/>
        <v>6</v>
      </c>
      <c r="Q316" s="7">
        <f t="shared" si="18"/>
        <v>2026</v>
      </c>
      <c r="R316" s="6">
        <f t="shared" si="19"/>
        <v>-9762</v>
      </c>
      <c r="S316" s="16">
        <v>46197</v>
      </c>
    </row>
    <row r="317" spans="1:19">
      <c r="A317" s="16">
        <v>46196</v>
      </c>
      <c r="B317" s="7" t="s">
        <v>7</v>
      </c>
      <c r="C317" s="7" t="s">
        <v>9</v>
      </c>
      <c r="D317" s="15">
        <v>7908.33</v>
      </c>
      <c r="E317" s="15"/>
      <c r="F317" s="15"/>
      <c r="G317" s="8" t="s">
        <v>11</v>
      </c>
      <c r="H317" s="8"/>
      <c r="I317" s="17"/>
      <c r="J317" s="8" t="s">
        <v>10</v>
      </c>
      <c r="K317" s="8"/>
      <c r="L317" s="8"/>
      <c r="M317" s="8" t="str">
        <f>IF(C317="Caixa","-",VLOOKUP(J317,[1]Estrutura!C:E,3,FALSE))</f>
        <v>1.1</v>
      </c>
      <c r="N317" s="8"/>
      <c r="O317" s="7">
        <f t="shared" si="16"/>
        <v>23</v>
      </c>
      <c r="P317" s="7">
        <f t="shared" si="17"/>
        <v>6</v>
      </c>
      <c r="Q317" s="7">
        <f t="shared" si="18"/>
        <v>2026</v>
      </c>
      <c r="R317" s="6">
        <f t="shared" si="19"/>
        <v>7908.33</v>
      </c>
      <c r="S317" s="16">
        <v>46198</v>
      </c>
    </row>
    <row r="318" spans="1:19">
      <c r="A318" s="12">
        <v>46196</v>
      </c>
      <c r="B318" s="7" t="s">
        <v>7</v>
      </c>
      <c r="C318" s="7" t="s">
        <v>9</v>
      </c>
      <c r="D318" s="11"/>
      <c r="E318" s="11">
        <v>378.61</v>
      </c>
      <c r="F318" s="11" t="s">
        <v>101</v>
      </c>
      <c r="G318" s="7" t="s">
        <v>716</v>
      </c>
      <c r="H318" s="10"/>
      <c r="I318" s="9"/>
      <c r="J318" s="8" t="s">
        <v>99</v>
      </c>
      <c r="K318" s="7"/>
      <c r="L318" s="7"/>
      <c r="M318" s="7" t="str">
        <f>IF(C318="Caixa","-",VLOOKUP(J318,[1]Estrutura!C:E,3,FALSE))</f>
        <v>4.3</v>
      </c>
      <c r="N318" s="7"/>
      <c r="O318" s="7">
        <f t="shared" si="16"/>
        <v>23</v>
      </c>
      <c r="P318" s="7">
        <f t="shared" si="17"/>
        <v>6</v>
      </c>
      <c r="Q318" s="7">
        <f t="shared" si="18"/>
        <v>2026</v>
      </c>
      <c r="R318" s="6">
        <f t="shared" si="19"/>
        <v>-378.61</v>
      </c>
      <c r="S318" s="16">
        <v>46198</v>
      </c>
    </row>
    <row r="319" spans="1:19">
      <c r="A319" s="16">
        <v>46196</v>
      </c>
      <c r="B319" s="8" t="s">
        <v>7</v>
      </c>
      <c r="C319" s="8" t="s">
        <v>9</v>
      </c>
      <c r="D319" s="15"/>
      <c r="E319" s="15">
        <v>580</v>
      </c>
      <c r="F319" s="15" t="s">
        <v>715</v>
      </c>
      <c r="G319" s="8" t="s">
        <v>714</v>
      </c>
      <c r="H319" s="14"/>
      <c r="I319" s="13"/>
      <c r="J319" s="8" t="s">
        <v>17</v>
      </c>
      <c r="K319" s="8"/>
      <c r="L319" s="8"/>
      <c r="M319" s="8" t="str">
        <f>IF(C319="Caixa","-",VLOOKUP(J319,[1]Estrutura!C:E,3,FALSE))</f>
        <v>4.4</v>
      </c>
      <c r="N319" s="8"/>
      <c r="O319" s="7">
        <f t="shared" si="16"/>
        <v>23</v>
      </c>
      <c r="P319" s="7">
        <f t="shared" si="17"/>
        <v>6</v>
      </c>
      <c r="Q319" s="7">
        <f t="shared" si="18"/>
        <v>2026</v>
      </c>
      <c r="R319" s="6">
        <f t="shared" si="19"/>
        <v>-580</v>
      </c>
      <c r="S319" s="16">
        <v>46198</v>
      </c>
    </row>
    <row r="320" spans="1:19">
      <c r="A320" s="16">
        <v>46196</v>
      </c>
      <c r="B320" s="8" t="s">
        <v>7</v>
      </c>
      <c r="C320" s="8" t="s">
        <v>9</v>
      </c>
      <c r="D320" s="15"/>
      <c r="E320" s="15">
        <v>38.85</v>
      </c>
      <c r="F320" s="15" t="s">
        <v>66</v>
      </c>
      <c r="G320" s="8" t="s">
        <v>713</v>
      </c>
      <c r="H320" s="14"/>
      <c r="I320" s="13"/>
      <c r="J320" s="8" t="s">
        <v>64</v>
      </c>
      <c r="K320" s="8"/>
      <c r="L320" s="7"/>
      <c r="M320" s="7" t="str">
        <f>IF(C320="Caixa","-",VLOOKUP(J320,[1]Estrutura!C:E,3,FALSE))</f>
        <v>4.4</v>
      </c>
      <c r="N320" s="7"/>
      <c r="O320" s="7">
        <f t="shared" si="16"/>
        <v>23</v>
      </c>
      <c r="P320" s="7">
        <f t="shared" si="17"/>
        <v>6</v>
      </c>
      <c r="Q320" s="7">
        <f t="shared" si="18"/>
        <v>2026</v>
      </c>
      <c r="R320" s="6">
        <f t="shared" si="19"/>
        <v>-38.85</v>
      </c>
      <c r="S320" s="12">
        <v>46198</v>
      </c>
    </row>
    <row r="321" spans="1:19">
      <c r="A321" s="12">
        <v>46196</v>
      </c>
      <c r="B321" s="7" t="s">
        <v>7</v>
      </c>
      <c r="C321" s="7" t="s">
        <v>9</v>
      </c>
      <c r="D321" s="11"/>
      <c r="E321" s="11">
        <v>437.32</v>
      </c>
      <c r="F321" s="11" t="s">
        <v>332</v>
      </c>
      <c r="G321" s="7" t="s">
        <v>712</v>
      </c>
      <c r="H321" s="10"/>
      <c r="I321" s="9"/>
      <c r="J321" s="7" t="s">
        <v>86</v>
      </c>
      <c r="K321" s="7"/>
      <c r="L321" s="8"/>
      <c r="M321" s="8" t="str">
        <f>IF(C321="Caixa","-",VLOOKUP(J321,[1]Estrutura!C:E,3,FALSE))</f>
        <v>4.8</v>
      </c>
      <c r="N321" s="8"/>
      <c r="O321" s="7">
        <f t="shared" si="16"/>
        <v>23</v>
      </c>
      <c r="P321" s="7">
        <f t="shared" si="17"/>
        <v>6</v>
      </c>
      <c r="Q321" s="7">
        <f t="shared" si="18"/>
        <v>2026</v>
      </c>
      <c r="R321" s="6">
        <f t="shared" si="19"/>
        <v>-437.32</v>
      </c>
      <c r="S321" s="16">
        <v>46198</v>
      </c>
    </row>
    <row r="322" spans="1:19">
      <c r="A322" s="16">
        <v>46197</v>
      </c>
      <c r="B322" s="8" t="s">
        <v>14</v>
      </c>
      <c r="C322" s="7" t="s">
        <v>9</v>
      </c>
      <c r="D322" s="15">
        <v>5712.34</v>
      </c>
      <c r="E322" s="15"/>
      <c r="F322" s="15"/>
      <c r="G322" s="8" t="s">
        <v>11</v>
      </c>
      <c r="H322" s="8"/>
      <c r="I322" s="17"/>
      <c r="J322" s="8" t="s">
        <v>10</v>
      </c>
      <c r="K322" s="8"/>
      <c r="L322" s="7"/>
      <c r="M322" s="7" t="str">
        <f>IF(C322="Caixa","-",VLOOKUP(J322,[1]Estrutura!C:E,3,FALSE))</f>
        <v>1.1</v>
      </c>
      <c r="N322" s="7"/>
      <c r="O322" s="7">
        <f t="shared" si="16"/>
        <v>24</v>
      </c>
      <c r="P322" s="7">
        <f t="shared" si="17"/>
        <v>6</v>
      </c>
      <c r="Q322" s="7">
        <f t="shared" si="18"/>
        <v>2026</v>
      </c>
      <c r="R322" s="6">
        <f t="shared" si="19"/>
        <v>5712.34</v>
      </c>
      <c r="S322" s="12">
        <v>46198</v>
      </c>
    </row>
    <row r="323" spans="1:19">
      <c r="A323" s="16">
        <v>46198</v>
      </c>
      <c r="B323" s="8" t="s">
        <v>14</v>
      </c>
      <c r="C323" s="7" t="s">
        <v>9</v>
      </c>
      <c r="D323" s="15">
        <v>4745.43</v>
      </c>
      <c r="E323" s="15"/>
      <c r="F323" s="15"/>
      <c r="G323" s="8" t="s">
        <v>11</v>
      </c>
      <c r="H323" s="8"/>
      <c r="I323" s="17"/>
      <c r="J323" s="8" t="s">
        <v>10</v>
      </c>
      <c r="K323" s="8"/>
      <c r="L323" s="8"/>
      <c r="M323" s="8" t="str">
        <f>IF(C323="Caixa","-",VLOOKUP(J323,[1]Estrutura!C:E,3,FALSE))</f>
        <v>1.1</v>
      </c>
      <c r="N323" s="8"/>
      <c r="O323" s="7">
        <f t="shared" si="16"/>
        <v>25</v>
      </c>
      <c r="P323" s="7">
        <f t="shared" si="17"/>
        <v>6</v>
      </c>
      <c r="Q323" s="7">
        <f t="shared" si="18"/>
        <v>2026</v>
      </c>
      <c r="R323" s="6">
        <f t="shared" si="19"/>
        <v>4745.43</v>
      </c>
      <c r="S323" s="12">
        <v>46198</v>
      </c>
    </row>
    <row r="324" spans="1:19">
      <c r="A324" s="16">
        <v>46198</v>
      </c>
      <c r="B324" s="8" t="s">
        <v>14</v>
      </c>
      <c r="C324" s="8" t="s">
        <v>9</v>
      </c>
      <c r="D324" s="15"/>
      <c r="E324" s="15">
        <v>3376.4</v>
      </c>
      <c r="F324" s="15" t="s">
        <v>97</v>
      </c>
      <c r="G324" s="15" t="s">
        <v>707</v>
      </c>
      <c r="H324" s="14"/>
      <c r="I324" s="13"/>
      <c r="J324" s="8" t="s">
        <v>33</v>
      </c>
      <c r="K324" s="8"/>
      <c r="L324" s="7"/>
      <c r="M324" s="7" t="str">
        <f>IF(C324="Caixa","-",VLOOKUP(J324,[1]Estrutura!C:E,3,FALSE))</f>
        <v>2.1</v>
      </c>
      <c r="N324" s="7"/>
      <c r="O324" s="7">
        <f t="shared" si="16"/>
        <v>25</v>
      </c>
      <c r="P324" s="7">
        <f t="shared" si="17"/>
        <v>6</v>
      </c>
      <c r="Q324" s="7">
        <f t="shared" si="18"/>
        <v>2026</v>
      </c>
      <c r="R324" s="6">
        <f t="shared" si="19"/>
        <v>-3376.4</v>
      </c>
      <c r="S324" s="16">
        <v>46198</v>
      </c>
    </row>
    <row r="325" spans="1:19">
      <c r="A325" s="16">
        <v>46198</v>
      </c>
      <c r="B325" s="8" t="s">
        <v>14</v>
      </c>
      <c r="C325" s="8" t="s">
        <v>9</v>
      </c>
      <c r="D325" s="15"/>
      <c r="E325" s="15">
        <v>702.21</v>
      </c>
      <c r="F325" s="15" t="s">
        <v>24</v>
      </c>
      <c r="G325" s="15" t="s">
        <v>127</v>
      </c>
      <c r="H325" s="14"/>
      <c r="I325" s="13"/>
      <c r="J325" s="8" t="s">
        <v>77</v>
      </c>
      <c r="K325" s="8"/>
      <c r="L325" s="8"/>
      <c r="M325" s="8" t="str">
        <f>IF(C325="Caixa","-",VLOOKUP(J325,[1]Estrutura!C:E,3,FALSE))</f>
        <v>4.3</v>
      </c>
      <c r="N325" s="8"/>
      <c r="O325" s="7">
        <f t="shared" si="16"/>
        <v>25</v>
      </c>
      <c r="P325" s="7">
        <f t="shared" si="17"/>
        <v>6</v>
      </c>
      <c r="Q325" s="7">
        <f t="shared" si="18"/>
        <v>2026</v>
      </c>
      <c r="R325" s="6">
        <f t="shared" si="19"/>
        <v>-702.21</v>
      </c>
      <c r="S325" s="16">
        <v>46198</v>
      </c>
    </row>
    <row r="326" spans="1:19">
      <c r="A326" s="12">
        <v>46198</v>
      </c>
      <c r="B326" s="7" t="s">
        <v>14</v>
      </c>
      <c r="C326" s="7" t="s">
        <v>9</v>
      </c>
      <c r="D326" s="11"/>
      <c r="E326" s="11">
        <v>82.9</v>
      </c>
      <c r="F326" s="11" t="s">
        <v>24</v>
      </c>
      <c r="G326" s="11" t="s">
        <v>316</v>
      </c>
      <c r="H326" s="10"/>
      <c r="I326" s="9"/>
      <c r="J326" s="7" t="s">
        <v>77</v>
      </c>
      <c r="K326" s="7"/>
      <c r="L326" s="7"/>
      <c r="M326" s="7" t="str">
        <f>IF(C326="Caixa","-",VLOOKUP(J326,[1]Estrutura!C:E,3,FALSE))</f>
        <v>4.3</v>
      </c>
      <c r="N326" s="7"/>
      <c r="O326" s="7">
        <f t="shared" si="16"/>
        <v>25</v>
      </c>
      <c r="P326" s="7">
        <f t="shared" si="17"/>
        <v>6</v>
      </c>
      <c r="Q326" s="7">
        <f t="shared" si="18"/>
        <v>2026</v>
      </c>
      <c r="R326" s="6">
        <f t="shared" si="19"/>
        <v>-82.9</v>
      </c>
      <c r="S326" s="12">
        <v>46198</v>
      </c>
    </row>
    <row r="327" spans="1:19">
      <c r="A327" s="16">
        <v>46198</v>
      </c>
      <c r="B327" s="8" t="s">
        <v>14</v>
      </c>
      <c r="C327" s="8" t="s">
        <v>9</v>
      </c>
      <c r="D327" s="15"/>
      <c r="E327" s="15">
        <v>731.55</v>
      </c>
      <c r="F327" s="15" t="s">
        <v>97</v>
      </c>
      <c r="G327" s="15" t="s">
        <v>706</v>
      </c>
      <c r="H327" s="14"/>
      <c r="I327" s="13"/>
      <c r="J327" s="8" t="s">
        <v>31</v>
      </c>
      <c r="K327" s="8"/>
      <c r="L327" s="8"/>
      <c r="M327" s="8" t="str">
        <f>IF(C327="Caixa","-",VLOOKUP(J327,[1]Estrutura!C:E,3,FALSE))</f>
        <v>2.1</v>
      </c>
      <c r="N327" s="8"/>
      <c r="O327" s="7">
        <f t="shared" si="16"/>
        <v>25</v>
      </c>
      <c r="P327" s="7">
        <f t="shared" si="17"/>
        <v>6</v>
      </c>
      <c r="Q327" s="7">
        <f t="shared" si="18"/>
        <v>2026</v>
      </c>
      <c r="R327" s="6">
        <f t="shared" si="19"/>
        <v>-731.55</v>
      </c>
      <c r="S327" s="12">
        <v>46198</v>
      </c>
    </row>
    <row r="328" spans="1:19">
      <c r="A328" s="12">
        <v>46198</v>
      </c>
      <c r="B328" s="7" t="s">
        <v>14</v>
      </c>
      <c r="C328" s="7" t="s">
        <v>9</v>
      </c>
      <c r="D328" s="11"/>
      <c r="E328" s="15">
        <v>1442</v>
      </c>
      <c r="F328" s="11" t="s">
        <v>109</v>
      </c>
      <c r="G328" s="8" t="s">
        <v>75</v>
      </c>
      <c r="H328" s="10"/>
      <c r="I328" s="9"/>
      <c r="J328" s="7" t="s">
        <v>74</v>
      </c>
      <c r="K328" s="7"/>
      <c r="L328" s="7"/>
      <c r="M328" s="7" t="str">
        <f>IF(C328="Caixa","-",VLOOKUP(J328,[1]Estrutura!C:E,3,FALSE))</f>
        <v>4.1</v>
      </c>
      <c r="N328" s="7"/>
      <c r="O328" s="7">
        <f t="shared" si="16"/>
        <v>25</v>
      </c>
      <c r="P328" s="7">
        <f t="shared" si="17"/>
        <v>6</v>
      </c>
      <c r="Q328" s="7">
        <f t="shared" si="18"/>
        <v>2026</v>
      </c>
      <c r="R328" s="6">
        <f t="shared" si="19"/>
        <v>-1442</v>
      </c>
      <c r="S328" s="16">
        <v>46198</v>
      </c>
    </row>
    <row r="329" spans="1:19">
      <c r="A329" s="12">
        <v>46198</v>
      </c>
      <c r="B329" s="8" t="s">
        <v>14</v>
      </c>
      <c r="C329" s="8" t="s">
        <v>9</v>
      </c>
      <c r="D329" s="15"/>
      <c r="E329" s="15">
        <v>5000</v>
      </c>
      <c r="F329" s="15"/>
      <c r="G329" s="8" t="s">
        <v>61</v>
      </c>
      <c r="H329" s="8"/>
      <c r="I329" s="17"/>
      <c r="J329" s="7" t="s">
        <v>35</v>
      </c>
      <c r="K329" s="8"/>
      <c r="L329" s="8"/>
      <c r="M329" s="8" t="str">
        <f>IF(C329="Caixa","-",VLOOKUP(J329,[1]Estrutura!C:E,3,FALSE))</f>
        <v>4.1</v>
      </c>
      <c r="N329" s="8"/>
      <c r="O329" s="7">
        <f t="shared" si="16"/>
        <v>25</v>
      </c>
      <c r="P329" s="7">
        <f t="shared" si="17"/>
        <v>6</v>
      </c>
      <c r="Q329" s="7">
        <f t="shared" si="18"/>
        <v>2026</v>
      </c>
      <c r="R329" s="6">
        <f t="shared" si="19"/>
        <v>-5000</v>
      </c>
      <c r="S329" s="12">
        <v>46198</v>
      </c>
    </row>
    <row r="330" spans="1:19">
      <c r="A330" s="16">
        <v>46198</v>
      </c>
      <c r="B330" s="8" t="s">
        <v>14</v>
      </c>
      <c r="C330" s="8" t="s">
        <v>9</v>
      </c>
      <c r="D330" s="15"/>
      <c r="E330" s="15">
        <v>4978</v>
      </c>
      <c r="F330" s="15" t="s">
        <v>50</v>
      </c>
      <c r="G330" s="8" t="s">
        <v>70</v>
      </c>
      <c r="H330" s="8"/>
      <c r="I330" s="17"/>
      <c r="J330" s="7" t="s">
        <v>35</v>
      </c>
      <c r="K330" s="8"/>
      <c r="L330" s="7"/>
      <c r="M330" s="7" t="str">
        <f>IF(C330="Caixa","-",VLOOKUP(J330,[1]Estrutura!C:E,3,FALSE))</f>
        <v>4.1</v>
      </c>
      <c r="N330" s="7"/>
      <c r="O330" s="7">
        <f t="shared" si="16"/>
        <v>25</v>
      </c>
      <c r="P330" s="7">
        <f t="shared" si="17"/>
        <v>6</v>
      </c>
      <c r="Q330" s="7">
        <f t="shared" si="18"/>
        <v>2026</v>
      </c>
      <c r="R330" s="6">
        <f t="shared" si="19"/>
        <v>-4978</v>
      </c>
      <c r="S330" s="16">
        <v>46198</v>
      </c>
    </row>
    <row r="331" spans="1:19">
      <c r="A331" s="16">
        <v>46198</v>
      </c>
      <c r="B331" s="8" t="s">
        <v>14</v>
      </c>
      <c r="C331" s="8" t="s">
        <v>9</v>
      </c>
      <c r="D331" s="15"/>
      <c r="E331" s="15">
        <v>2671</v>
      </c>
      <c r="F331" s="15" t="s">
        <v>51</v>
      </c>
      <c r="G331" s="8" t="s">
        <v>711</v>
      </c>
      <c r="H331" s="14"/>
      <c r="I331" s="13"/>
      <c r="J331" s="7" t="s">
        <v>35</v>
      </c>
      <c r="K331" s="8"/>
      <c r="L331" s="8"/>
      <c r="M331" s="8" t="str">
        <f>IF(C331="Caixa","-",VLOOKUP(J331,[1]Estrutura!C:E,3,FALSE))</f>
        <v>4.1</v>
      </c>
      <c r="N331" s="8"/>
      <c r="O331" s="7">
        <f t="shared" si="16"/>
        <v>25</v>
      </c>
      <c r="P331" s="7">
        <f t="shared" si="17"/>
        <v>6</v>
      </c>
      <c r="Q331" s="7">
        <f t="shared" si="18"/>
        <v>2026</v>
      </c>
      <c r="R331" s="6">
        <f t="shared" si="19"/>
        <v>-2671</v>
      </c>
      <c r="S331" s="16">
        <v>46198</v>
      </c>
    </row>
    <row r="332" spans="1:19">
      <c r="A332" s="12">
        <v>46198</v>
      </c>
      <c r="B332" s="7" t="s">
        <v>14</v>
      </c>
      <c r="C332" s="7" t="s">
        <v>9</v>
      </c>
      <c r="D332" s="11"/>
      <c r="E332" s="11">
        <v>8000</v>
      </c>
      <c r="F332" s="11" t="s">
        <v>49</v>
      </c>
      <c r="G332" s="7" t="s">
        <v>711</v>
      </c>
      <c r="H332" s="10"/>
      <c r="I332" s="9"/>
      <c r="J332" s="7" t="s">
        <v>35</v>
      </c>
      <c r="K332" s="7"/>
      <c r="L332" s="7"/>
      <c r="M332" s="7" t="str">
        <f>IF(C332="Caixa","-",VLOOKUP(J332,[1]Estrutura!C:E,3,FALSE))</f>
        <v>4.1</v>
      </c>
      <c r="N332" s="7"/>
      <c r="O332" s="7">
        <f t="shared" si="16"/>
        <v>25</v>
      </c>
      <c r="P332" s="7">
        <f t="shared" si="17"/>
        <v>6</v>
      </c>
      <c r="Q332" s="7">
        <f t="shared" si="18"/>
        <v>2026</v>
      </c>
      <c r="R332" s="6">
        <f t="shared" si="19"/>
        <v>-8000</v>
      </c>
      <c r="S332" s="12">
        <v>46198</v>
      </c>
    </row>
    <row r="333" spans="1:19">
      <c r="A333" s="12">
        <v>46198</v>
      </c>
      <c r="B333" s="7" t="s">
        <v>14</v>
      </c>
      <c r="C333" s="7" t="s">
        <v>9</v>
      </c>
      <c r="D333" s="11"/>
      <c r="E333" s="11">
        <v>8391</v>
      </c>
      <c r="F333" s="11" t="s">
        <v>85</v>
      </c>
      <c r="G333" s="8" t="s">
        <v>84</v>
      </c>
      <c r="H333" s="10"/>
      <c r="I333" s="9"/>
      <c r="J333" s="7" t="s">
        <v>83</v>
      </c>
      <c r="K333" s="7"/>
      <c r="L333" s="8"/>
      <c r="M333" s="8" t="str">
        <f>IF(C333="Caixa","-",VLOOKUP(J333,[1]Estrutura!C:E,3,FALSE))</f>
        <v>4.1</v>
      </c>
      <c r="N333" s="8"/>
      <c r="O333" s="7">
        <f t="shared" si="16"/>
        <v>25</v>
      </c>
      <c r="P333" s="7">
        <f t="shared" si="17"/>
        <v>6</v>
      </c>
      <c r="Q333" s="7">
        <f t="shared" si="18"/>
        <v>2026</v>
      </c>
      <c r="R333" s="6">
        <f t="shared" si="19"/>
        <v>-8391</v>
      </c>
      <c r="S333" s="12">
        <v>46198</v>
      </c>
    </row>
    <row r="334" spans="1:19">
      <c r="A334" s="16">
        <v>46198</v>
      </c>
      <c r="B334" s="8" t="s">
        <v>14</v>
      </c>
      <c r="C334" s="8" t="s">
        <v>9</v>
      </c>
      <c r="D334" s="15"/>
      <c r="E334" s="15">
        <v>8391</v>
      </c>
      <c r="F334" s="15" t="s">
        <v>94</v>
      </c>
      <c r="G334" s="8" t="s">
        <v>84</v>
      </c>
      <c r="H334" s="14"/>
      <c r="I334" s="13"/>
      <c r="J334" s="8" t="s">
        <v>83</v>
      </c>
      <c r="K334" s="8"/>
      <c r="L334" s="7"/>
      <c r="M334" s="7" t="str">
        <f>IF(C334="Caixa","-",VLOOKUP(J334,[1]Estrutura!C:E,3,FALSE))</f>
        <v>4.1</v>
      </c>
      <c r="N334" s="7"/>
      <c r="O334" s="7">
        <f t="shared" ref="O334:O397" si="20">DAY(A334)</f>
        <v>25</v>
      </c>
      <c r="P334" s="7">
        <f t="shared" ref="P334:P397" si="21">MONTH(A334)</f>
        <v>6</v>
      </c>
      <c r="Q334" s="7">
        <f t="shared" ref="Q334:Q397" si="22">YEAR(A334)</f>
        <v>2026</v>
      </c>
      <c r="R334" s="6">
        <f t="shared" ref="R334:R397" si="23">D334-E334</f>
        <v>-8391</v>
      </c>
      <c r="S334" s="35">
        <v>46198</v>
      </c>
    </row>
    <row r="335" spans="1:19">
      <c r="A335" s="12">
        <v>46198</v>
      </c>
      <c r="B335" s="7" t="s">
        <v>14</v>
      </c>
      <c r="C335" s="7" t="s">
        <v>9</v>
      </c>
      <c r="D335" s="11"/>
      <c r="E335" s="15">
        <v>800</v>
      </c>
      <c r="F335" s="11" t="s">
        <v>51</v>
      </c>
      <c r="G335" s="8" t="s">
        <v>112</v>
      </c>
      <c r="H335" s="10"/>
      <c r="I335" s="9"/>
      <c r="J335" s="7" t="s">
        <v>110</v>
      </c>
      <c r="K335" s="7"/>
      <c r="L335" s="8"/>
      <c r="M335" s="8" t="str">
        <f>IF(C335="Caixa","-",VLOOKUP(J335,[1]Estrutura!C:E,3,FALSE))</f>
        <v>4.1</v>
      </c>
      <c r="N335" s="8"/>
      <c r="O335" s="7">
        <f t="shared" si="20"/>
        <v>25</v>
      </c>
      <c r="P335" s="7">
        <f t="shared" si="21"/>
        <v>6</v>
      </c>
      <c r="Q335" s="7">
        <f t="shared" si="22"/>
        <v>2026</v>
      </c>
      <c r="R335" s="6">
        <f t="shared" si="23"/>
        <v>-800</v>
      </c>
      <c r="S335" s="35">
        <v>46198</v>
      </c>
    </row>
    <row r="336" spans="1:19">
      <c r="A336" s="16">
        <v>46198</v>
      </c>
      <c r="B336" s="8" t="s">
        <v>14</v>
      </c>
      <c r="C336" s="8" t="s">
        <v>9</v>
      </c>
      <c r="D336" s="15"/>
      <c r="E336" s="15">
        <v>724.5</v>
      </c>
      <c r="F336" s="15" t="s">
        <v>50</v>
      </c>
      <c r="G336" s="15" t="s">
        <v>710</v>
      </c>
      <c r="H336" s="14"/>
      <c r="I336" s="13"/>
      <c r="J336" s="8" t="s">
        <v>110</v>
      </c>
      <c r="K336" s="8"/>
      <c r="L336" s="7"/>
      <c r="M336" s="7" t="str">
        <f>IF(C336="Caixa","-",VLOOKUP(J336,[1]Estrutura!C:E,3,FALSE))</f>
        <v>4.1</v>
      </c>
      <c r="N336" s="7"/>
      <c r="O336" s="7">
        <f t="shared" si="20"/>
        <v>25</v>
      </c>
      <c r="P336" s="7">
        <f t="shared" si="21"/>
        <v>6</v>
      </c>
      <c r="Q336" s="7">
        <f t="shared" si="22"/>
        <v>2026</v>
      </c>
      <c r="R336" s="6">
        <f t="shared" si="23"/>
        <v>-724.5</v>
      </c>
      <c r="S336" s="35">
        <v>46198</v>
      </c>
    </row>
    <row r="337" spans="1:19">
      <c r="A337" s="16">
        <v>46198</v>
      </c>
      <c r="B337" s="8" t="s">
        <v>14</v>
      </c>
      <c r="C337" s="8" t="s">
        <v>9</v>
      </c>
      <c r="D337" s="15"/>
      <c r="E337" s="11">
        <v>470.8</v>
      </c>
      <c r="F337" s="15" t="s">
        <v>51</v>
      </c>
      <c r="G337" s="7" t="s">
        <v>93</v>
      </c>
      <c r="H337" s="14"/>
      <c r="I337" s="13"/>
      <c r="J337" s="8" t="s">
        <v>89</v>
      </c>
      <c r="K337" s="8"/>
      <c r="L337" s="8"/>
      <c r="M337" s="8" t="str">
        <f>IF(C337="Caixa","-",VLOOKUP(J337,[1]Estrutura!C:E,3,FALSE))</f>
        <v>4.1</v>
      </c>
      <c r="N337" s="8"/>
      <c r="O337" s="7">
        <f t="shared" si="20"/>
        <v>25</v>
      </c>
      <c r="P337" s="7">
        <f t="shared" si="21"/>
        <v>6</v>
      </c>
      <c r="Q337" s="7">
        <f t="shared" si="22"/>
        <v>2026</v>
      </c>
      <c r="R337" s="6">
        <f t="shared" si="23"/>
        <v>-470.8</v>
      </c>
      <c r="S337" s="12">
        <v>46198</v>
      </c>
    </row>
    <row r="338" spans="1:19">
      <c r="A338" s="12">
        <v>46198</v>
      </c>
      <c r="B338" s="7" t="s">
        <v>14</v>
      </c>
      <c r="C338" s="7" t="s">
        <v>9</v>
      </c>
      <c r="D338" s="11"/>
      <c r="E338" s="11">
        <v>470.8</v>
      </c>
      <c r="F338" s="11" t="s">
        <v>50</v>
      </c>
      <c r="G338" s="7" t="s">
        <v>93</v>
      </c>
      <c r="H338" s="10"/>
      <c r="I338" s="9"/>
      <c r="J338" s="7" t="s">
        <v>89</v>
      </c>
      <c r="K338" s="7"/>
      <c r="L338" s="7"/>
      <c r="M338" s="7" t="str">
        <f>IF(C338="Caixa","-",VLOOKUP(J338,[1]Estrutura!C:E,3,FALSE))</f>
        <v>4.1</v>
      </c>
      <c r="N338" s="7"/>
      <c r="O338" s="7">
        <f t="shared" si="20"/>
        <v>25</v>
      </c>
      <c r="P338" s="7">
        <f t="shared" si="21"/>
        <v>6</v>
      </c>
      <c r="Q338" s="7">
        <f t="shared" si="22"/>
        <v>2026</v>
      </c>
      <c r="R338" s="6">
        <f t="shared" si="23"/>
        <v>-470.8</v>
      </c>
      <c r="S338" s="16">
        <v>46198</v>
      </c>
    </row>
    <row r="339" spans="1:19">
      <c r="A339" s="12">
        <v>46198</v>
      </c>
      <c r="B339" s="7" t="s">
        <v>26</v>
      </c>
      <c r="C339" s="7" t="s">
        <v>6</v>
      </c>
      <c r="D339" s="11"/>
      <c r="E339" s="15">
        <v>8500</v>
      </c>
      <c r="F339" s="11" t="s">
        <v>263</v>
      </c>
      <c r="G339" s="7" t="s">
        <v>262</v>
      </c>
      <c r="H339" s="10"/>
      <c r="I339" s="9"/>
      <c r="J339" s="7" t="s">
        <v>116</v>
      </c>
      <c r="K339" s="7" t="s">
        <v>21</v>
      </c>
      <c r="L339" s="8"/>
      <c r="M339" s="8" t="str">
        <f>IF(C339="Caixa","-",VLOOKUP(J339,[1]Estrutura!C:E,3,FALSE))</f>
        <v>4.12</v>
      </c>
      <c r="N339" s="8"/>
      <c r="O339" s="7">
        <f t="shared" si="20"/>
        <v>25</v>
      </c>
      <c r="P339" s="7">
        <f t="shared" si="21"/>
        <v>6</v>
      </c>
      <c r="Q339" s="7">
        <f t="shared" si="22"/>
        <v>2026</v>
      </c>
      <c r="R339" s="6">
        <f t="shared" si="23"/>
        <v>-8500</v>
      </c>
      <c r="S339" s="16">
        <v>46198</v>
      </c>
    </row>
    <row r="340" spans="1:19">
      <c r="A340" s="35">
        <v>46198</v>
      </c>
      <c r="B340" s="7" t="s">
        <v>26</v>
      </c>
      <c r="C340" s="7" t="s">
        <v>6</v>
      </c>
      <c r="D340" s="11"/>
      <c r="E340" s="11">
        <v>1000</v>
      </c>
      <c r="F340" s="11" t="s">
        <v>60</v>
      </c>
      <c r="G340" s="7" t="s">
        <v>57</v>
      </c>
      <c r="H340" s="10"/>
      <c r="I340" s="9"/>
      <c r="J340" s="7" t="s">
        <v>56</v>
      </c>
      <c r="K340" s="7" t="s">
        <v>21</v>
      </c>
      <c r="L340" s="7"/>
      <c r="M340" s="7" t="str">
        <f>IF(C340="Caixa","-",VLOOKUP(J340,[1]Estrutura!C:E,3,FALSE))</f>
        <v>6.1</v>
      </c>
      <c r="N340" s="7"/>
      <c r="O340" s="7">
        <f t="shared" si="20"/>
        <v>25</v>
      </c>
      <c r="P340" s="7">
        <f t="shared" si="21"/>
        <v>6</v>
      </c>
      <c r="Q340" s="7">
        <f t="shared" si="22"/>
        <v>2026</v>
      </c>
      <c r="R340" s="6">
        <f t="shared" si="23"/>
        <v>-1000</v>
      </c>
      <c r="S340" s="12">
        <v>46198</v>
      </c>
    </row>
    <row r="341" spans="1:19">
      <c r="A341" s="35">
        <v>46198</v>
      </c>
      <c r="B341" s="8" t="s">
        <v>26</v>
      </c>
      <c r="C341" s="8" t="s">
        <v>6</v>
      </c>
      <c r="D341" s="15"/>
      <c r="E341" s="15">
        <v>1000</v>
      </c>
      <c r="F341" s="15" t="s">
        <v>59</v>
      </c>
      <c r="G341" s="8" t="s">
        <v>57</v>
      </c>
      <c r="H341" s="14"/>
      <c r="I341" s="13"/>
      <c r="J341" s="8" t="s">
        <v>56</v>
      </c>
      <c r="K341" s="8" t="s">
        <v>21</v>
      </c>
      <c r="L341" s="8"/>
      <c r="M341" s="8" t="str">
        <f>IF(C341="Caixa","-",VLOOKUP(J341,[1]Estrutura!C:E,3,FALSE))</f>
        <v>6.1</v>
      </c>
      <c r="N341" s="8"/>
      <c r="O341" s="7">
        <f t="shared" si="20"/>
        <v>25</v>
      </c>
      <c r="P341" s="7">
        <f t="shared" si="21"/>
        <v>6</v>
      </c>
      <c r="Q341" s="7">
        <f t="shared" si="22"/>
        <v>2026</v>
      </c>
      <c r="R341" s="6">
        <f t="shared" si="23"/>
        <v>-1000</v>
      </c>
      <c r="S341" s="12">
        <v>46198</v>
      </c>
    </row>
    <row r="342" spans="1:19">
      <c r="A342" s="35">
        <v>46198</v>
      </c>
      <c r="B342" s="7" t="s">
        <v>26</v>
      </c>
      <c r="C342" s="7" t="s">
        <v>6</v>
      </c>
      <c r="D342" s="11"/>
      <c r="E342" s="11">
        <v>1000</v>
      </c>
      <c r="F342" s="11" t="s">
        <v>58</v>
      </c>
      <c r="G342" s="7" t="s">
        <v>57</v>
      </c>
      <c r="H342" s="10"/>
      <c r="I342" s="9"/>
      <c r="J342" s="7" t="s">
        <v>56</v>
      </c>
      <c r="K342" s="7" t="s">
        <v>21</v>
      </c>
      <c r="L342" s="7"/>
      <c r="M342" s="7" t="str">
        <f>IF(C342="Caixa","-",VLOOKUP(J342,[1]Estrutura!C:E,3,FALSE))</f>
        <v>6.1</v>
      </c>
      <c r="N342" s="7"/>
      <c r="O342" s="7">
        <f t="shared" si="20"/>
        <v>25</v>
      </c>
      <c r="P342" s="7">
        <f t="shared" si="21"/>
        <v>6</v>
      </c>
      <c r="Q342" s="7">
        <f t="shared" si="22"/>
        <v>2026</v>
      </c>
      <c r="R342" s="6">
        <f t="shared" si="23"/>
        <v>-1000</v>
      </c>
      <c r="S342" s="16">
        <v>46198</v>
      </c>
    </row>
    <row r="343" spans="1:19">
      <c r="A343" s="12">
        <v>46198</v>
      </c>
      <c r="B343" s="8" t="s">
        <v>26</v>
      </c>
      <c r="C343" s="8" t="s">
        <v>6</v>
      </c>
      <c r="D343" s="15"/>
      <c r="E343" s="15">
        <v>4050</v>
      </c>
      <c r="F343" s="15"/>
      <c r="G343" s="7" t="s">
        <v>55</v>
      </c>
      <c r="H343" s="10"/>
      <c r="I343" s="9"/>
      <c r="J343" s="7" t="s">
        <v>54</v>
      </c>
      <c r="K343" s="7" t="s">
        <v>34</v>
      </c>
      <c r="L343" s="8"/>
      <c r="M343" s="8" t="str">
        <f>IF(C343="Caixa","-",VLOOKUP(J343,[1]Estrutura!C:E,3,FALSE))</f>
        <v>4.11</v>
      </c>
      <c r="N343" s="8"/>
      <c r="O343" s="7">
        <f t="shared" si="20"/>
        <v>25</v>
      </c>
      <c r="P343" s="7">
        <f t="shared" si="21"/>
        <v>6</v>
      </c>
      <c r="Q343" s="7">
        <f t="shared" si="22"/>
        <v>2026</v>
      </c>
      <c r="R343" s="6">
        <f t="shared" si="23"/>
        <v>-4050</v>
      </c>
      <c r="S343" s="12">
        <v>46198</v>
      </c>
    </row>
    <row r="344" spans="1:19">
      <c r="A344" s="16">
        <v>46198</v>
      </c>
      <c r="B344" s="8" t="s">
        <v>26</v>
      </c>
      <c r="C344" s="8" t="s">
        <v>6</v>
      </c>
      <c r="D344" s="15"/>
      <c r="E344" s="11">
        <v>2174</v>
      </c>
      <c r="F344" s="15" t="s">
        <v>71</v>
      </c>
      <c r="G344" s="11" t="s">
        <v>70</v>
      </c>
      <c r="H344" s="14"/>
      <c r="I344" s="13"/>
      <c r="J344" s="7" t="s">
        <v>35</v>
      </c>
      <c r="K344" s="8" t="s">
        <v>40</v>
      </c>
      <c r="L344" s="7"/>
      <c r="M344" s="7" t="str">
        <f>IF(C344="Caixa","-",VLOOKUP(J344,[1]Estrutura!C:E,3,FALSE))</f>
        <v>4.1</v>
      </c>
      <c r="N344" s="7"/>
      <c r="O344" s="7">
        <f t="shared" si="20"/>
        <v>25</v>
      </c>
      <c r="P344" s="7">
        <f t="shared" si="21"/>
        <v>6</v>
      </c>
      <c r="Q344" s="7">
        <f t="shared" si="22"/>
        <v>2026</v>
      </c>
      <c r="R344" s="6">
        <f t="shared" si="23"/>
        <v>-2174</v>
      </c>
      <c r="S344" s="16">
        <v>46198</v>
      </c>
    </row>
    <row r="345" spans="1:19">
      <c r="A345" s="16">
        <v>46198</v>
      </c>
      <c r="B345" s="7" t="s">
        <v>26</v>
      </c>
      <c r="C345" s="7" t="s">
        <v>6</v>
      </c>
      <c r="D345" s="15"/>
      <c r="E345" s="11">
        <v>2805</v>
      </c>
      <c r="F345" s="15" t="s">
        <v>37</v>
      </c>
      <c r="G345" s="7" t="s">
        <v>70</v>
      </c>
      <c r="H345" s="14"/>
      <c r="I345" s="13"/>
      <c r="J345" s="7" t="s">
        <v>35</v>
      </c>
      <c r="K345" s="18" t="s">
        <v>34</v>
      </c>
      <c r="L345" s="8"/>
      <c r="M345" s="8" t="str">
        <f>IF(C345="Caixa","-",VLOOKUP(J345,[1]Estrutura!C:E,3,FALSE))</f>
        <v>4.1</v>
      </c>
      <c r="N345" s="8"/>
      <c r="O345" s="7">
        <f t="shared" si="20"/>
        <v>25</v>
      </c>
      <c r="P345" s="7">
        <f t="shared" si="21"/>
        <v>6</v>
      </c>
      <c r="Q345" s="7">
        <f t="shared" si="22"/>
        <v>2026</v>
      </c>
      <c r="R345" s="6">
        <f t="shared" si="23"/>
        <v>-2805</v>
      </c>
      <c r="S345" s="12">
        <v>46198</v>
      </c>
    </row>
    <row r="346" spans="1:19">
      <c r="A346" s="12">
        <v>46198</v>
      </c>
      <c r="B346" s="7" t="s">
        <v>26</v>
      </c>
      <c r="C346" s="7" t="s">
        <v>6</v>
      </c>
      <c r="D346" s="11"/>
      <c r="E346" s="15">
        <v>2900</v>
      </c>
      <c r="F346" s="15" t="s">
        <v>47</v>
      </c>
      <c r="G346" s="7" t="s">
        <v>709</v>
      </c>
      <c r="H346" s="10"/>
      <c r="I346" s="9"/>
      <c r="J346" s="7" t="s">
        <v>35</v>
      </c>
      <c r="K346" s="7" t="s">
        <v>21</v>
      </c>
      <c r="L346" s="7"/>
      <c r="M346" s="7" t="str">
        <f>IF(C346="Caixa","-",VLOOKUP(J346,[1]Estrutura!C:E,3,FALSE))</f>
        <v>4.1</v>
      </c>
      <c r="N346" s="7"/>
      <c r="O346" s="7">
        <f t="shared" si="20"/>
        <v>25</v>
      </c>
      <c r="P346" s="7">
        <f t="shared" si="21"/>
        <v>6</v>
      </c>
      <c r="Q346" s="7">
        <f t="shared" si="22"/>
        <v>2026</v>
      </c>
      <c r="R346" s="6">
        <f t="shared" si="23"/>
        <v>-2900</v>
      </c>
      <c r="S346" s="12">
        <v>46198</v>
      </c>
    </row>
    <row r="347" spans="1:19">
      <c r="A347" s="12">
        <v>46198</v>
      </c>
      <c r="B347" s="7" t="s">
        <v>26</v>
      </c>
      <c r="C347" s="7" t="s">
        <v>6</v>
      </c>
      <c r="D347" s="11"/>
      <c r="E347" s="11">
        <v>1835</v>
      </c>
      <c r="F347" s="11" t="s">
        <v>43</v>
      </c>
      <c r="G347" s="7" t="s">
        <v>709</v>
      </c>
      <c r="H347" s="10"/>
      <c r="I347" s="9"/>
      <c r="J347" s="7" t="s">
        <v>35</v>
      </c>
      <c r="K347" s="8" t="s">
        <v>40</v>
      </c>
      <c r="L347" s="8"/>
      <c r="M347" s="8" t="str">
        <f>IF(C347="Caixa","-",VLOOKUP(J347,[1]Estrutura!C:E,3,FALSE))</f>
        <v>4.1</v>
      </c>
      <c r="N347" s="8"/>
      <c r="O347" s="7">
        <f t="shared" si="20"/>
        <v>25</v>
      </c>
      <c r="P347" s="7">
        <f t="shared" si="21"/>
        <v>6</v>
      </c>
      <c r="Q347" s="7">
        <f t="shared" si="22"/>
        <v>2026</v>
      </c>
      <c r="R347" s="6">
        <f t="shared" si="23"/>
        <v>-1835</v>
      </c>
      <c r="S347" s="16">
        <v>46198</v>
      </c>
    </row>
    <row r="348" spans="1:19">
      <c r="A348" s="16">
        <v>46198</v>
      </c>
      <c r="B348" s="8" t="s">
        <v>26</v>
      </c>
      <c r="C348" s="8" t="s">
        <v>6</v>
      </c>
      <c r="D348" s="15"/>
      <c r="E348" s="11">
        <v>2596</v>
      </c>
      <c r="F348" s="15" t="s">
        <v>45</v>
      </c>
      <c r="G348" s="8" t="s">
        <v>709</v>
      </c>
      <c r="H348" s="14"/>
      <c r="I348" s="13"/>
      <c r="J348" s="7" t="s">
        <v>35</v>
      </c>
      <c r="K348" s="8" t="s">
        <v>44</v>
      </c>
      <c r="L348" s="7"/>
      <c r="M348" s="7" t="str">
        <f>IF(C348="Caixa","-",VLOOKUP(J348,[1]Estrutura!C:E,3,FALSE))</f>
        <v>4.1</v>
      </c>
      <c r="N348" s="7"/>
      <c r="O348" s="7">
        <f t="shared" si="20"/>
        <v>25</v>
      </c>
      <c r="P348" s="7">
        <f t="shared" si="21"/>
        <v>6</v>
      </c>
      <c r="Q348" s="7">
        <f t="shared" si="22"/>
        <v>2026</v>
      </c>
      <c r="R348" s="6">
        <f t="shared" si="23"/>
        <v>-2596</v>
      </c>
      <c r="S348" s="12">
        <v>46198</v>
      </c>
    </row>
    <row r="349" spans="1:19">
      <c r="A349" s="12">
        <v>46198</v>
      </c>
      <c r="B349" s="7" t="s">
        <v>26</v>
      </c>
      <c r="C349" s="7" t="s">
        <v>6</v>
      </c>
      <c r="D349" s="11"/>
      <c r="E349" s="11">
        <v>1943</v>
      </c>
      <c r="F349" s="11" t="s">
        <v>48</v>
      </c>
      <c r="G349" s="7" t="s">
        <v>709</v>
      </c>
      <c r="H349" s="10"/>
      <c r="I349" s="9"/>
      <c r="J349" s="7" t="s">
        <v>35</v>
      </c>
      <c r="K349" s="8" t="s">
        <v>40</v>
      </c>
      <c r="L349" s="8"/>
      <c r="M349" s="8" t="str">
        <f>IF(C349="Caixa","-",VLOOKUP(J349,[1]Estrutura!C:E,3,FALSE))</f>
        <v>4.1</v>
      </c>
      <c r="N349" s="8"/>
      <c r="O349" s="7">
        <f t="shared" si="20"/>
        <v>25</v>
      </c>
      <c r="P349" s="7">
        <f t="shared" si="21"/>
        <v>6</v>
      </c>
      <c r="Q349" s="7">
        <f t="shared" si="22"/>
        <v>2026</v>
      </c>
      <c r="R349" s="6">
        <f t="shared" si="23"/>
        <v>-1943</v>
      </c>
      <c r="S349" s="16">
        <v>46198</v>
      </c>
    </row>
    <row r="350" spans="1:19">
      <c r="A350" s="16">
        <v>46198</v>
      </c>
      <c r="B350" s="8" t="s">
        <v>26</v>
      </c>
      <c r="C350" s="8" t="s">
        <v>6</v>
      </c>
      <c r="D350" s="15"/>
      <c r="E350" s="15">
        <v>2860</v>
      </c>
      <c r="F350" s="15" t="s">
        <v>46</v>
      </c>
      <c r="G350" s="8" t="s">
        <v>709</v>
      </c>
      <c r="H350" s="14"/>
      <c r="I350" s="13"/>
      <c r="J350" s="7" t="s">
        <v>35</v>
      </c>
      <c r="K350" s="18" t="s">
        <v>34</v>
      </c>
      <c r="L350" s="7"/>
      <c r="M350" s="7" t="str">
        <f>IF(C350="Caixa","-",VLOOKUP(J350,[1]Estrutura!C:E,3,FALSE))</f>
        <v>4.1</v>
      </c>
      <c r="N350" s="7"/>
      <c r="O350" s="7">
        <f t="shared" si="20"/>
        <v>25</v>
      </c>
      <c r="P350" s="7">
        <f t="shared" si="21"/>
        <v>6</v>
      </c>
      <c r="Q350" s="7">
        <f t="shared" si="22"/>
        <v>2026</v>
      </c>
      <c r="R350" s="6">
        <f t="shared" si="23"/>
        <v>-2860</v>
      </c>
      <c r="S350" s="16">
        <v>46198</v>
      </c>
    </row>
    <row r="351" spans="1:19">
      <c r="A351" s="12">
        <v>46198</v>
      </c>
      <c r="B351" s="7" t="s">
        <v>26</v>
      </c>
      <c r="C351" s="7" t="s">
        <v>6</v>
      </c>
      <c r="D351" s="11"/>
      <c r="E351" s="15">
        <v>1943</v>
      </c>
      <c r="F351" s="11" t="s">
        <v>38</v>
      </c>
      <c r="G351" s="7" t="s">
        <v>709</v>
      </c>
      <c r="H351" s="10"/>
      <c r="I351" s="9"/>
      <c r="J351" s="7" t="s">
        <v>35</v>
      </c>
      <c r="K351" s="18" t="s">
        <v>34</v>
      </c>
      <c r="L351" s="8"/>
      <c r="M351" s="8" t="str">
        <f>IF(C351="Caixa","-",VLOOKUP(J351,[1]Estrutura!C:E,3,FALSE))</f>
        <v>4.1</v>
      </c>
      <c r="N351" s="8"/>
      <c r="O351" s="7">
        <f t="shared" si="20"/>
        <v>25</v>
      </c>
      <c r="P351" s="7">
        <f t="shared" si="21"/>
        <v>6</v>
      </c>
      <c r="Q351" s="7">
        <f t="shared" si="22"/>
        <v>2026</v>
      </c>
      <c r="R351" s="6">
        <f t="shared" si="23"/>
        <v>-1943</v>
      </c>
      <c r="S351" s="16">
        <v>46198</v>
      </c>
    </row>
    <row r="352" spans="1:19">
      <c r="A352" s="12">
        <v>46198</v>
      </c>
      <c r="B352" s="7" t="s">
        <v>26</v>
      </c>
      <c r="C352" s="7" t="s">
        <v>6</v>
      </c>
      <c r="D352" s="11"/>
      <c r="E352" s="11">
        <v>2211</v>
      </c>
      <c r="F352" s="11" t="s">
        <v>42</v>
      </c>
      <c r="G352" s="7" t="s">
        <v>709</v>
      </c>
      <c r="H352" s="10"/>
      <c r="I352" s="9"/>
      <c r="J352" s="7" t="s">
        <v>35</v>
      </c>
      <c r="K352" s="18" t="s">
        <v>34</v>
      </c>
      <c r="L352" s="7"/>
      <c r="M352" s="7" t="str">
        <f>IF(C352="Caixa","-",VLOOKUP(J352,[1]Estrutura!C:E,3,FALSE))</f>
        <v>4.1</v>
      </c>
      <c r="N352" s="7"/>
      <c r="O352" s="7">
        <f t="shared" si="20"/>
        <v>25</v>
      </c>
      <c r="P352" s="7">
        <f t="shared" si="21"/>
        <v>6</v>
      </c>
      <c r="Q352" s="7">
        <f t="shared" si="22"/>
        <v>2026</v>
      </c>
      <c r="R352" s="6">
        <f t="shared" si="23"/>
        <v>-2211</v>
      </c>
      <c r="S352" s="12">
        <v>46198</v>
      </c>
    </row>
    <row r="353" spans="1:19">
      <c r="A353" s="16">
        <v>46198</v>
      </c>
      <c r="B353" s="8" t="s">
        <v>26</v>
      </c>
      <c r="C353" s="8" t="s">
        <v>6</v>
      </c>
      <c r="D353" s="15"/>
      <c r="E353" s="15">
        <v>2211</v>
      </c>
      <c r="F353" s="15" t="s">
        <v>41</v>
      </c>
      <c r="G353" s="15" t="s">
        <v>709</v>
      </c>
      <c r="H353" s="14"/>
      <c r="I353" s="13"/>
      <c r="J353" s="7" t="s">
        <v>35</v>
      </c>
      <c r="K353" s="8" t="s">
        <v>40</v>
      </c>
      <c r="L353" s="8"/>
      <c r="M353" s="8" t="str">
        <f>IF(C353="Caixa","-",VLOOKUP(J353,[1]Estrutura!C:E,3,FALSE))</f>
        <v>4.1</v>
      </c>
      <c r="N353" s="8"/>
      <c r="O353" s="7">
        <f t="shared" si="20"/>
        <v>25</v>
      </c>
      <c r="P353" s="7">
        <f t="shared" si="21"/>
        <v>6</v>
      </c>
      <c r="Q353" s="7">
        <f t="shared" si="22"/>
        <v>2026</v>
      </c>
      <c r="R353" s="6">
        <f t="shared" si="23"/>
        <v>-2211</v>
      </c>
      <c r="S353" s="16">
        <v>46198</v>
      </c>
    </row>
    <row r="354" spans="1:19">
      <c r="A354" s="12">
        <v>46198</v>
      </c>
      <c r="B354" s="7" t="s">
        <v>26</v>
      </c>
      <c r="C354" s="7" t="s">
        <v>6</v>
      </c>
      <c r="D354" s="11"/>
      <c r="E354" s="11">
        <v>470.8</v>
      </c>
      <c r="F354" s="15" t="s">
        <v>47</v>
      </c>
      <c r="G354" s="7" t="s">
        <v>708</v>
      </c>
      <c r="H354" s="10"/>
      <c r="I354" s="9"/>
      <c r="J354" s="7" t="s">
        <v>89</v>
      </c>
      <c r="K354" s="7" t="s">
        <v>21</v>
      </c>
      <c r="L354" s="7"/>
      <c r="M354" s="7" t="str">
        <f>IF(C354="Caixa","-",VLOOKUP(J354,[1]Estrutura!C:E,3,FALSE))</f>
        <v>4.1</v>
      </c>
      <c r="N354" s="7"/>
      <c r="O354" s="7">
        <f t="shared" si="20"/>
        <v>25</v>
      </c>
      <c r="P354" s="7">
        <f t="shared" si="21"/>
        <v>6</v>
      </c>
      <c r="Q354" s="7">
        <f t="shared" si="22"/>
        <v>2026</v>
      </c>
      <c r="R354" s="6">
        <f t="shared" si="23"/>
        <v>-470.8</v>
      </c>
      <c r="S354" s="12">
        <v>46198</v>
      </c>
    </row>
    <row r="355" spans="1:19">
      <c r="A355" s="16">
        <v>46198</v>
      </c>
      <c r="B355" s="7" t="s">
        <v>7</v>
      </c>
      <c r="C355" s="7" t="s">
        <v>9</v>
      </c>
      <c r="D355" s="15">
        <v>1735.42</v>
      </c>
      <c r="E355" s="15"/>
      <c r="F355" s="15"/>
      <c r="G355" s="8" t="s">
        <v>11</v>
      </c>
      <c r="H355" s="8"/>
      <c r="I355" s="17"/>
      <c r="J355" s="8" t="s">
        <v>10</v>
      </c>
      <c r="K355" s="8"/>
      <c r="L355" s="8"/>
      <c r="M355" s="8" t="str">
        <f>IF(C355="Caixa","-",VLOOKUP(J355,[1]Estrutura!C:E,3,FALSE))</f>
        <v>1.1</v>
      </c>
      <c r="N355" s="8"/>
      <c r="O355" s="7">
        <f t="shared" si="20"/>
        <v>25</v>
      </c>
      <c r="P355" s="7">
        <f t="shared" si="21"/>
        <v>6</v>
      </c>
      <c r="Q355" s="7">
        <f t="shared" si="22"/>
        <v>2026</v>
      </c>
      <c r="R355" s="6">
        <f t="shared" si="23"/>
        <v>1735.42</v>
      </c>
      <c r="S355" s="16">
        <v>46198</v>
      </c>
    </row>
    <row r="356" spans="1:19">
      <c r="A356" s="16">
        <v>46198</v>
      </c>
      <c r="B356" s="8" t="s">
        <v>7</v>
      </c>
      <c r="C356" s="8" t="s">
        <v>9</v>
      </c>
      <c r="D356" s="15"/>
      <c r="E356" s="15">
        <v>6354.67</v>
      </c>
      <c r="F356" s="15" t="s">
        <v>97</v>
      </c>
      <c r="G356" s="8" t="s">
        <v>707</v>
      </c>
      <c r="H356" s="14"/>
      <c r="I356" s="13"/>
      <c r="J356" s="8" t="s">
        <v>33</v>
      </c>
      <c r="K356" s="8"/>
      <c r="L356" s="7"/>
      <c r="M356" s="7" t="str">
        <f>IF(C356="Caixa","-",VLOOKUP(J356,[1]Estrutura!C:E,3,FALSE))</f>
        <v>2.1</v>
      </c>
      <c r="N356" s="7"/>
      <c r="O356" s="7">
        <f t="shared" si="20"/>
        <v>25</v>
      </c>
      <c r="P356" s="7">
        <f t="shared" si="21"/>
        <v>6</v>
      </c>
      <c r="Q356" s="7">
        <f t="shared" si="22"/>
        <v>2026</v>
      </c>
      <c r="R356" s="6">
        <f t="shared" si="23"/>
        <v>-6354.67</v>
      </c>
      <c r="S356" s="23">
        <v>46199</v>
      </c>
    </row>
    <row r="357" spans="1:19">
      <c r="A357" s="16">
        <v>46198</v>
      </c>
      <c r="B357" s="8" t="s">
        <v>7</v>
      </c>
      <c r="C357" s="8" t="s">
        <v>9</v>
      </c>
      <c r="D357" s="15"/>
      <c r="E357" s="15">
        <v>1376.85</v>
      </c>
      <c r="F357" s="15" t="s">
        <v>97</v>
      </c>
      <c r="G357" s="8" t="s">
        <v>706</v>
      </c>
      <c r="H357" s="14"/>
      <c r="I357" s="13"/>
      <c r="J357" s="8" t="s">
        <v>31</v>
      </c>
      <c r="K357" s="8"/>
      <c r="L357" s="8"/>
      <c r="M357" s="8" t="str">
        <f>IF(C357="Caixa","-",VLOOKUP(J357,[1]Estrutura!C:E,3,FALSE))</f>
        <v>2.1</v>
      </c>
      <c r="N357" s="8"/>
      <c r="O357" s="7">
        <f t="shared" si="20"/>
        <v>25</v>
      </c>
      <c r="P357" s="7">
        <f t="shared" si="21"/>
        <v>6</v>
      </c>
      <c r="Q357" s="7">
        <f t="shared" si="22"/>
        <v>2026</v>
      </c>
      <c r="R357" s="6">
        <f t="shared" si="23"/>
        <v>-1376.85</v>
      </c>
      <c r="S357" s="16">
        <v>46199</v>
      </c>
    </row>
    <row r="358" spans="1:19">
      <c r="A358" s="12">
        <v>46198</v>
      </c>
      <c r="B358" s="7" t="s">
        <v>7</v>
      </c>
      <c r="C358" s="7" t="s">
        <v>9</v>
      </c>
      <c r="D358" s="11"/>
      <c r="E358" s="11">
        <v>33333</v>
      </c>
      <c r="F358" s="11"/>
      <c r="G358" s="7" t="s">
        <v>30</v>
      </c>
      <c r="H358" s="10"/>
      <c r="I358" s="9"/>
      <c r="J358" s="7" t="s">
        <v>29</v>
      </c>
      <c r="K358" s="7"/>
      <c r="L358" s="7"/>
      <c r="M358" s="7" t="str">
        <f>IF(C358="Caixa","-",VLOOKUP(J358,[1]Estrutura!C:E,3,FALSE))</f>
        <v>4.8</v>
      </c>
      <c r="N358" s="7"/>
      <c r="O358" s="7">
        <f t="shared" si="20"/>
        <v>25</v>
      </c>
      <c r="P358" s="7">
        <f t="shared" si="21"/>
        <v>6</v>
      </c>
      <c r="Q358" s="7">
        <f t="shared" si="22"/>
        <v>2026</v>
      </c>
      <c r="R358" s="6">
        <f t="shared" si="23"/>
        <v>-33333</v>
      </c>
      <c r="S358" s="16">
        <v>46200</v>
      </c>
    </row>
    <row r="359" spans="1:19">
      <c r="A359" s="16">
        <v>46198</v>
      </c>
      <c r="B359" s="8" t="s">
        <v>7</v>
      </c>
      <c r="C359" s="8" t="s">
        <v>9</v>
      </c>
      <c r="D359" s="15"/>
      <c r="E359" s="15">
        <v>12587.52</v>
      </c>
      <c r="F359" s="15" t="s">
        <v>94</v>
      </c>
      <c r="G359" s="15" t="s">
        <v>84</v>
      </c>
      <c r="H359" s="14"/>
      <c r="I359" s="13"/>
      <c r="J359" s="8" t="s">
        <v>83</v>
      </c>
      <c r="K359" s="8"/>
      <c r="L359" s="8"/>
      <c r="M359" s="8" t="str">
        <f>IF(C359="Caixa","-",VLOOKUP(J359,[1]Estrutura!C:E,3,FALSE))</f>
        <v>4.1</v>
      </c>
      <c r="N359" s="8"/>
      <c r="O359" s="7">
        <f t="shared" si="20"/>
        <v>25</v>
      </c>
      <c r="P359" s="7">
        <f t="shared" si="21"/>
        <v>6</v>
      </c>
      <c r="Q359" s="7">
        <f t="shared" si="22"/>
        <v>2026</v>
      </c>
      <c r="R359" s="6">
        <f t="shared" si="23"/>
        <v>-12587.52</v>
      </c>
      <c r="S359" s="16">
        <v>46200</v>
      </c>
    </row>
    <row r="360" spans="1:19">
      <c r="A360" s="12">
        <v>46198</v>
      </c>
      <c r="B360" s="7" t="s">
        <v>7</v>
      </c>
      <c r="C360" s="7" t="s">
        <v>9</v>
      </c>
      <c r="D360" s="11"/>
      <c r="E360" s="11">
        <v>12587.52</v>
      </c>
      <c r="F360" s="15" t="s">
        <v>85</v>
      </c>
      <c r="G360" s="11" t="s">
        <v>84</v>
      </c>
      <c r="H360" s="10"/>
      <c r="I360" s="9"/>
      <c r="J360" s="7" t="s">
        <v>83</v>
      </c>
      <c r="K360" s="7"/>
      <c r="L360" s="7"/>
      <c r="M360" s="7" t="str">
        <f>IF(C360="Caixa","-",VLOOKUP(J360,[1]Estrutura!C:E,3,FALSE))</f>
        <v>4.1</v>
      </c>
      <c r="N360" s="7"/>
      <c r="O360" s="7">
        <f t="shared" si="20"/>
        <v>25</v>
      </c>
      <c r="P360" s="7">
        <f t="shared" si="21"/>
        <v>6</v>
      </c>
      <c r="Q360" s="7">
        <f t="shared" si="22"/>
        <v>2026</v>
      </c>
      <c r="R360" s="6">
        <f t="shared" si="23"/>
        <v>-12587.52</v>
      </c>
      <c r="S360" s="12">
        <v>46200</v>
      </c>
    </row>
    <row r="361" spans="1:19">
      <c r="A361" s="16">
        <v>46198</v>
      </c>
      <c r="B361" s="8" t="s">
        <v>7</v>
      </c>
      <c r="C361" s="8" t="s">
        <v>9</v>
      </c>
      <c r="D361" s="15"/>
      <c r="E361" s="15">
        <v>8000</v>
      </c>
      <c r="F361" s="15"/>
      <c r="G361" s="8" t="s">
        <v>28</v>
      </c>
      <c r="H361" s="8"/>
      <c r="I361" s="13"/>
      <c r="J361" s="8" t="s">
        <v>27</v>
      </c>
      <c r="K361" s="8"/>
      <c r="L361" s="57"/>
      <c r="M361" s="8" t="str">
        <f>IF(C361="Caixa","-",VLOOKUP(J361,[1]Estrutura!C:E,3,FALSE))</f>
        <v>7.3</v>
      </c>
      <c r="N361" s="8"/>
      <c r="O361" s="7">
        <f t="shared" si="20"/>
        <v>25</v>
      </c>
      <c r="P361" s="7">
        <f t="shared" si="21"/>
        <v>6</v>
      </c>
      <c r="Q361" s="7">
        <f t="shared" si="22"/>
        <v>2026</v>
      </c>
      <c r="R361" s="6">
        <f t="shared" si="23"/>
        <v>-8000</v>
      </c>
      <c r="S361" s="16">
        <v>46200</v>
      </c>
    </row>
    <row r="362" spans="1:19">
      <c r="A362" s="16">
        <v>46198</v>
      </c>
      <c r="B362" s="24" t="s">
        <v>7</v>
      </c>
      <c r="C362" s="24" t="s">
        <v>9</v>
      </c>
      <c r="D362" s="15"/>
      <c r="E362" s="15">
        <v>1500</v>
      </c>
      <c r="F362" s="15" t="s">
        <v>63</v>
      </c>
      <c r="G362" s="8" t="s">
        <v>705</v>
      </c>
      <c r="H362" s="14"/>
      <c r="I362" s="13"/>
      <c r="J362" s="8" t="s">
        <v>62</v>
      </c>
      <c r="K362" s="8"/>
      <c r="L362" s="7"/>
      <c r="M362" s="7" t="str">
        <f>IF(C362="Caixa","-",VLOOKUP(J362,[1]Estrutura!C:E,3,FALSE))</f>
        <v>4.5</v>
      </c>
      <c r="N362" s="7"/>
      <c r="O362" s="7">
        <f t="shared" si="20"/>
        <v>25</v>
      </c>
      <c r="P362" s="7">
        <f t="shared" si="21"/>
        <v>6</v>
      </c>
      <c r="Q362" s="7">
        <f t="shared" si="22"/>
        <v>2026</v>
      </c>
      <c r="R362" s="6">
        <f t="shared" si="23"/>
        <v>-1500</v>
      </c>
      <c r="S362" s="16">
        <v>46200</v>
      </c>
    </row>
    <row r="363" spans="1:19">
      <c r="A363" s="23">
        <v>46199</v>
      </c>
      <c r="B363" s="8" t="s">
        <v>26</v>
      </c>
      <c r="C363" s="8" t="s">
        <v>25</v>
      </c>
      <c r="D363" s="15">
        <v>1442</v>
      </c>
      <c r="E363" s="15"/>
      <c r="F363" s="15" t="s">
        <v>109</v>
      </c>
      <c r="G363" s="8" t="s">
        <v>108</v>
      </c>
      <c r="H363" s="14"/>
      <c r="I363" s="13"/>
      <c r="J363" s="8" t="s">
        <v>107</v>
      </c>
      <c r="K363" s="24" t="s">
        <v>21</v>
      </c>
      <c r="L363" s="8"/>
      <c r="M363" s="8" t="str">
        <f>IF(C363="Caixa","-",VLOOKUP(J363,[1]Estrutura!C:E,3,FALSE))</f>
        <v>1.4</v>
      </c>
      <c r="N363" s="8"/>
      <c r="O363" s="7">
        <f t="shared" si="20"/>
        <v>26</v>
      </c>
      <c r="P363" s="7">
        <f t="shared" si="21"/>
        <v>6</v>
      </c>
      <c r="Q363" s="7">
        <f t="shared" si="22"/>
        <v>2026</v>
      </c>
      <c r="R363" s="6">
        <f t="shared" si="23"/>
        <v>1442</v>
      </c>
      <c r="S363" s="16">
        <v>46201</v>
      </c>
    </row>
    <row r="364" spans="1:19">
      <c r="A364" s="16">
        <v>46199</v>
      </c>
      <c r="B364" s="7" t="s">
        <v>7</v>
      </c>
      <c r="C364" s="7" t="s">
        <v>9</v>
      </c>
      <c r="D364" s="15">
        <v>19837.060000000005</v>
      </c>
      <c r="E364" s="15"/>
      <c r="F364" s="15"/>
      <c r="G364" s="8" t="s">
        <v>11</v>
      </c>
      <c r="H364" s="8"/>
      <c r="I364" s="17"/>
      <c r="J364" s="8" t="s">
        <v>10</v>
      </c>
      <c r="K364" s="8"/>
      <c r="L364" s="7"/>
      <c r="M364" s="7" t="str">
        <f>IF(C364="Caixa","-",VLOOKUP(J364,[1]Estrutura!C:E,3,FALSE))</f>
        <v>1.1</v>
      </c>
      <c r="N364" s="7"/>
      <c r="O364" s="7">
        <f t="shared" si="20"/>
        <v>26</v>
      </c>
      <c r="P364" s="7">
        <f t="shared" si="21"/>
        <v>6</v>
      </c>
      <c r="Q364" s="7">
        <f t="shared" si="22"/>
        <v>2026</v>
      </c>
      <c r="R364" s="6">
        <f t="shared" si="23"/>
        <v>19837.060000000005</v>
      </c>
      <c r="S364" s="16">
        <v>46201</v>
      </c>
    </row>
    <row r="365" spans="1:19">
      <c r="A365" s="16">
        <v>46200</v>
      </c>
      <c r="B365" s="8" t="s">
        <v>14</v>
      </c>
      <c r="C365" s="7" t="s">
        <v>9</v>
      </c>
      <c r="D365" s="15">
        <v>5091.26</v>
      </c>
      <c r="E365" s="15"/>
      <c r="F365" s="15"/>
      <c r="G365" s="8" t="s">
        <v>11</v>
      </c>
      <c r="H365" s="8"/>
      <c r="I365" s="17"/>
      <c r="J365" s="8" t="s">
        <v>10</v>
      </c>
      <c r="K365" s="8"/>
      <c r="L365" s="8"/>
      <c r="M365" s="8" t="str">
        <f>IF(C365="Caixa","-",VLOOKUP(J365,[1]Estrutura!C:E,3,FALSE))</f>
        <v>1.1</v>
      </c>
      <c r="N365" s="8"/>
      <c r="O365" s="7">
        <f t="shared" si="20"/>
        <v>27</v>
      </c>
      <c r="P365" s="7">
        <f t="shared" si="21"/>
        <v>6</v>
      </c>
      <c r="Q365" s="7">
        <f t="shared" si="22"/>
        <v>2026</v>
      </c>
      <c r="R365" s="6">
        <f t="shared" si="23"/>
        <v>5091.26</v>
      </c>
      <c r="S365" s="12">
        <v>46201</v>
      </c>
    </row>
    <row r="366" spans="1:19">
      <c r="A366" s="16">
        <v>46200</v>
      </c>
      <c r="B366" s="8" t="s">
        <v>14</v>
      </c>
      <c r="C366" s="8" t="s">
        <v>25</v>
      </c>
      <c r="D366" s="15"/>
      <c r="E366" s="15">
        <v>1163</v>
      </c>
      <c r="F366" s="15" t="s">
        <v>157</v>
      </c>
      <c r="G366" s="8" t="s">
        <v>156</v>
      </c>
      <c r="H366" s="14">
        <v>4153</v>
      </c>
      <c r="I366" s="13"/>
      <c r="J366" s="8" t="s">
        <v>17</v>
      </c>
      <c r="K366" s="8"/>
      <c r="L366" s="7"/>
      <c r="M366" s="7" t="str">
        <f>IF(C366="Caixa","-",VLOOKUP(J366,[1]Estrutura!C:E,3,FALSE))</f>
        <v>4.4</v>
      </c>
      <c r="N366" s="7"/>
      <c r="O366" s="7">
        <f t="shared" si="20"/>
        <v>27</v>
      </c>
      <c r="P366" s="7">
        <f t="shared" si="21"/>
        <v>6</v>
      </c>
      <c r="Q366" s="7">
        <f t="shared" si="22"/>
        <v>2026</v>
      </c>
      <c r="R366" s="6">
        <f t="shared" si="23"/>
        <v>-1163</v>
      </c>
      <c r="S366" s="16">
        <v>46202</v>
      </c>
    </row>
    <row r="367" spans="1:19">
      <c r="A367" s="12">
        <v>46200</v>
      </c>
      <c r="B367" s="7" t="s">
        <v>14</v>
      </c>
      <c r="C367" s="7" t="s">
        <v>9</v>
      </c>
      <c r="D367" s="11"/>
      <c r="E367" s="11">
        <v>38.99</v>
      </c>
      <c r="F367" s="11" t="s">
        <v>630</v>
      </c>
      <c r="G367" s="7" t="s">
        <v>704</v>
      </c>
      <c r="H367" s="10"/>
      <c r="I367" s="9"/>
      <c r="J367" s="7" t="s">
        <v>77</v>
      </c>
      <c r="K367" s="7"/>
      <c r="L367" s="8"/>
      <c r="M367" s="8" t="str">
        <f>IF(C367="Caixa","-",VLOOKUP(J367,[1]Estrutura!C:E,3,FALSE))</f>
        <v>4.3</v>
      </c>
      <c r="N367" s="8"/>
      <c r="O367" s="7">
        <f t="shared" si="20"/>
        <v>27</v>
      </c>
      <c r="P367" s="7">
        <f t="shared" si="21"/>
        <v>6</v>
      </c>
      <c r="Q367" s="7">
        <f t="shared" si="22"/>
        <v>2026</v>
      </c>
      <c r="R367" s="6">
        <f t="shared" si="23"/>
        <v>-38.99</v>
      </c>
      <c r="S367" s="16">
        <v>46202</v>
      </c>
    </row>
    <row r="368" spans="1:19">
      <c r="A368" s="16">
        <v>46200</v>
      </c>
      <c r="B368" s="8" t="s">
        <v>26</v>
      </c>
      <c r="C368" s="8" t="s">
        <v>25</v>
      </c>
      <c r="D368" s="15"/>
      <c r="E368" s="15">
        <v>5000</v>
      </c>
      <c r="F368" s="15" t="s">
        <v>109</v>
      </c>
      <c r="G368" s="8" t="s">
        <v>307</v>
      </c>
      <c r="H368" s="14">
        <v>9925</v>
      </c>
      <c r="I368" s="13"/>
      <c r="J368" s="8" t="s">
        <v>17</v>
      </c>
      <c r="K368" s="8" t="s">
        <v>21</v>
      </c>
      <c r="L368" s="7"/>
      <c r="M368" s="7" t="str">
        <f>IF(C368="Caixa","-",VLOOKUP(J368,[1]Estrutura!C:E,3,FALSE))</f>
        <v>4.4</v>
      </c>
      <c r="N368" s="7"/>
      <c r="O368" s="7">
        <f t="shared" si="20"/>
        <v>27</v>
      </c>
      <c r="P368" s="7">
        <f t="shared" si="21"/>
        <v>6</v>
      </c>
      <c r="Q368" s="7">
        <f t="shared" si="22"/>
        <v>2026</v>
      </c>
      <c r="R368" s="6">
        <f t="shared" si="23"/>
        <v>-5000</v>
      </c>
      <c r="S368" s="16">
        <v>46203</v>
      </c>
    </row>
    <row r="369" spans="1:19">
      <c r="A369" s="16">
        <v>46200</v>
      </c>
      <c r="B369" s="7" t="s">
        <v>7</v>
      </c>
      <c r="C369" s="7" t="s">
        <v>9</v>
      </c>
      <c r="D369" s="15">
        <v>10172.130000000001</v>
      </c>
      <c r="E369" s="15"/>
      <c r="F369" s="15"/>
      <c r="G369" s="8" t="s">
        <v>11</v>
      </c>
      <c r="H369" s="8"/>
      <c r="I369" s="17"/>
      <c r="J369" s="8" t="s">
        <v>10</v>
      </c>
      <c r="K369" s="8"/>
      <c r="L369" s="8"/>
      <c r="M369" s="8" t="str">
        <f>IF(C369="Caixa","-",VLOOKUP(J369,[1]Estrutura!C:E,3,FALSE))</f>
        <v>1.1</v>
      </c>
      <c r="N369" s="8"/>
      <c r="O369" s="7">
        <f t="shared" si="20"/>
        <v>27</v>
      </c>
      <c r="P369" s="7">
        <f t="shared" si="21"/>
        <v>6</v>
      </c>
      <c r="Q369" s="7">
        <f t="shared" si="22"/>
        <v>2026</v>
      </c>
      <c r="R369" s="6">
        <f t="shared" si="23"/>
        <v>10172.130000000001</v>
      </c>
      <c r="S369" s="16">
        <v>46203</v>
      </c>
    </row>
    <row r="370" spans="1:19">
      <c r="A370" s="16">
        <v>46201</v>
      </c>
      <c r="B370" s="8" t="s">
        <v>14</v>
      </c>
      <c r="C370" s="7" t="s">
        <v>9</v>
      </c>
      <c r="D370" s="15">
        <v>2854.33</v>
      </c>
      <c r="E370" s="15"/>
      <c r="F370" s="15"/>
      <c r="G370" s="8" t="s">
        <v>11</v>
      </c>
      <c r="H370" s="8"/>
      <c r="I370" s="17"/>
      <c r="J370" s="8" t="s">
        <v>10</v>
      </c>
      <c r="K370" s="8"/>
      <c r="L370" s="7"/>
      <c r="M370" s="7" t="str">
        <f>IF(C370="Caixa","-",VLOOKUP(J370,[1]Estrutura!C:E,3,FALSE))</f>
        <v>1.1</v>
      </c>
      <c r="N370" s="7"/>
      <c r="O370" s="7">
        <f t="shared" si="20"/>
        <v>28</v>
      </c>
      <c r="P370" s="7">
        <f t="shared" si="21"/>
        <v>6</v>
      </c>
      <c r="Q370" s="7">
        <f t="shared" si="22"/>
        <v>2026</v>
      </c>
      <c r="R370" s="6">
        <f t="shared" si="23"/>
        <v>2854.33</v>
      </c>
      <c r="S370" s="12">
        <v>46203</v>
      </c>
    </row>
    <row r="371" spans="1:19">
      <c r="A371" s="16">
        <v>46201</v>
      </c>
      <c r="B371" s="7" t="s">
        <v>7</v>
      </c>
      <c r="C371" s="7" t="s">
        <v>9</v>
      </c>
      <c r="D371" s="15">
        <v>9884.85</v>
      </c>
      <c r="E371" s="15"/>
      <c r="F371" s="15"/>
      <c r="G371" s="8" t="s">
        <v>11</v>
      </c>
      <c r="H371" s="8"/>
      <c r="I371" s="17"/>
      <c r="J371" s="8" t="s">
        <v>10</v>
      </c>
      <c r="K371" s="8"/>
      <c r="L371" s="8"/>
      <c r="M371" s="8" t="str">
        <f>IF(C371="Caixa","-",VLOOKUP(J371,[1]Estrutura!C:E,3,FALSE))</f>
        <v>1.1</v>
      </c>
      <c r="N371" s="8"/>
      <c r="O371" s="7">
        <f t="shared" si="20"/>
        <v>28</v>
      </c>
      <c r="P371" s="7">
        <f t="shared" si="21"/>
        <v>6</v>
      </c>
      <c r="Q371" s="7">
        <f t="shared" si="22"/>
        <v>2026</v>
      </c>
      <c r="R371" s="6">
        <f t="shared" si="23"/>
        <v>9884.85</v>
      </c>
      <c r="S371" s="12">
        <v>46203</v>
      </c>
    </row>
    <row r="372" spans="1:19">
      <c r="A372" s="12">
        <v>46201</v>
      </c>
      <c r="B372" s="8" t="s">
        <v>7</v>
      </c>
      <c r="C372" s="8" t="s">
        <v>9</v>
      </c>
      <c r="D372" s="15"/>
      <c r="E372" s="11">
        <v>47373.33</v>
      </c>
      <c r="F372" s="15"/>
      <c r="G372" s="7" t="s">
        <v>20</v>
      </c>
      <c r="H372" s="10"/>
      <c r="I372" s="9"/>
      <c r="J372" s="7" t="s">
        <v>19</v>
      </c>
      <c r="K372" s="8"/>
      <c r="L372" s="7"/>
      <c r="M372" s="7" t="str">
        <f>IF(C372="Caixa","-",VLOOKUP(J372,[1]Estrutura!C:E,3,FALSE))</f>
        <v>8.7</v>
      </c>
      <c r="N372" s="7"/>
      <c r="O372" s="7">
        <f t="shared" si="20"/>
        <v>28</v>
      </c>
      <c r="P372" s="7">
        <f t="shared" si="21"/>
        <v>6</v>
      </c>
      <c r="Q372" s="7">
        <f t="shared" si="22"/>
        <v>2026</v>
      </c>
      <c r="R372" s="6">
        <f t="shared" si="23"/>
        <v>-47373.33</v>
      </c>
      <c r="S372" s="12">
        <v>46203</v>
      </c>
    </row>
    <row r="373" spans="1:19">
      <c r="A373" s="16">
        <v>46202</v>
      </c>
      <c r="B373" s="8" t="s">
        <v>14</v>
      </c>
      <c r="C373" s="7" t="s">
        <v>9</v>
      </c>
      <c r="D373" s="15">
        <v>3050.8199999999997</v>
      </c>
      <c r="E373" s="15"/>
      <c r="F373" s="15"/>
      <c r="G373" s="8" t="s">
        <v>11</v>
      </c>
      <c r="H373" s="8"/>
      <c r="I373" s="17"/>
      <c r="J373" s="8" t="s">
        <v>10</v>
      </c>
      <c r="K373" s="8"/>
      <c r="L373" s="8"/>
      <c r="M373" s="8" t="str">
        <f>IF(C373="Caixa","-",VLOOKUP(J373,[1]Estrutura!C:E,3,FALSE))</f>
        <v>1.1</v>
      </c>
      <c r="N373" s="8"/>
      <c r="O373" s="7">
        <f t="shared" si="20"/>
        <v>29</v>
      </c>
      <c r="P373" s="7">
        <f t="shared" si="21"/>
        <v>6</v>
      </c>
      <c r="Q373" s="7">
        <f t="shared" si="22"/>
        <v>2026</v>
      </c>
      <c r="R373" s="6">
        <f t="shared" si="23"/>
        <v>3050.8199999999997</v>
      </c>
      <c r="S373" s="12">
        <v>46203</v>
      </c>
    </row>
    <row r="374" spans="1:19">
      <c r="A374" s="16">
        <v>46202</v>
      </c>
      <c r="B374" s="8" t="s">
        <v>14</v>
      </c>
      <c r="C374" s="8" t="s">
        <v>9</v>
      </c>
      <c r="D374" s="15"/>
      <c r="E374" s="15">
        <v>3666.6666666666665</v>
      </c>
      <c r="F374" s="11"/>
      <c r="G374" s="8" t="s">
        <v>306</v>
      </c>
      <c r="H374" s="14"/>
      <c r="I374" s="13"/>
      <c r="J374" s="8" t="s">
        <v>305</v>
      </c>
      <c r="K374" s="8"/>
      <c r="L374" s="7"/>
      <c r="M374" s="7" t="str">
        <f>IF(C374="Caixa","-",VLOOKUP(J374,[1]Estrutura!C:E,3,FALSE))</f>
        <v>7.3</v>
      </c>
      <c r="N374" s="7"/>
      <c r="O374" s="7">
        <f t="shared" si="20"/>
        <v>29</v>
      </c>
      <c r="P374" s="7">
        <f t="shared" si="21"/>
        <v>6</v>
      </c>
      <c r="Q374" s="7">
        <f t="shared" si="22"/>
        <v>2026</v>
      </c>
      <c r="R374" s="6">
        <f t="shared" si="23"/>
        <v>-3666.6666666666665</v>
      </c>
      <c r="S374" s="12">
        <v>46203</v>
      </c>
    </row>
    <row r="375" spans="1:19">
      <c r="A375" s="16">
        <v>46202</v>
      </c>
      <c r="B375" s="8" t="s">
        <v>14</v>
      </c>
      <c r="C375" s="8" t="s">
        <v>9</v>
      </c>
      <c r="D375" s="11"/>
      <c r="E375" s="11">
        <v>15000</v>
      </c>
      <c r="F375" s="11"/>
      <c r="G375" s="8" t="s">
        <v>703</v>
      </c>
      <c r="H375" s="10"/>
      <c r="I375" s="9"/>
      <c r="J375" s="8" t="s">
        <v>17</v>
      </c>
      <c r="K375" s="7"/>
      <c r="L375" s="8"/>
      <c r="M375" s="8" t="str">
        <f>IF(C375="Caixa","-",VLOOKUP(J375,[1]Estrutura!C:E,3,FALSE))</f>
        <v>4.4</v>
      </c>
      <c r="N375" s="8"/>
      <c r="O375" s="7">
        <f t="shared" si="20"/>
        <v>29</v>
      </c>
      <c r="P375" s="7">
        <f t="shared" si="21"/>
        <v>6</v>
      </c>
      <c r="Q375" s="7">
        <f t="shared" si="22"/>
        <v>2026</v>
      </c>
      <c r="R375" s="6">
        <f t="shared" si="23"/>
        <v>-15000</v>
      </c>
      <c r="S375" s="12">
        <v>46203</v>
      </c>
    </row>
    <row r="376" spans="1:19">
      <c r="A376" s="16">
        <v>46202</v>
      </c>
      <c r="B376" s="7" t="s">
        <v>7</v>
      </c>
      <c r="C376" s="7" t="s">
        <v>9</v>
      </c>
      <c r="D376" s="15">
        <v>4564.0499999999993</v>
      </c>
      <c r="E376" s="15"/>
      <c r="F376" s="15"/>
      <c r="G376" s="8" t="s">
        <v>11</v>
      </c>
      <c r="H376" s="8"/>
      <c r="I376" s="17"/>
      <c r="J376" s="8" t="s">
        <v>10</v>
      </c>
      <c r="K376" s="8"/>
      <c r="L376" s="7"/>
      <c r="M376" s="7" t="str">
        <f>IF(C376="Caixa","-",VLOOKUP(J376,[1]Estrutura!C:E,3,FALSE))</f>
        <v>1.1</v>
      </c>
      <c r="N376" s="7"/>
      <c r="O376" s="7">
        <f t="shared" si="20"/>
        <v>29</v>
      </c>
      <c r="P376" s="7">
        <f t="shared" si="21"/>
        <v>6</v>
      </c>
      <c r="Q376" s="7">
        <f t="shared" si="22"/>
        <v>2026</v>
      </c>
      <c r="R376" s="6">
        <f t="shared" si="23"/>
        <v>4564.0499999999993</v>
      </c>
      <c r="S376" s="16">
        <v>46203</v>
      </c>
    </row>
    <row r="377" spans="1:19">
      <c r="A377" s="16">
        <v>46203</v>
      </c>
      <c r="B377" s="7" t="s">
        <v>122</v>
      </c>
      <c r="C377" s="7" t="s">
        <v>6</v>
      </c>
      <c r="D377" s="15"/>
      <c r="E377" s="15">
        <v>3000</v>
      </c>
      <c r="F377" s="11" t="s">
        <v>121</v>
      </c>
      <c r="G377" s="8" t="s">
        <v>120</v>
      </c>
      <c r="H377" s="14"/>
      <c r="I377" s="13"/>
      <c r="J377" s="7" t="s">
        <v>119</v>
      </c>
      <c r="K377" s="8" t="s">
        <v>21</v>
      </c>
      <c r="L377" s="8"/>
      <c r="M377" s="8" t="str">
        <f>IF(C377="Caixa","-",VLOOKUP(J377,[1]Estrutura!C:E,3,FALSE))</f>
        <v>4.5</v>
      </c>
      <c r="N377" s="8"/>
      <c r="O377" s="7">
        <f t="shared" si="20"/>
        <v>30</v>
      </c>
      <c r="P377" s="7">
        <f t="shared" si="21"/>
        <v>6</v>
      </c>
      <c r="Q377" s="7">
        <f t="shared" si="22"/>
        <v>2026</v>
      </c>
      <c r="R377" s="6">
        <f t="shared" si="23"/>
        <v>-3000</v>
      </c>
      <c r="S377" s="16">
        <v>46203</v>
      </c>
    </row>
    <row r="378" spans="1:19">
      <c r="A378" s="16">
        <v>46203</v>
      </c>
      <c r="B378" s="8" t="s">
        <v>14</v>
      </c>
      <c r="C378" s="7" t="s">
        <v>9</v>
      </c>
      <c r="D378" s="15">
        <v>2079.88</v>
      </c>
      <c r="E378" s="15"/>
      <c r="F378" s="15"/>
      <c r="G378" s="8" t="s">
        <v>11</v>
      </c>
      <c r="H378" s="8"/>
      <c r="I378" s="17"/>
      <c r="J378" s="8" t="s">
        <v>10</v>
      </c>
      <c r="K378" s="8"/>
      <c r="L378" s="7"/>
      <c r="M378" s="7" t="str">
        <f>IF(C378="Caixa","-",VLOOKUP(J378,[1]Estrutura!C:E,3,FALSE))</f>
        <v>1.1</v>
      </c>
      <c r="N378" s="7"/>
      <c r="O378" s="7">
        <f t="shared" si="20"/>
        <v>30</v>
      </c>
      <c r="P378" s="7">
        <f t="shared" si="21"/>
        <v>6</v>
      </c>
      <c r="Q378" s="7">
        <f t="shared" si="22"/>
        <v>2026</v>
      </c>
      <c r="R378" s="6">
        <f t="shared" si="23"/>
        <v>2079.88</v>
      </c>
      <c r="S378" s="16">
        <v>46203</v>
      </c>
    </row>
    <row r="379" spans="1:19">
      <c r="A379" s="12">
        <v>46203</v>
      </c>
      <c r="B379" s="7" t="s">
        <v>26</v>
      </c>
      <c r="C379" s="7" t="s">
        <v>6</v>
      </c>
      <c r="D379" s="11"/>
      <c r="E379" s="11">
        <v>5800</v>
      </c>
      <c r="F379" s="11" t="s">
        <v>414</v>
      </c>
      <c r="G379" s="7" t="s">
        <v>413</v>
      </c>
      <c r="H379" s="10"/>
      <c r="I379" s="9"/>
      <c r="J379" s="7" t="s">
        <v>116</v>
      </c>
      <c r="K379" s="18" t="s">
        <v>21</v>
      </c>
      <c r="L379" s="8"/>
      <c r="M379" s="8" t="str">
        <f>IF(C379="Caixa","-",VLOOKUP(J379,[1]Estrutura!C:E,3,FALSE))</f>
        <v>4.12</v>
      </c>
      <c r="N379" s="8"/>
      <c r="O379" s="7">
        <f t="shared" si="20"/>
        <v>30</v>
      </c>
      <c r="P379" s="7">
        <f t="shared" si="21"/>
        <v>6</v>
      </c>
      <c r="Q379" s="7">
        <f t="shared" si="22"/>
        <v>2026</v>
      </c>
      <c r="R379" s="6">
        <f t="shared" si="23"/>
        <v>-5800</v>
      </c>
      <c r="S379" s="12">
        <v>46203</v>
      </c>
    </row>
    <row r="380" spans="1:19">
      <c r="A380" s="12">
        <v>46203</v>
      </c>
      <c r="B380" s="39" t="s">
        <v>26</v>
      </c>
      <c r="C380" s="39" t="s">
        <v>6</v>
      </c>
      <c r="D380" s="11"/>
      <c r="E380" s="11">
        <v>611.33333333333337</v>
      </c>
      <c r="F380" s="11" t="s">
        <v>43</v>
      </c>
      <c r="G380" s="7" t="s">
        <v>412</v>
      </c>
      <c r="H380" s="15"/>
      <c r="I380" s="9"/>
      <c r="J380" s="8" t="s">
        <v>115</v>
      </c>
      <c r="K380" s="8" t="s">
        <v>40</v>
      </c>
      <c r="L380" s="7"/>
      <c r="M380" s="7" t="str">
        <f>IF(C380="Caixa","-",VLOOKUP(J380,[1]Estrutura!C:E,3,FALSE))</f>
        <v>4.1</v>
      </c>
      <c r="N380" s="7"/>
      <c r="O380" s="7">
        <f t="shared" si="20"/>
        <v>30</v>
      </c>
      <c r="P380" s="7">
        <f t="shared" si="21"/>
        <v>6</v>
      </c>
      <c r="Q380" s="7">
        <f t="shared" si="22"/>
        <v>2026</v>
      </c>
      <c r="R380" s="6">
        <f t="shared" si="23"/>
        <v>-611.33333333333337</v>
      </c>
      <c r="S380" s="12">
        <v>46203</v>
      </c>
    </row>
    <row r="381" spans="1:19">
      <c r="A381" s="12">
        <v>46203</v>
      </c>
      <c r="B381" s="43" t="s">
        <v>26</v>
      </c>
      <c r="C381" s="43" t="s">
        <v>6</v>
      </c>
      <c r="D381" s="15"/>
      <c r="E381" s="15">
        <v>797</v>
      </c>
      <c r="F381" s="15" t="s">
        <v>702</v>
      </c>
      <c r="G381" s="8" t="s">
        <v>412</v>
      </c>
      <c r="H381" s="15"/>
      <c r="I381" s="13"/>
      <c r="J381" s="8" t="s">
        <v>115</v>
      </c>
      <c r="K381" s="8" t="s">
        <v>40</v>
      </c>
      <c r="L381" s="8"/>
      <c r="M381" s="8" t="str">
        <f>IF(C381="Caixa","-",VLOOKUP(J381,[1]Estrutura!C:E,3,FALSE))</f>
        <v>4.1</v>
      </c>
      <c r="N381" s="8"/>
      <c r="O381" s="7">
        <f t="shared" si="20"/>
        <v>30</v>
      </c>
      <c r="P381" s="7">
        <f t="shared" si="21"/>
        <v>6</v>
      </c>
      <c r="Q381" s="7">
        <f t="shared" si="22"/>
        <v>2026</v>
      </c>
      <c r="R381" s="6">
        <f t="shared" si="23"/>
        <v>-797</v>
      </c>
      <c r="S381" s="16">
        <v>46203</v>
      </c>
    </row>
    <row r="382" spans="1:19">
      <c r="A382" s="12">
        <v>46203</v>
      </c>
      <c r="B382" s="7" t="s">
        <v>26</v>
      </c>
      <c r="C382" s="7" t="s">
        <v>6</v>
      </c>
      <c r="D382" s="11"/>
      <c r="E382" s="11">
        <v>625.33333333333337</v>
      </c>
      <c r="F382" s="11" t="s">
        <v>701</v>
      </c>
      <c r="G382" s="7" t="s">
        <v>412</v>
      </c>
      <c r="H382" s="15"/>
      <c r="I382" s="9"/>
      <c r="J382" s="8" t="s">
        <v>115</v>
      </c>
      <c r="K382" s="7" t="s">
        <v>40</v>
      </c>
      <c r="L382" s="7"/>
      <c r="M382" s="7" t="str">
        <f>IF(C382="Caixa","-",VLOOKUP(J382,[1]Estrutura!C:E,3,FALSE))</f>
        <v>4.1</v>
      </c>
      <c r="N382" s="7"/>
      <c r="O382" s="7">
        <f t="shared" si="20"/>
        <v>30</v>
      </c>
      <c r="P382" s="7">
        <f t="shared" si="21"/>
        <v>6</v>
      </c>
      <c r="Q382" s="7">
        <f t="shared" si="22"/>
        <v>2026</v>
      </c>
      <c r="R382" s="6">
        <f t="shared" si="23"/>
        <v>-625.33333333333337</v>
      </c>
      <c r="S382" s="16">
        <v>46204</v>
      </c>
    </row>
    <row r="383" spans="1:19">
      <c r="A383" s="12">
        <v>46203</v>
      </c>
      <c r="B383" s="8" t="s">
        <v>26</v>
      </c>
      <c r="C383" s="8" t="s">
        <v>6</v>
      </c>
      <c r="D383" s="15"/>
      <c r="E383" s="11">
        <v>864</v>
      </c>
      <c r="F383" s="15" t="s">
        <v>45</v>
      </c>
      <c r="G383" s="8" t="s">
        <v>412</v>
      </c>
      <c r="H383" s="15"/>
      <c r="I383" s="13"/>
      <c r="J383" s="8" t="s">
        <v>115</v>
      </c>
      <c r="K383" s="8" t="s">
        <v>44</v>
      </c>
      <c r="L383" s="8"/>
      <c r="M383" s="8" t="str">
        <f>IF(C383="Caixa","-",VLOOKUP(J383,[1]Estrutura!C:E,3,FALSE))</f>
        <v>4.1</v>
      </c>
      <c r="N383" s="8"/>
      <c r="O383" s="7">
        <f t="shared" si="20"/>
        <v>30</v>
      </c>
      <c r="P383" s="7">
        <f t="shared" si="21"/>
        <v>6</v>
      </c>
      <c r="Q383" s="7">
        <f t="shared" si="22"/>
        <v>2026</v>
      </c>
      <c r="R383" s="6">
        <f t="shared" si="23"/>
        <v>-864</v>
      </c>
      <c r="S383" s="12">
        <v>46204</v>
      </c>
    </row>
    <row r="384" spans="1:19">
      <c r="A384" s="12">
        <v>46203</v>
      </c>
      <c r="B384" s="7" t="s">
        <v>26</v>
      </c>
      <c r="C384" s="7" t="s">
        <v>6</v>
      </c>
      <c r="D384" s="11"/>
      <c r="E384" s="15">
        <v>951.66666666666663</v>
      </c>
      <c r="F384" s="11" t="s">
        <v>46</v>
      </c>
      <c r="G384" s="7" t="s">
        <v>412</v>
      </c>
      <c r="H384" s="15"/>
      <c r="I384" s="9"/>
      <c r="J384" s="8" t="s">
        <v>115</v>
      </c>
      <c r="K384" s="18" t="s">
        <v>34</v>
      </c>
      <c r="L384" s="7"/>
      <c r="M384" s="7" t="str">
        <f>IF(C384="Caixa","-",VLOOKUP(J384,[1]Estrutura!C:E,3,FALSE))</f>
        <v>4.1</v>
      </c>
      <c r="N384" s="7"/>
      <c r="O384" s="7">
        <f t="shared" si="20"/>
        <v>30</v>
      </c>
      <c r="P384" s="7">
        <f t="shared" si="21"/>
        <v>6</v>
      </c>
      <c r="Q384" s="7">
        <f t="shared" si="22"/>
        <v>2026</v>
      </c>
      <c r="R384" s="6">
        <f t="shared" si="23"/>
        <v>-951.66666666666663</v>
      </c>
      <c r="S384" s="12">
        <v>46204</v>
      </c>
    </row>
    <row r="385" spans="1:19">
      <c r="A385" s="12">
        <v>46203</v>
      </c>
      <c r="B385" s="8" t="s">
        <v>26</v>
      </c>
      <c r="C385" s="8" t="s">
        <v>6</v>
      </c>
      <c r="D385" s="15"/>
      <c r="E385" s="15">
        <v>647.66666666666663</v>
      </c>
      <c r="F385" s="15" t="s">
        <v>38</v>
      </c>
      <c r="G385" s="8" t="s">
        <v>412</v>
      </c>
      <c r="H385" s="15"/>
      <c r="I385" s="13"/>
      <c r="J385" s="8" t="s">
        <v>115</v>
      </c>
      <c r="K385" s="18" t="s">
        <v>34</v>
      </c>
      <c r="L385" s="8"/>
      <c r="M385" s="8" t="str">
        <f>IF(C385="Caixa","-",VLOOKUP(J385,[1]Estrutura!C:E,3,FALSE))</f>
        <v>4.1</v>
      </c>
      <c r="N385" s="8"/>
      <c r="O385" s="7">
        <f t="shared" si="20"/>
        <v>30</v>
      </c>
      <c r="P385" s="7">
        <f t="shared" si="21"/>
        <v>6</v>
      </c>
      <c r="Q385" s="7">
        <f t="shared" si="22"/>
        <v>2026</v>
      </c>
      <c r="R385" s="6">
        <f t="shared" si="23"/>
        <v>-647.66666666666663</v>
      </c>
      <c r="S385" s="16">
        <v>46204</v>
      </c>
    </row>
    <row r="386" spans="1:19">
      <c r="A386" s="16">
        <v>46203</v>
      </c>
      <c r="B386" s="8" t="s">
        <v>26</v>
      </c>
      <c r="C386" s="8" t="s">
        <v>6</v>
      </c>
      <c r="D386" s="15"/>
      <c r="E386" s="15">
        <v>82.4</v>
      </c>
      <c r="F386" s="15" t="s">
        <v>404</v>
      </c>
      <c r="G386" s="8" t="s">
        <v>700</v>
      </c>
      <c r="H386" s="14"/>
      <c r="I386" s="13"/>
      <c r="J386" s="8" t="s">
        <v>17</v>
      </c>
      <c r="K386" s="8" t="s">
        <v>40</v>
      </c>
      <c r="L386" s="7"/>
      <c r="M386" s="7" t="str">
        <f>IF(C386="Caixa","-",VLOOKUP(J386,[1]Estrutura!C:E,3,FALSE))</f>
        <v>4.4</v>
      </c>
      <c r="N386" s="7"/>
      <c r="O386" s="7">
        <f t="shared" si="20"/>
        <v>30</v>
      </c>
      <c r="P386" s="7">
        <f t="shared" si="21"/>
        <v>6</v>
      </c>
      <c r="Q386" s="7">
        <f t="shared" si="22"/>
        <v>2026</v>
      </c>
      <c r="R386" s="6">
        <f t="shared" si="23"/>
        <v>-82.4</v>
      </c>
      <c r="S386" s="12">
        <v>46204</v>
      </c>
    </row>
    <row r="387" spans="1:19">
      <c r="A387" s="16">
        <v>46203</v>
      </c>
      <c r="B387" s="7" t="s">
        <v>7</v>
      </c>
      <c r="C387" s="7" t="s">
        <v>9</v>
      </c>
      <c r="D387" s="15">
        <v>8278.2000000000007</v>
      </c>
      <c r="E387" s="15"/>
      <c r="F387" s="15"/>
      <c r="G387" s="8" t="s">
        <v>11</v>
      </c>
      <c r="H387" s="8"/>
      <c r="I387" s="17"/>
      <c r="J387" s="8" t="s">
        <v>10</v>
      </c>
      <c r="K387" s="8"/>
      <c r="L387" s="8"/>
      <c r="M387" s="8" t="str">
        <f>IF(C387="Caixa","-",VLOOKUP(J387,[1]Estrutura!C:E,3,FALSE))</f>
        <v>1.1</v>
      </c>
      <c r="N387" s="8"/>
      <c r="O387" s="7">
        <f t="shared" si="20"/>
        <v>30</v>
      </c>
      <c r="P387" s="7">
        <f t="shared" si="21"/>
        <v>6</v>
      </c>
      <c r="Q387" s="7">
        <f t="shared" si="22"/>
        <v>2026</v>
      </c>
      <c r="R387" s="6">
        <f t="shared" si="23"/>
        <v>8278.2000000000007</v>
      </c>
      <c r="S387" s="16">
        <v>46204</v>
      </c>
    </row>
    <row r="388" spans="1:19">
      <c r="A388" s="16">
        <v>46203</v>
      </c>
      <c r="B388" s="8" t="s">
        <v>7</v>
      </c>
      <c r="C388" s="8" t="s">
        <v>2</v>
      </c>
      <c r="D388" s="15">
        <v>15892.369999998249</v>
      </c>
      <c r="E388" s="15"/>
      <c r="F388" s="15"/>
      <c r="G388" s="8" t="s">
        <v>1</v>
      </c>
      <c r="H388" s="8"/>
      <c r="I388" s="17"/>
      <c r="J388" s="8" t="s">
        <v>0</v>
      </c>
      <c r="K388" s="8"/>
      <c r="L388" s="7"/>
      <c r="M388" s="7" t="str">
        <f>IF(C388="Caixa","-",VLOOKUP(J388,[1]Estrutura!C:E,3,FALSE))</f>
        <v>5.1</v>
      </c>
      <c r="N388" s="7"/>
      <c r="O388" s="7">
        <f t="shared" si="20"/>
        <v>30</v>
      </c>
      <c r="P388" s="7">
        <f t="shared" si="21"/>
        <v>6</v>
      </c>
      <c r="Q388" s="7">
        <f t="shared" si="22"/>
        <v>2026</v>
      </c>
      <c r="R388" s="6">
        <f t="shared" si="23"/>
        <v>15892.369999998249</v>
      </c>
      <c r="S388" s="16">
        <v>46204</v>
      </c>
    </row>
    <row r="389" spans="1:19">
      <c r="A389" s="12">
        <v>46203</v>
      </c>
      <c r="B389" s="7" t="s">
        <v>7</v>
      </c>
      <c r="C389" s="7" t="s">
        <v>6</v>
      </c>
      <c r="D389" s="11"/>
      <c r="E389" s="11">
        <v>512.15</v>
      </c>
      <c r="F389" s="11"/>
      <c r="G389" s="7" t="s">
        <v>5</v>
      </c>
      <c r="H389" s="10"/>
      <c r="I389" s="9"/>
      <c r="J389" s="7" t="s">
        <v>4</v>
      </c>
      <c r="K389" s="7"/>
      <c r="L389" s="8"/>
      <c r="M389" s="8" t="str">
        <f>IF(C389="Caixa","-",VLOOKUP(J389,[1]Estrutura!C:E,3,FALSE))</f>
        <v>5.2</v>
      </c>
      <c r="N389" s="8"/>
      <c r="O389" s="7">
        <f t="shared" si="20"/>
        <v>30</v>
      </c>
      <c r="P389" s="7">
        <f t="shared" si="21"/>
        <v>6</v>
      </c>
      <c r="Q389" s="7">
        <f t="shared" si="22"/>
        <v>2026</v>
      </c>
      <c r="R389" s="6">
        <f t="shared" si="23"/>
        <v>-512.15</v>
      </c>
      <c r="S389" s="12">
        <v>46204</v>
      </c>
    </row>
    <row r="390" spans="1:19">
      <c r="A390" s="12">
        <v>46203</v>
      </c>
      <c r="B390" s="8" t="s">
        <v>7</v>
      </c>
      <c r="C390" s="8" t="s">
        <v>6</v>
      </c>
      <c r="D390" s="15"/>
      <c r="E390" s="15">
        <v>486.42</v>
      </c>
      <c r="F390" s="15"/>
      <c r="G390" s="8" t="s">
        <v>5</v>
      </c>
      <c r="H390" s="14"/>
      <c r="I390" s="13"/>
      <c r="J390" s="8" t="s">
        <v>4</v>
      </c>
      <c r="K390" s="7"/>
      <c r="L390" s="7"/>
      <c r="M390" s="7" t="str">
        <f>IF(C390="Caixa","-",VLOOKUP(J390,[1]Estrutura!C:E,3,FALSE))</f>
        <v>5.2</v>
      </c>
      <c r="N390" s="7"/>
      <c r="O390" s="7">
        <f t="shared" si="20"/>
        <v>30</v>
      </c>
      <c r="P390" s="7">
        <f t="shared" si="21"/>
        <v>6</v>
      </c>
      <c r="Q390" s="7">
        <f t="shared" si="22"/>
        <v>2026</v>
      </c>
      <c r="R390" s="6">
        <f t="shared" si="23"/>
        <v>-486.42</v>
      </c>
      <c r="S390" s="16">
        <v>46204</v>
      </c>
    </row>
    <row r="391" spans="1:19">
      <c r="A391" s="16">
        <v>46203</v>
      </c>
      <c r="B391" s="8" t="s">
        <v>3</v>
      </c>
      <c r="C391" s="8" t="s">
        <v>2</v>
      </c>
      <c r="D391" s="11">
        <v>7181.359999999986</v>
      </c>
      <c r="E391" s="15"/>
      <c r="F391" s="15"/>
      <c r="G391" s="8" t="s">
        <v>1</v>
      </c>
      <c r="H391" s="14"/>
      <c r="I391" s="13"/>
      <c r="J391" s="8" t="s">
        <v>0</v>
      </c>
      <c r="K391" s="8"/>
      <c r="L391" s="8"/>
      <c r="M391" s="8" t="str">
        <f>IF(C391="Caixa","-",VLOOKUP(J391,[1]Estrutura!C:E,3,FALSE))</f>
        <v>5.1</v>
      </c>
      <c r="N391" s="8"/>
      <c r="O391" s="7">
        <f t="shared" si="20"/>
        <v>30</v>
      </c>
      <c r="P391" s="7">
        <f t="shared" si="21"/>
        <v>6</v>
      </c>
      <c r="Q391" s="7">
        <f t="shared" si="22"/>
        <v>2026</v>
      </c>
      <c r="R391" s="6">
        <f t="shared" si="23"/>
        <v>7181.359999999986</v>
      </c>
      <c r="S391" s="12">
        <v>46204</v>
      </c>
    </row>
    <row r="392" spans="1:19">
      <c r="A392" s="16">
        <v>46204</v>
      </c>
      <c r="B392" s="8" t="s">
        <v>122</v>
      </c>
      <c r="C392" s="8" t="s">
        <v>9</v>
      </c>
      <c r="D392" s="15"/>
      <c r="E392" s="15">
        <v>156.37</v>
      </c>
      <c r="F392" s="15" t="s">
        <v>228</v>
      </c>
      <c r="G392" s="8" t="s">
        <v>699</v>
      </c>
      <c r="H392" s="14"/>
      <c r="I392" s="13"/>
      <c r="J392" s="8" t="s">
        <v>144</v>
      </c>
      <c r="K392" s="8"/>
      <c r="L392" s="7"/>
      <c r="M392" s="7" t="str">
        <f>IF(C392="Caixa","-",VLOOKUP(J392,[1]Estrutura!C:E,3,FALSE))</f>
        <v>4.2</v>
      </c>
      <c r="N392" s="7"/>
      <c r="O392" s="7">
        <f t="shared" si="20"/>
        <v>1</v>
      </c>
      <c r="P392" s="7">
        <f t="shared" si="21"/>
        <v>7</v>
      </c>
      <c r="Q392" s="7">
        <f t="shared" si="22"/>
        <v>2026</v>
      </c>
      <c r="R392" s="6">
        <f t="shared" si="23"/>
        <v>-156.37</v>
      </c>
      <c r="S392" s="12">
        <v>46204</v>
      </c>
    </row>
    <row r="393" spans="1:19">
      <c r="A393" s="12">
        <v>46204</v>
      </c>
      <c r="B393" s="8" t="s">
        <v>122</v>
      </c>
      <c r="C393" s="7" t="s">
        <v>9</v>
      </c>
      <c r="D393" s="11"/>
      <c r="E393" s="11">
        <v>5.33</v>
      </c>
      <c r="F393" s="11" t="s">
        <v>228</v>
      </c>
      <c r="G393" s="7" t="s">
        <v>232</v>
      </c>
      <c r="H393" s="10"/>
      <c r="I393" s="9"/>
      <c r="J393" s="7" t="s">
        <v>144</v>
      </c>
      <c r="K393" s="7"/>
      <c r="L393" s="8"/>
      <c r="M393" s="8" t="str">
        <f>IF(C393="Caixa","-",VLOOKUP(J393,[1]Estrutura!C:E,3,FALSE))</f>
        <v>4.2</v>
      </c>
      <c r="N393" s="8"/>
      <c r="O393" s="7">
        <f t="shared" si="20"/>
        <v>1</v>
      </c>
      <c r="P393" s="7">
        <f t="shared" si="21"/>
        <v>7</v>
      </c>
      <c r="Q393" s="7">
        <f t="shared" si="22"/>
        <v>2026</v>
      </c>
      <c r="R393" s="6">
        <f t="shared" si="23"/>
        <v>-5.33</v>
      </c>
      <c r="S393" s="16">
        <v>46204</v>
      </c>
    </row>
    <row r="394" spans="1:19">
      <c r="A394" s="12">
        <v>46204</v>
      </c>
      <c r="B394" s="7" t="s">
        <v>122</v>
      </c>
      <c r="C394" s="7" t="s">
        <v>6</v>
      </c>
      <c r="D394" s="11"/>
      <c r="E394" s="11">
        <v>-222.92</v>
      </c>
      <c r="F394" s="15" t="s">
        <v>184</v>
      </c>
      <c r="G394" s="7" t="s">
        <v>287</v>
      </c>
      <c r="H394" s="10"/>
      <c r="I394" s="9"/>
      <c r="J394" s="7" t="s">
        <v>144</v>
      </c>
      <c r="K394" s="7"/>
      <c r="L394" s="7"/>
      <c r="M394" s="7" t="str">
        <f>IF(C394="Caixa","-",VLOOKUP(J394,[1]Estrutura!C:E,3,FALSE))</f>
        <v>4.2</v>
      </c>
      <c r="N394" s="7"/>
      <c r="O394" s="7">
        <f t="shared" si="20"/>
        <v>1</v>
      </c>
      <c r="P394" s="7">
        <f t="shared" si="21"/>
        <v>7</v>
      </c>
      <c r="Q394" s="7">
        <f t="shared" si="22"/>
        <v>2026</v>
      </c>
      <c r="R394" s="6">
        <f t="shared" si="23"/>
        <v>222.92</v>
      </c>
      <c r="S394" s="12">
        <v>46204</v>
      </c>
    </row>
    <row r="395" spans="1:19">
      <c r="A395" s="16">
        <v>46204</v>
      </c>
      <c r="B395" s="8" t="s">
        <v>122</v>
      </c>
      <c r="C395" s="8" t="s">
        <v>6</v>
      </c>
      <c r="D395" s="15"/>
      <c r="E395" s="15">
        <v>513.70000000000005</v>
      </c>
      <c r="F395" s="15" t="s">
        <v>184</v>
      </c>
      <c r="G395" s="15" t="s">
        <v>286</v>
      </c>
      <c r="H395" s="14"/>
      <c r="I395" s="13"/>
      <c r="J395" s="8" t="s">
        <v>144</v>
      </c>
      <c r="K395" s="8"/>
      <c r="L395" s="8"/>
      <c r="M395" s="8" t="str">
        <f>IF(C395="Caixa","-",VLOOKUP(J395,[1]Estrutura!C:E,3,FALSE))</f>
        <v>4.2</v>
      </c>
      <c r="N395" s="8"/>
      <c r="O395" s="7">
        <f t="shared" si="20"/>
        <v>1</v>
      </c>
      <c r="P395" s="7">
        <f t="shared" si="21"/>
        <v>7</v>
      </c>
      <c r="Q395" s="7">
        <f t="shared" si="22"/>
        <v>2026</v>
      </c>
      <c r="R395" s="6">
        <f t="shared" si="23"/>
        <v>-513.70000000000005</v>
      </c>
      <c r="S395" s="12">
        <v>46204</v>
      </c>
    </row>
    <row r="396" spans="1:19">
      <c r="A396" s="12">
        <v>46204</v>
      </c>
      <c r="B396" s="7" t="s">
        <v>122</v>
      </c>
      <c r="C396" s="7" t="s">
        <v>6</v>
      </c>
      <c r="D396" s="11"/>
      <c r="E396" s="11">
        <v>255.84</v>
      </c>
      <c r="F396" s="15" t="s">
        <v>184</v>
      </c>
      <c r="G396" s="11" t="s">
        <v>188</v>
      </c>
      <c r="H396" s="10"/>
      <c r="I396" s="9"/>
      <c r="J396" s="7" t="s">
        <v>144</v>
      </c>
      <c r="K396" s="7"/>
      <c r="L396" s="7"/>
      <c r="M396" s="7" t="str">
        <f>IF(C396="Caixa","-",VLOOKUP(J396,[1]Estrutura!C:E,3,FALSE))</f>
        <v>4.2</v>
      </c>
      <c r="N396" s="7"/>
      <c r="O396" s="7">
        <f t="shared" si="20"/>
        <v>1</v>
      </c>
      <c r="P396" s="7">
        <f t="shared" si="21"/>
        <v>7</v>
      </c>
      <c r="Q396" s="7">
        <f t="shared" si="22"/>
        <v>2026</v>
      </c>
      <c r="R396" s="6">
        <f t="shared" si="23"/>
        <v>-255.84</v>
      </c>
      <c r="S396" s="16">
        <v>46204</v>
      </c>
    </row>
    <row r="397" spans="1:19">
      <c r="A397" s="16">
        <v>46204</v>
      </c>
      <c r="B397" s="8" t="s">
        <v>122</v>
      </c>
      <c r="C397" s="8" t="s">
        <v>9</v>
      </c>
      <c r="D397" s="15"/>
      <c r="E397" s="15">
        <v>3458.51</v>
      </c>
      <c r="F397" s="15" t="s">
        <v>228</v>
      </c>
      <c r="G397" s="8" t="s">
        <v>231</v>
      </c>
      <c r="H397" s="14"/>
      <c r="I397" s="13"/>
      <c r="J397" s="8" t="s">
        <v>144</v>
      </c>
      <c r="K397" s="8"/>
      <c r="L397" s="8"/>
      <c r="M397" s="8" t="str">
        <f>IF(C397="Caixa","-",VLOOKUP(J397,[1]Estrutura!C:E,3,FALSE))</f>
        <v>4.2</v>
      </c>
      <c r="N397" s="8"/>
      <c r="O397" s="7">
        <f t="shared" si="20"/>
        <v>1</v>
      </c>
      <c r="P397" s="7">
        <f t="shared" si="21"/>
        <v>7</v>
      </c>
      <c r="Q397" s="7">
        <f t="shared" si="22"/>
        <v>2026</v>
      </c>
      <c r="R397" s="6">
        <f t="shared" si="23"/>
        <v>-3458.51</v>
      </c>
      <c r="S397" s="12">
        <v>46204</v>
      </c>
    </row>
    <row r="398" spans="1:19">
      <c r="A398" s="16">
        <v>46204</v>
      </c>
      <c r="B398" s="8" t="s">
        <v>122</v>
      </c>
      <c r="C398" s="8" t="s">
        <v>6</v>
      </c>
      <c r="D398" s="15"/>
      <c r="E398" s="15">
        <v>5072.82</v>
      </c>
      <c r="F398" s="15" t="s">
        <v>184</v>
      </c>
      <c r="G398" s="8" t="s">
        <v>698</v>
      </c>
      <c r="H398" s="14"/>
      <c r="I398" s="13"/>
      <c r="J398" s="8" t="s">
        <v>144</v>
      </c>
      <c r="K398" s="8"/>
      <c r="L398" s="7"/>
      <c r="M398" s="7" t="str">
        <f>IF(C398="Caixa","-",VLOOKUP(J398,[1]Estrutura!C:E,3,FALSE))</f>
        <v>4.2</v>
      </c>
      <c r="N398" s="7"/>
      <c r="O398" s="7">
        <f t="shared" ref="O398:O461" si="24">DAY(A398)</f>
        <v>1</v>
      </c>
      <c r="P398" s="7">
        <f t="shared" ref="P398:P461" si="25">MONTH(A398)</f>
        <v>7</v>
      </c>
      <c r="Q398" s="7">
        <f t="shared" ref="Q398:Q461" si="26">YEAR(A398)</f>
        <v>2026</v>
      </c>
      <c r="R398" s="6">
        <f t="shared" ref="R398:R461" si="27">D398-E398</f>
        <v>-5072.82</v>
      </c>
      <c r="S398" s="16">
        <v>46204</v>
      </c>
    </row>
    <row r="399" spans="1:19">
      <c r="A399" s="12">
        <v>46204</v>
      </c>
      <c r="B399" s="7" t="s">
        <v>122</v>
      </c>
      <c r="C399" s="7" t="s">
        <v>6</v>
      </c>
      <c r="D399" s="11"/>
      <c r="E399" s="11">
        <v>212.52</v>
      </c>
      <c r="F399" s="15" t="s">
        <v>184</v>
      </c>
      <c r="G399" s="7" t="s">
        <v>186</v>
      </c>
      <c r="H399" s="10"/>
      <c r="I399" s="9"/>
      <c r="J399" s="7" t="s">
        <v>144</v>
      </c>
      <c r="K399" s="7"/>
      <c r="L399" s="8"/>
      <c r="M399" s="8" t="str">
        <f>IF(C399="Caixa","-",VLOOKUP(J399,[1]Estrutura!C:E,3,FALSE))</f>
        <v>4.2</v>
      </c>
      <c r="N399" s="8"/>
      <c r="O399" s="7">
        <f t="shared" si="24"/>
        <v>1</v>
      </c>
      <c r="P399" s="7">
        <f t="shared" si="25"/>
        <v>7</v>
      </c>
      <c r="Q399" s="7">
        <f t="shared" si="26"/>
        <v>2026</v>
      </c>
      <c r="R399" s="6">
        <f t="shared" si="27"/>
        <v>-212.52</v>
      </c>
      <c r="S399" s="16">
        <v>46204</v>
      </c>
    </row>
    <row r="400" spans="1:19">
      <c r="A400" s="16">
        <v>46204</v>
      </c>
      <c r="B400" s="15" t="s">
        <v>122</v>
      </c>
      <c r="C400" s="8" t="s">
        <v>6</v>
      </c>
      <c r="D400" s="15"/>
      <c r="E400" s="15">
        <v>212.52</v>
      </c>
      <c r="F400" s="15" t="s">
        <v>184</v>
      </c>
      <c r="G400" s="8" t="s">
        <v>186</v>
      </c>
      <c r="H400" s="14"/>
      <c r="I400" s="13"/>
      <c r="J400" s="8" t="s">
        <v>144</v>
      </c>
      <c r="K400" s="8"/>
      <c r="L400" s="7"/>
      <c r="M400" s="7" t="str">
        <f>IF(C400="Caixa","-",VLOOKUP(J400,[1]Estrutura!C:E,3,FALSE))</f>
        <v>4.2</v>
      </c>
      <c r="N400" s="7"/>
      <c r="O400" s="7">
        <f t="shared" si="24"/>
        <v>1</v>
      </c>
      <c r="P400" s="7">
        <f t="shared" si="25"/>
        <v>7</v>
      </c>
      <c r="Q400" s="7">
        <f t="shared" si="26"/>
        <v>2026</v>
      </c>
      <c r="R400" s="6">
        <f t="shared" si="27"/>
        <v>-212.52</v>
      </c>
      <c r="S400" s="12">
        <v>46204</v>
      </c>
    </row>
    <row r="401" spans="1:19">
      <c r="A401" s="12">
        <v>46204</v>
      </c>
      <c r="B401" s="7" t="s">
        <v>122</v>
      </c>
      <c r="C401" s="7" t="s">
        <v>6</v>
      </c>
      <c r="D401" s="11"/>
      <c r="E401" s="11">
        <v>253.64</v>
      </c>
      <c r="F401" s="15" t="s">
        <v>184</v>
      </c>
      <c r="G401" s="7" t="s">
        <v>185</v>
      </c>
      <c r="H401" s="10"/>
      <c r="I401" s="9"/>
      <c r="J401" s="7" t="s">
        <v>144</v>
      </c>
      <c r="K401" s="7"/>
      <c r="L401" s="8"/>
      <c r="M401" s="8" t="str">
        <f>IF(C401="Caixa","-",VLOOKUP(J401,[1]Estrutura!C:E,3,FALSE))</f>
        <v>4.2</v>
      </c>
      <c r="N401" s="8"/>
      <c r="O401" s="7">
        <f t="shared" si="24"/>
        <v>1</v>
      </c>
      <c r="P401" s="7">
        <f t="shared" si="25"/>
        <v>7</v>
      </c>
      <c r="Q401" s="7">
        <f t="shared" si="26"/>
        <v>2026</v>
      </c>
      <c r="R401" s="6">
        <f t="shared" si="27"/>
        <v>-253.64</v>
      </c>
      <c r="S401" s="16">
        <v>46204</v>
      </c>
    </row>
    <row r="402" spans="1:19">
      <c r="A402" s="12">
        <v>46204</v>
      </c>
      <c r="B402" s="8" t="s">
        <v>122</v>
      </c>
      <c r="C402" s="7" t="s">
        <v>9</v>
      </c>
      <c r="D402" s="11"/>
      <c r="E402" s="11">
        <v>140.83000000000001</v>
      </c>
      <c r="F402" s="11" t="s">
        <v>228</v>
      </c>
      <c r="G402" s="7" t="s">
        <v>230</v>
      </c>
      <c r="H402" s="10"/>
      <c r="I402" s="9"/>
      <c r="J402" s="7" t="s">
        <v>144</v>
      </c>
      <c r="K402" s="7"/>
      <c r="L402" s="7"/>
      <c r="M402" s="7" t="str">
        <f>IF(C402="Caixa","-",VLOOKUP(J402,[1]Estrutura!C:E,3,FALSE))</f>
        <v>4.2</v>
      </c>
      <c r="N402" s="7"/>
      <c r="O402" s="7">
        <f t="shared" si="24"/>
        <v>1</v>
      </c>
      <c r="P402" s="7">
        <f t="shared" si="25"/>
        <v>7</v>
      </c>
      <c r="Q402" s="7">
        <f t="shared" si="26"/>
        <v>2026</v>
      </c>
      <c r="R402" s="6">
        <f t="shared" si="27"/>
        <v>-140.83000000000001</v>
      </c>
      <c r="S402" s="12">
        <v>46204</v>
      </c>
    </row>
    <row r="403" spans="1:19">
      <c r="A403" s="16">
        <v>46204</v>
      </c>
      <c r="B403" s="8" t="s">
        <v>122</v>
      </c>
      <c r="C403" s="8" t="s">
        <v>9</v>
      </c>
      <c r="D403" s="15"/>
      <c r="E403" s="15">
        <v>425.55</v>
      </c>
      <c r="F403" s="15" t="s">
        <v>228</v>
      </c>
      <c r="G403" s="8" t="s">
        <v>229</v>
      </c>
      <c r="H403" s="14"/>
      <c r="I403" s="13"/>
      <c r="J403" s="8" t="s">
        <v>144</v>
      </c>
      <c r="K403" s="8"/>
      <c r="L403" s="8"/>
      <c r="M403" s="8" t="str">
        <f>IF(C403="Caixa","-",VLOOKUP(J403,[1]Estrutura!C:E,3,FALSE))</f>
        <v>4.2</v>
      </c>
      <c r="N403" s="8"/>
      <c r="O403" s="7">
        <f t="shared" si="24"/>
        <v>1</v>
      </c>
      <c r="P403" s="7">
        <f t="shared" si="25"/>
        <v>7</v>
      </c>
      <c r="Q403" s="7">
        <f t="shared" si="26"/>
        <v>2026</v>
      </c>
      <c r="R403" s="6">
        <f t="shared" si="27"/>
        <v>-425.55</v>
      </c>
      <c r="S403" s="16">
        <v>46204</v>
      </c>
    </row>
    <row r="404" spans="1:19">
      <c r="A404" s="12">
        <v>46204</v>
      </c>
      <c r="B404" s="8" t="s">
        <v>122</v>
      </c>
      <c r="C404" s="7" t="s">
        <v>9</v>
      </c>
      <c r="D404" s="11"/>
      <c r="E404" s="11">
        <v>316.41000000000003</v>
      </c>
      <c r="F404" s="11" t="s">
        <v>228</v>
      </c>
      <c r="G404" s="7" t="s">
        <v>227</v>
      </c>
      <c r="H404" s="10"/>
      <c r="I404" s="9"/>
      <c r="J404" s="7" t="s">
        <v>144</v>
      </c>
      <c r="K404" s="7"/>
      <c r="L404" s="7"/>
      <c r="M404" s="7" t="str">
        <f>IF(C404="Caixa","-",VLOOKUP(J404,[1]Estrutura!C:E,3,FALSE))</f>
        <v>4.2</v>
      </c>
      <c r="N404" s="7"/>
      <c r="O404" s="7">
        <f t="shared" si="24"/>
        <v>1</v>
      </c>
      <c r="P404" s="7">
        <f t="shared" si="25"/>
        <v>7</v>
      </c>
      <c r="Q404" s="7">
        <f t="shared" si="26"/>
        <v>2026</v>
      </c>
      <c r="R404" s="6">
        <f t="shared" si="27"/>
        <v>-316.41000000000003</v>
      </c>
      <c r="S404" s="12">
        <v>46204</v>
      </c>
    </row>
    <row r="405" spans="1:19">
      <c r="A405" s="12">
        <v>46204</v>
      </c>
      <c r="B405" s="7" t="s">
        <v>14</v>
      </c>
      <c r="C405" s="7" t="s">
        <v>9</v>
      </c>
      <c r="D405" s="11"/>
      <c r="E405" s="15">
        <v>4953</v>
      </c>
      <c r="F405" s="15" t="s">
        <v>146</v>
      </c>
      <c r="G405" s="7" t="s">
        <v>697</v>
      </c>
      <c r="H405" s="10"/>
      <c r="I405" s="9"/>
      <c r="J405" s="7" t="s">
        <v>144</v>
      </c>
      <c r="K405" s="7"/>
      <c r="L405" s="8"/>
      <c r="M405" s="8" t="str">
        <f>IF(C405="Caixa","-",VLOOKUP(J405,[1]Estrutura!C:E,3,FALSE))</f>
        <v>4.2</v>
      </c>
      <c r="N405" s="8"/>
      <c r="O405" s="7">
        <f t="shared" si="24"/>
        <v>1</v>
      </c>
      <c r="P405" s="7">
        <f t="shared" si="25"/>
        <v>7</v>
      </c>
      <c r="Q405" s="7">
        <f t="shared" si="26"/>
        <v>2026</v>
      </c>
      <c r="R405" s="6">
        <f t="shared" si="27"/>
        <v>-4953</v>
      </c>
      <c r="S405" s="16">
        <v>46204</v>
      </c>
    </row>
    <row r="406" spans="1:19">
      <c r="A406" s="16">
        <v>46204</v>
      </c>
      <c r="B406" s="8" t="s">
        <v>14</v>
      </c>
      <c r="C406" s="8" t="s">
        <v>9</v>
      </c>
      <c r="D406" s="15"/>
      <c r="E406" s="15">
        <v>4953</v>
      </c>
      <c r="F406" s="15" t="s">
        <v>146</v>
      </c>
      <c r="G406" s="8" t="s">
        <v>697</v>
      </c>
      <c r="H406" s="14"/>
      <c r="I406" s="13"/>
      <c r="J406" s="8" t="s">
        <v>144</v>
      </c>
      <c r="K406" s="8"/>
      <c r="L406" s="7"/>
      <c r="M406" s="7" t="str">
        <f>IF(C406="Caixa","-",VLOOKUP(J406,[1]Estrutura!C:E,3,FALSE))</f>
        <v>4.2</v>
      </c>
      <c r="N406" s="7"/>
      <c r="O406" s="7">
        <f t="shared" si="24"/>
        <v>1</v>
      </c>
      <c r="P406" s="7">
        <f t="shared" si="25"/>
        <v>7</v>
      </c>
      <c r="Q406" s="7">
        <f t="shared" si="26"/>
        <v>2026</v>
      </c>
      <c r="R406" s="6">
        <f t="shared" si="27"/>
        <v>-4953</v>
      </c>
      <c r="S406" s="12">
        <v>46204</v>
      </c>
    </row>
    <row r="407" spans="1:19">
      <c r="A407" s="12">
        <v>46204</v>
      </c>
      <c r="B407" s="7" t="s">
        <v>14</v>
      </c>
      <c r="C407" s="7" t="s">
        <v>9</v>
      </c>
      <c r="D407" s="11"/>
      <c r="E407" s="11">
        <v>100</v>
      </c>
      <c r="F407" s="15" t="s">
        <v>146</v>
      </c>
      <c r="G407" s="7" t="s">
        <v>504</v>
      </c>
      <c r="H407" s="10"/>
      <c r="I407" s="9"/>
      <c r="J407" s="7" t="s">
        <v>144</v>
      </c>
      <c r="K407" s="7"/>
      <c r="L407" s="8"/>
      <c r="M407" s="8" t="str">
        <f>IF(C407="Caixa","-",VLOOKUP(J407,[1]Estrutura!C:E,3,FALSE))</f>
        <v>4.2</v>
      </c>
      <c r="N407" s="8"/>
      <c r="O407" s="7">
        <f t="shared" si="24"/>
        <v>1</v>
      </c>
      <c r="P407" s="7">
        <f t="shared" si="25"/>
        <v>7</v>
      </c>
      <c r="Q407" s="7">
        <f t="shared" si="26"/>
        <v>2026</v>
      </c>
      <c r="R407" s="6">
        <f t="shared" si="27"/>
        <v>-100</v>
      </c>
      <c r="S407" s="19">
        <v>46204</v>
      </c>
    </row>
    <row r="408" spans="1:19">
      <c r="A408" s="16">
        <v>46204</v>
      </c>
      <c r="B408" s="8" t="s">
        <v>14</v>
      </c>
      <c r="C408" s="8" t="s">
        <v>9</v>
      </c>
      <c r="D408" s="15"/>
      <c r="E408" s="11">
        <v>100</v>
      </c>
      <c r="F408" s="15" t="s">
        <v>146</v>
      </c>
      <c r="G408" s="8" t="s">
        <v>504</v>
      </c>
      <c r="H408" s="14"/>
      <c r="I408" s="13"/>
      <c r="J408" s="8" t="s">
        <v>144</v>
      </c>
      <c r="K408" s="8"/>
      <c r="L408" s="7"/>
      <c r="M408" s="7" t="str">
        <f>IF(C408="Caixa","-",VLOOKUP(J408,[1]Estrutura!C:E,3,FALSE))</f>
        <v>4.2</v>
      </c>
      <c r="N408" s="7"/>
      <c r="O408" s="7">
        <f t="shared" si="24"/>
        <v>1</v>
      </c>
      <c r="P408" s="7">
        <f t="shared" si="25"/>
        <v>7</v>
      </c>
      <c r="Q408" s="7">
        <f t="shared" si="26"/>
        <v>2026</v>
      </c>
      <c r="R408" s="6">
        <f t="shared" si="27"/>
        <v>-100</v>
      </c>
      <c r="S408" s="23">
        <v>46204</v>
      </c>
    </row>
    <row r="409" spans="1:19">
      <c r="A409" s="16">
        <v>46204</v>
      </c>
      <c r="B409" s="8" t="s">
        <v>14</v>
      </c>
      <c r="C409" s="8" t="s">
        <v>9</v>
      </c>
      <c r="D409" s="15"/>
      <c r="E409" s="15">
        <v>35838.239999999998</v>
      </c>
      <c r="F409" s="15" t="s">
        <v>212</v>
      </c>
      <c r="G409" s="8" t="s">
        <v>696</v>
      </c>
      <c r="H409" s="14"/>
      <c r="I409" s="13"/>
      <c r="J409" s="21" t="s">
        <v>210</v>
      </c>
      <c r="K409" s="8"/>
      <c r="L409" s="8"/>
      <c r="M409" s="8" t="str">
        <f>IF(C409="Caixa","-",VLOOKUP(J409,[1]Estrutura!C:E,3,FALSE))</f>
        <v>4.12</v>
      </c>
      <c r="N409" s="8"/>
      <c r="O409" s="7">
        <f t="shared" si="24"/>
        <v>1</v>
      </c>
      <c r="P409" s="7">
        <f t="shared" si="25"/>
        <v>7</v>
      </c>
      <c r="Q409" s="7">
        <f t="shared" si="26"/>
        <v>2026</v>
      </c>
      <c r="R409" s="6">
        <f t="shared" si="27"/>
        <v>-35838.239999999998</v>
      </c>
      <c r="S409" s="19">
        <v>46204</v>
      </c>
    </row>
    <row r="410" spans="1:19">
      <c r="A410" s="12">
        <v>46204</v>
      </c>
      <c r="B410" s="7" t="s">
        <v>14</v>
      </c>
      <c r="C410" s="7" t="s">
        <v>9</v>
      </c>
      <c r="D410" s="11"/>
      <c r="E410" s="11">
        <v>150.82</v>
      </c>
      <c r="F410" s="11" t="s">
        <v>125</v>
      </c>
      <c r="G410" s="7" t="s">
        <v>392</v>
      </c>
      <c r="H410" s="10"/>
      <c r="I410" s="9"/>
      <c r="J410" s="8" t="s">
        <v>99</v>
      </c>
      <c r="K410" s="7"/>
      <c r="L410" s="7"/>
      <c r="M410" s="7" t="str">
        <f>IF(C410="Caixa","-",VLOOKUP(J410,[1]Estrutura!C:E,3,FALSE))</f>
        <v>4.3</v>
      </c>
      <c r="N410" s="7"/>
      <c r="O410" s="7">
        <f t="shared" si="24"/>
        <v>1</v>
      </c>
      <c r="P410" s="7">
        <f t="shared" si="25"/>
        <v>7</v>
      </c>
      <c r="Q410" s="7">
        <f t="shared" si="26"/>
        <v>2026</v>
      </c>
      <c r="R410" s="6">
        <f t="shared" si="27"/>
        <v>-150.82</v>
      </c>
      <c r="S410" s="23">
        <v>46204</v>
      </c>
    </row>
    <row r="411" spans="1:19">
      <c r="A411" s="16">
        <v>46204</v>
      </c>
      <c r="B411" s="8" t="s">
        <v>14</v>
      </c>
      <c r="C411" s="8" t="s">
        <v>9</v>
      </c>
      <c r="D411" s="15"/>
      <c r="E411" s="15">
        <v>284.8</v>
      </c>
      <c r="F411" s="15" t="s">
        <v>695</v>
      </c>
      <c r="G411" s="8" t="s">
        <v>694</v>
      </c>
      <c r="H411" s="14"/>
      <c r="I411" s="13"/>
      <c r="J411" s="8" t="s">
        <v>17</v>
      </c>
      <c r="K411" s="8"/>
      <c r="L411" s="8"/>
      <c r="M411" s="8" t="str">
        <f>IF(C411="Caixa","-",VLOOKUP(J411,[1]Estrutura!C:E,3,FALSE))</f>
        <v>4.4</v>
      </c>
      <c r="N411" s="8"/>
      <c r="O411" s="7">
        <f t="shared" si="24"/>
        <v>1</v>
      </c>
      <c r="P411" s="7">
        <f t="shared" si="25"/>
        <v>7</v>
      </c>
      <c r="Q411" s="7">
        <f t="shared" si="26"/>
        <v>2026</v>
      </c>
      <c r="R411" s="6">
        <f t="shared" si="27"/>
        <v>-284.8</v>
      </c>
      <c r="S411" s="16">
        <v>46204</v>
      </c>
    </row>
    <row r="412" spans="1:19">
      <c r="A412" s="12">
        <v>46204</v>
      </c>
      <c r="B412" s="7" t="s">
        <v>14</v>
      </c>
      <c r="C412" s="7" t="s">
        <v>9</v>
      </c>
      <c r="D412" s="11"/>
      <c r="E412" s="11">
        <v>284.8</v>
      </c>
      <c r="F412" s="11" t="s">
        <v>695</v>
      </c>
      <c r="G412" s="7" t="s">
        <v>694</v>
      </c>
      <c r="H412" s="10"/>
      <c r="I412" s="9"/>
      <c r="J412" s="7" t="s">
        <v>17</v>
      </c>
      <c r="K412" s="7"/>
      <c r="L412" s="7"/>
      <c r="M412" s="7" t="str">
        <f>IF(C412="Caixa","-",VLOOKUP(J412,[1]Estrutura!C:E,3,FALSE))</f>
        <v>4.4</v>
      </c>
      <c r="N412" s="7"/>
      <c r="O412" s="7">
        <f t="shared" si="24"/>
        <v>1</v>
      </c>
      <c r="P412" s="7">
        <f t="shared" si="25"/>
        <v>7</v>
      </c>
      <c r="Q412" s="7">
        <f t="shared" si="26"/>
        <v>2026</v>
      </c>
      <c r="R412" s="6">
        <f t="shared" si="27"/>
        <v>-284.8</v>
      </c>
      <c r="S412" s="12">
        <v>46204</v>
      </c>
    </row>
    <row r="413" spans="1:19">
      <c r="A413" s="16">
        <v>46204</v>
      </c>
      <c r="B413" s="8" t="s">
        <v>14</v>
      </c>
      <c r="C413" s="8" t="s">
        <v>9</v>
      </c>
      <c r="D413" s="15"/>
      <c r="E413" s="15">
        <v>220.9</v>
      </c>
      <c r="F413" s="15" t="s">
        <v>693</v>
      </c>
      <c r="G413" s="8" t="s">
        <v>692</v>
      </c>
      <c r="H413" s="14"/>
      <c r="I413" s="13"/>
      <c r="J413" s="8" t="s">
        <v>17</v>
      </c>
      <c r="K413" s="8"/>
      <c r="L413" s="8"/>
      <c r="M413" s="8" t="str">
        <f>IF(C413="Caixa","-",VLOOKUP(J413,[1]Estrutura!C:E,3,FALSE))</f>
        <v>4.4</v>
      </c>
      <c r="N413" s="8"/>
      <c r="O413" s="7">
        <f t="shared" si="24"/>
        <v>1</v>
      </c>
      <c r="P413" s="7">
        <f t="shared" si="25"/>
        <v>7</v>
      </c>
      <c r="Q413" s="7">
        <f t="shared" si="26"/>
        <v>2026</v>
      </c>
      <c r="R413" s="6">
        <f t="shared" si="27"/>
        <v>-220.9</v>
      </c>
      <c r="S413" s="16">
        <v>46205</v>
      </c>
    </row>
    <row r="414" spans="1:19">
      <c r="A414" s="12">
        <v>46204</v>
      </c>
      <c r="B414" s="7" t="s">
        <v>14</v>
      </c>
      <c r="C414" s="7" t="s">
        <v>9</v>
      </c>
      <c r="D414" s="11"/>
      <c r="E414" s="11">
        <v>950</v>
      </c>
      <c r="F414" s="11" t="s">
        <v>226</v>
      </c>
      <c r="G414" s="7" t="s">
        <v>615</v>
      </c>
      <c r="H414" s="10"/>
      <c r="I414" s="9"/>
      <c r="J414" s="7" t="s">
        <v>17</v>
      </c>
      <c r="K414" s="7"/>
      <c r="L414" s="7"/>
      <c r="M414" s="7" t="str">
        <f>IF(C414="Caixa","-",VLOOKUP(J414,[1]Estrutura!C:E,3,FALSE))</f>
        <v>4.4</v>
      </c>
      <c r="N414" s="7"/>
      <c r="O414" s="7">
        <f t="shared" si="24"/>
        <v>1</v>
      </c>
      <c r="P414" s="7">
        <f t="shared" si="25"/>
        <v>7</v>
      </c>
      <c r="Q414" s="7">
        <f t="shared" si="26"/>
        <v>2026</v>
      </c>
      <c r="R414" s="6">
        <f t="shared" si="27"/>
        <v>-950</v>
      </c>
      <c r="S414" s="12">
        <v>46205</v>
      </c>
    </row>
    <row r="415" spans="1:19">
      <c r="A415" s="16">
        <v>46204</v>
      </c>
      <c r="B415" s="8" t="s">
        <v>26</v>
      </c>
      <c r="C415" s="8" t="s">
        <v>6</v>
      </c>
      <c r="D415" s="15"/>
      <c r="E415" s="15">
        <v>800</v>
      </c>
      <c r="F415" s="15" t="s">
        <v>223</v>
      </c>
      <c r="G415" s="8" t="s">
        <v>224</v>
      </c>
      <c r="H415" s="14"/>
      <c r="I415" s="56"/>
      <c r="J415" s="8" t="s">
        <v>201</v>
      </c>
      <c r="K415" s="8" t="s">
        <v>21</v>
      </c>
      <c r="L415" s="8"/>
      <c r="M415" s="8" t="str">
        <f>IF(C415="Caixa","-",VLOOKUP(J415,[1]Estrutura!C:E,3,FALSE))</f>
        <v>4.4</v>
      </c>
      <c r="N415" s="8"/>
      <c r="O415" s="7">
        <f t="shared" si="24"/>
        <v>1</v>
      </c>
      <c r="P415" s="7">
        <f t="shared" si="25"/>
        <v>7</v>
      </c>
      <c r="Q415" s="7">
        <f t="shared" si="26"/>
        <v>2026</v>
      </c>
      <c r="R415" s="6">
        <f t="shared" si="27"/>
        <v>-800</v>
      </c>
      <c r="S415" s="16">
        <v>46205</v>
      </c>
    </row>
    <row r="416" spans="1:19">
      <c r="A416" s="12">
        <v>46204</v>
      </c>
      <c r="B416" s="7" t="s">
        <v>26</v>
      </c>
      <c r="C416" s="7" t="s">
        <v>6</v>
      </c>
      <c r="D416" s="11"/>
      <c r="E416" s="11">
        <v>800</v>
      </c>
      <c r="F416" s="11" t="s">
        <v>223</v>
      </c>
      <c r="G416" s="7" t="s">
        <v>224</v>
      </c>
      <c r="H416" s="10"/>
      <c r="I416" s="55"/>
      <c r="J416" s="7" t="s">
        <v>201</v>
      </c>
      <c r="K416" s="7" t="s">
        <v>21</v>
      </c>
      <c r="L416" s="7"/>
      <c r="M416" s="7" t="str">
        <f>IF(C416="Caixa","-",VLOOKUP(J416,[1]Estrutura!C:E,3,FALSE))</f>
        <v>4.4</v>
      </c>
      <c r="N416" s="7"/>
      <c r="O416" s="7">
        <f t="shared" si="24"/>
        <v>1</v>
      </c>
      <c r="P416" s="7">
        <f t="shared" si="25"/>
        <v>7</v>
      </c>
      <c r="Q416" s="7">
        <f t="shared" si="26"/>
        <v>2026</v>
      </c>
      <c r="R416" s="6">
        <f t="shared" si="27"/>
        <v>-800</v>
      </c>
      <c r="S416" s="16">
        <v>46206</v>
      </c>
    </row>
    <row r="417" spans="1:19">
      <c r="A417" s="19">
        <v>46204</v>
      </c>
      <c r="B417" s="8" t="s">
        <v>26</v>
      </c>
      <c r="C417" s="8" t="s">
        <v>6</v>
      </c>
      <c r="D417" s="15"/>
      <c r="E417" s="15">
        <v>283.32</v>
      </c>
      <c r="F417" s="15" t="s">
        <v>219</v>
      </c>
      <c r="G417" s="24" t="s">
        <v>221</v>
      </c>
      <c r="H417" s="14"/>
      <c r="I417" s="25"/>
      <c r="J417" s="8" t="s">
        <v>144</v>
      </c>
      <c r="K417" s="24" t="s">
        <v>21</v>
      </c>
      <c r="L417" s="8"/>
      <c r="M417" s="8" t="str">
        <f>IF(C417="Caixa","-",VLOOKUP(J417,[1]Estrutura!C:E,3,FALSE))</f>
        <v>4.2</v>
      </c>
      <c r="N417" s="8"/>
      <c r="O417" s="7">
        <f t="shared" si="24"/>
        <v>1</v>
      </c>
      <c r="P417" s="7">
        <f t="shared" si="25"/>
        <v>7</v>
      </c>
      <c r="Q417" s="7">
        <f t="shared" si="26"/>
        <v>2026</v>
      </c>
      <c r="R417" s="6">
        <f t="shared" si="27"/>
        <v>-283.32</v>
      </c>
      <c r="S417" s="16">
        <v>46206</v>
      </c>
    </row>
    <row r="418" spans="1:19">
      <c r="A418" s="23">
        <v>46204</v>
      </c>
      <c r="B418" s="18" t="s">
        <v>26</v>
      </c>
      <c r="C418" s="7" t="s">
        <v>6</v>
      </c>
      <c r="D418" s="11"/>
      <c r="E418" s="15">
        <v>7515.24</v>
      </c>
      <c r="F418" s="11" t="s">
        <v>219</v>
      </c>
      <c r="G418" s="18" t="s">
        <v>691</v>
      </c>
      <c r="H418" s="10"/>
      <c r="I418" s="22"/>
      <c r="J418" s="7" t="s">
        <v>144</v>
      </c>
      <c r="K418" s="18" t="s">
        <v>21</v>
      </c>
      <c r="L418" s="7"/>
      <c r="M418" s="7" t="str">
        <f>IF(C418="Caixa","-",VLOOKUP(J418,[1]Estrutura!C:E,3,FALSE))</f>
        <v>4.2</v>
      </c>
      <c r="N418" s="7"/>
      <c r="O418" s="7">
        <f t="shared" si="24"/>
        <v>1</v>
      </c>
      <c r="P418" s="7">
        <f t="shared" si="25"/>
        <v>7</v>
      </c>
      <c r="Q418" s="7">
        <f t="shared" si="26"/>
        <v>2026</v>
      </c>
      <c r="R418" s="6">
        <f t="shared" si="27"/>
        <v>-7515.24</v>
      </c>
      <c r="S418" s="12">
        <v>46206</v>
      </c>
    </row>
    <row r="419" spans="1:19">
      <c r="A419" s="19">
        <v>46204</v>
      </c>
      <c r="B419" s="8" t="s">
        <v>26</v>
      </c>
      <c r="C419" s="8" t="s">
        <v>6</v>
      </c>
      <c r="D419" s="15"/>
      <c r="E419" s="15">
        <v>681.34</v>
      </c>
      <c r="F419" s="15" t="s">
        <v>219</v>
      </c>
      <c r="G419" s="24" t="s">
        <v>218</v>
      </c>
      <c r="H419" s="14"/>
      <c r="I419" s="25"/>
      <c r="J419" s="8" t="s">
        <v>144</v>
      </c>
      <c r="K419" s="24" t="s">
        <v>21</v>
      </c>
      <c r="L419" s="8"/>
      <c r="M419" s="8" t="str">
        <f>IF(C419="Caixa","-",VLOOKUP(J419,[1]Estrutura!C:E,3,FALSE))</f>
        <v>4.2</v>
      </c>
      <c r="N419" s="8"/>
      <c r="O419" s="7">
        <f t="shared" si="24"/>
        <v>1</v>
      </c>
      <c r="P419" s="7">
        <f t="shared" si="25"/>
        <v>7</v>
      </c>
      <c r="Q419" s="7">
        <f t="shared" si="26"/>
        <v>2026</v>
      </c>
      <c r="R419" s="6">
        <f t="shared" si="27"/>
        <v>-681.34</v>
      </c>
      <c r="S419" s="16">
        <v>46206</v>
      </c>
    </row>
    <row r="420" spans="1:19">
      <c r="A420" s="23">
        <v>46204</v>
      </c>
      <c r="B420" s="7" t="s">
        <v>26</v>
      </c>
      <c r="C420" s="7" t="s">
        <v>6</v>
      </c>
      <c r="D420" s="11"/>
      <c r="E420" s="11">
        <v>1000</v>
      </c>
      <c r="F420" s="11" t="s">
        <v>199</v>
      </c>
      <c r="G420" s="7" t="s">
        <v>57</v>
      </c>
      <c r="H420" s="10"/>
      <c r="I420" s="9"/>
      <c r="J420" s="7" t="s">
        <v>56</v>
      </c>
      <c r="K420" s="7" t="s">
        <v>21</v>
      </c>
      <c r="L420" s="7"/>
      <c r="M420" s="7" t="str">
        <f>IF(C420="Caixa","-",VLOOKUP(J420,[1]Estrutura!C:E,3,FALSE))</f>
        <v>6.1</v>
      </c>
      <c r="N420" s="7"/>
      <c r="O420" s="7">
        <f t="shared" si="24"/>
        <v>1</v>
      </c>
      <c r="P420" s="7">
        <f t="shared" si="25"/>
        <v>7</v>
      </c>
      <c r="Q420" s="7">
        <f t="shared" si="26"/>
        <v>2026</v>
      </c>
      <c r="R420" s="6">
        <f t="shared" si="27"/>
        <v>-1000</v>
      </c>
      <c r="S420" s="12">
        <v>46207</v>
      </c>
    </row>
    <row r="421" spans="1:19">
      <c r="A421" s="16">
        <v>46204</v>
      </c>
      <c r="B421" s="8" t="s">
        <v>26</v>
      </c>
      <c r="C421" s="8" t="s">
        <v>6</v>
      </c>
      <c r="D421" s="15"/>
      <c r="E421" s="15">
        <v>147.69</v>
      </c>
      <c r="F421" s="15" t="s">
        <v>101</v>
      </c>
      <c r="G421" s="8" t="s">
        <v>611</v>
      </c>
      <c r="H421" s="14"/>
      <c r="I421" s="13"/>
      <c r="J421" s="8" t="s">
        <v>99</v>
      </c>
      <c r="K421" s="8" t="s">
        <v>34</v>
      </c>
      <c r="L421" s="8"/>
      <c r="M421" s="8" t="str">
        <f>IF(C421="Caixa","-",VLOOKUP(J421,[1]Estrutura!C:E,3,FALSE))</f>
        <v>4.3</v>
      </c>
      <c r="N421" s="8"/>
      <c r="O421" s="7">
        <f t="shared" si="24"/>
        <v>1</v>
      </c>
      <c r="P421" s="7">
        <f t="shared" si="25"/>
        <v>7</v>
      </c>
      <c r="Q421" s="7">
        <f t="shared" si="26"/>
        <v>2026</v>
      </c>
      <c r="R421" s="6">
        <f t="shared" si="27"/>
        <v>-147.69</v>
      </c>
      <c r="S421" s="16">
        <v>46207</v>
      </c>
    </row>
    <row r="422" spans="1:19">
      <c r="A422" s="12">
        <v>46204</v>
      </c>
      <c r="B422" s="7" t="s">
        <v>7</v>
      </c>
      <c r="C422" s="7" t="s">
        <v>9</v>
      </c>
      <c r="D422" s="11"/>
      <c r="E422" s="11">
        <v>100.06</v>
      </c>
      <c r="F422" s="11" t="s">
        <v>198</v>
      </c>
      <c r="G422" s="7" t="s">
        <v>290</v>
      </c>
      <c r="H422" s="10"/>
      <c r="I422" s="9"/>
      <c r="J422" s="7" t="s">
        <v>196</v>
      </c>
      <c r="K422" s="7"/>
      <c r="L422" s="7"/>
      <c r="M422" s="7" t="str">
        <f>IF(C422="Caixa","-",VLOOKUP(J422,[1]Estrutura!C:E,3,FALSE))</f>
        <v>4.3</v>
      </c>
      <c r="N422" s="7"/>
      <c r="O422" s="7">
        <f t="shared" si="24"/>
        <v>1</v>
      </c>
      <c r="P422" s="7">
        <f t="shared" si="25"/>
        <v>7</v>
      </c>
      <c r="Q422" s="7">
        <f t="shared" si="26"/>
        <v>2026</v>
      </c>
      <c r="R422" s="6">
        <f t="shared" si="27"/>
        <v>-100.06</v>
      </c>
      <c r="S422" s="16">
        <v>46208</v>
      </c>
    </row>
    <row r="423" spans="1:19">
      <c r="A423" s="16">
        <v>46205</v>
      </c>
      <c r="B423" s="8" t="s">
        <v>14</v>
      </c>
      <c r="C423" s="7" t="s">
        <v>9</v>
      </c>
      <c r="D423" s="15">
        <v>3450</v>
      </c>
      <c r="E423" s="15"/>
      <c r="F423" s="15"/>
      <c r="G423" s="8" t="s">
        <v>11</v>
      </c>
      <c r="H423" s="8"/>
      <c r="I423" s="17"/>
      <c r="J423" s="8" t="s">
        <v>10</v>
      </c>
      <c r="K423" s="8"/>
      <c r="L423" s="8"/>
      <c r="M423" s="8" t="str">
        <f>IF(C423="Caixa","-",VLOOKUP(J423,[1]Estrutura!C:E,3,FALSE))</f>
        <v>1.1</v>
      </c>
      <c r="N423" s="8"/>
      <c r="O423" s="7">
        <f t="shared" si="24"/>
        <v>2</v>
      </c>
      <c r="P423" s="7">
        <f t="shared" si="25"/>
        <v>7</v>
      </c>
      <c r="Q423" s="7">
        <f t="shared" si="26"/>
        <v>2026</v>
      </c>
      <c r="R423" s="6">
        <f t="shared" si="27"/>
        <v>3450</v>
      </c>
      <c r="S423" s="16">
        <v>46208</v>
      </c>
    </row>
    <row r="424" spans="1:19">
      <c r="A424" s="12">
        <v>46205</v>
      </c>
      <c r="B424" s="7" t="s">
        <v>26</v>
      </c>
      <c r="C424" s="7" t="s">
        <v>25</v>
      </c>
      <c r="D424" s="11"/>
      <c r="E424" s="11">
        <v>86.8</v>
      </c>
      <c r="F424" s="11"/>
      <c r="G424" s="7" t="s">
        <v>200</v>
      </c>
      <c r="H424" s="10"/>
      <c r="I424" s="9"/>
      <c r="J424" s="7" t="s">
        <v>4</v>
      </c>
      <c r="K424" s="7" t="s">
        <v>21</v>
      </c>
      <c r="L424" s="7"/>
      <c r="M424" s="7" t="str">
        <f>IF(C424="Caixa","-",VLOOKUP(J424,[1]Estrutura!C:E,3,FALSE))</f>
        <v>5.2</v>
      </c>
      <c r="N424" s="7"/>
      <c r="O424" s="7">
        <f t="shared" si="24"/>
        <v>2</v>
      </c>
      <c r="P424" s="7">
        <f t="shared" si="25"/>
        <v>7</v>
      </c>
      <c r="Q424" s="7">
        <f t="shared" si="26"/>
        <v>2026</v>
      </c>
      <c r="R424" s="6">
        <f t="shared" si="27"/>
        <v>-86.8</v>
      </c>
      <c r="S424" s="12">
        <v>46208</v>
      </c>
    </row>
    <row r="425" spans="1:19">
      <c r="A425" s="16">
        <v>46205</v>
      </c>
      <c r="B425" s="7" t="s">
        <v>7</v>
      </c>
      <c r="C425" s="7" t="s">
        <v>9</v>
      </c>
      <c r="D425" s="15">
        <v>1194.29</v>
      </c>
      <c r="E425" s="15"/>
      <c r="F425" s="15"/>
      <c r="G425" s="8" t="s">
        <v>11</v>
      </c>
      <c r="H425" s="8"/>
      <c r="I425" s="17"/>
      <c r="J425" s="8" t="s">
        <v>10</v>
      </c>
      <c r="K425" s="8"/>
      <c r="L425" s="8"/>
      <c r="M425" s="8" t="str">
        <f>IF(C425="Caixa","-",VLOOKUP(J425,[1]Estrutura!C:E,3,FALSE))</f>
        <v>1.1</v>
      </c>
      <c r="N425" s="8"/>
      <c r="O425" s="7">
        <f t="shared" si="24"/>
        <v>2</v>
      </c>
      <c r="P425" s="7">
        <f t="shared" si="25"/>
        <v>7</v>
      </c>
      <c r="Q425" s="7">
        <f t="shared" si="26"/>
        <v>2026</v>
      </c>
      <c r="R425" s="6">
        <f t="shared" si="27"/>
        <v>1194.29</v>
      </c>
      <c r="S425" s="16">
        <v>46209</v>
      </c>
    </row>
    <row r="426" spans="1:19">
      <c r="A426" s="16">
        <v>46206</v>
      </c>
      <c r="B426" s="8" t="s">
        <v>14</v>
      </c>
      <c r="C426" s="7" t="s">
        <v>9</v>
      </c>
      <c r="D426" s="15">
        <v>2111.19</v>
      </c>
      <c r="E426" s="15"/>
      <c r="F426" s="15"/>
      <c r="G426" s="8" t="s">
        <v>11</v>
      </c>
      <c r="H426" s="8"/>
      <c r="I426" s="17"/>
      <c r="J426" s="8" t="s">
        <v>10</v>
      </c>
      <c r="K426" s="8"/>
      <c r="L426" s="7"/>
      <c r="M426" s="7" t="str">
        <f>IF(C426="Caixa","-",VLOOKUP(J426,[1]Estrutura!C:E,3,FALSE))</f>
        <v>1.1</v>
      </c>
      <c r="N426" s="7"/>
      <c r="O426" s="7">
        <f t="shared" si="24"/>
        <v>3</v>
      </c>
      <c r="P426" s="7">
        <f t="shared" si="25"/>
        <v>7</v>
      </c>
      <c r="Q426" s="7">
        <f t="shared" si="26"/>
        <v>2026</v>
      </c>
      <c r="R426" s="6">
        <f t="shared" si="27"/>
        <v>2111.19</v>
      </c>
      <c r="S426" s="16">
        <v>46210</v>
      </c>
    </row>
    <row r="427" spans="1:19">
      <c r="A427" s="16">
        <v>46206</v>
      </c>
      <c r="B427" s="8" t="s">
        <v>26</v>
      </c>
      <c r="C427" s="8" t="s">
        <v>25</v>
      </c>
      <c r="D427" s="15">
        <v>1518</v>
      </c>
      <c r="E427" s="15"/>
      <c r="F427" s="15" t="s">
        <v>95</v>
      </c>
      <c r="G427" s="8" t="s">
        <v>205</v>
      </c>
      <c r="H427" s="14"/>
      <c r="I427" s="13"/>
      <c r="J427" s="8" t="s">
        <v>107</v>
      </c>
      <c r="K427" s="8" t="s">
        <v>21</v>
      </c>
      <c r="L427" s="8"/>
      <c r="M427" s="8" t="str">
        <f>IF(C427="Caixa","-",VLOOKUP(J427,[1]Estrutura!C:E,3,FALSE))</f>
        <v>1.4</v>
      </c>
      <c r="N427" s="8"/>
      <c r="O427" s="7">
        <f t="shared" si="24"/>
        <v>3</v>
      </c>
      <c r="P427" s="7">
        <f t="shared" si="25"/>
        <v>7</v>
      </c>
      <c r="Q427" s="7">
        <f t="shared" si="26"/>
        <v>2026</v>
      </c>
      <c r="R427" s="6">
        <f t="shared" si="27"/>
        <v>1518</v>
      </c>
      <c r="S427" s="12">
        <v>46210</v>
      </c>
    </row>
    <row r="428" spans="1:19">
      <c r="A428" s="12">
        <v>46206</v>
      </c>
      <c r="B428" s="7" t="s">
        <v>26</v>
      </c>
      <c r="C428" s="7" t="s">
        <v>25</v>
      </c>
      <c r="D428" s="11">
        <v>6920.56</v>
      </c>
      <c r="E428" s="11"/>
      <c r="F428" s="11" t="s">
        <v>95</v>
      </c>
      <c r="G428" s="7" t="s">
        <v>204</v>
      </c>
      <c r="H428" s="10"/>
      <c r="I428" s="9"/>
      <c r="J428" s="7" t="s">
        <v>107</v>
      </c>
      <c r="K428" s="7" t="s">
        <v>21</v>
      </c>
      <c r="L428" s="7"/>
      <c r="M428" s="7" t="str">
        <f>IF(C428="Caixa","-",VLOOKUP(J428,[1]Estrutura!C:E,3,FALSE))</f>
        <v>1.4</v>
      </c>
      <c r="N428" s="7"/>
      <c r="O428" s="7">
        <f t="shared" si="24"/>
        <v>3</v>
      </c>
      <c r="P428" s="7">
        <f t="shared" si="25"/>
        <v>7</v>
      </c>
      <c r="Q428" s="7">
        <f t="shared" si="26"/>
        <v>2026</v>
      </c>
      <c r="R428" s="6">
        <f t="shared" si="27"/>
        <v>6920.56</v>
      </c>
      <c r="S428" s="16">
        <v>46210</v>
      </c>
    </row>
    <row r="429" spans="1:19">
      <c r="A429" s="16">
        <v>46206</v>
      </c>
      <c r="B429" s="7" t="s">
        <v>7</v>
      </c>
      <c r="C429" s="7" t="s">
        <v>9</v>
      </c>
      <c r="D429" s="15">
        <v>1142.57</v>
      </c>
      <c r="E429" s="15"/>
      <c r="F429" s="15"/>
      <c r="G429" s="8" t="s">
        <v>11</v>
      </c>
      <c r="H429" s="8"/>
      <c r="I429" s="17"/>
      <c r="J429" s="8" t="s">
        <v>10</v>
      </c>
      <c r="K429" s="8"/>
      <c r="L429" s="8"/>
      <c r="M429" s="8" t="str">
        <f>IF(C429="Caixa","-",VLOOKUP(J429,[1]Estrutura!C:E,3,FALSE))</f>
        <v>1.1</v>
      </c>
      <c r="N429" s="8"/>
      <c r="O429" s="7">
        <f t="shared" si="24"/>
        <v>3</v>
      </c>
      <c r="P429" s="7">
        <f t="shared" si="25"/>
        <v>7</v>
      </c>
      <c r="Q429" s="7">
        <f t="shared" si="26"/>
        <v>2026</v>
      </c>
      <c r="R429" s="6">
        <f t="shared" si="27"/>
        <v>1142.57</v>
      </c>
      <c r="S429" s="12">
        <v>46210</v>
      </c>
    </row>
    <row r="430" spans="1:19">
      <c r="A430" s="12">
        <v>46207</v>
      </c>
      <c r="B430" s="7" t="s">
        <v>14</v>
      </c>
      <c r="C430" s="7" t="s">
        <v>9</v>
      </c>
      <c r="D430" s="11"/>
      <c r="E430" s="11">
        <v>100000</v>
      </c>
      <c r="F430" s="11" t="s">
        <v>138</v>
      </c>
      <c r="G430" s="8" t="s">
        <v>129</v>
      </c>
      <c r="H430" s="10"/>
      <c r="I430" s="9"/>
      <c r="J430" s="7" t="s">
        <v>128</v>
      </c>
      <c r="K430" s="7"/>
      <c r="L430" s="7"/>
      <c r="M430" s="7" t="str">
        <f>IF(C430="Caixa","-",VLOOKUP(J430,[1]Estrutura!C:E,3,FALSE))</f>
        <v>9.1</v>
      </c>
      <c r="N430" s="7"/>
      <c r="O430" s="7">
        <f t="shared" si="24"/>
        <v>4</v>
      </c>
      <c r="P430" s="7">
        <f t="shared" si="25"/>
        <v>7</v>
      </c>
      <c r="Q430" s="7">
        <f t="shared" si="26"/>
        <v>2026</v>
      </c>
      <c r="R430" s="6">
        <f t="shared" si="27"/>
        <v>-100000</v>
      </c>
      <c r="S430" s="16">
        <v>46210</v>
      </c>
    </row>
    <row r="431" spans="1:19">
      <c r="A431" s="16">
        <v>46207</v>
      </c>
      <c r="B431" s="7" t="s">
        <v>7</v>
      </c>
      <c r="C431" s="7" t="s">
        <v>9</v>
      </c>
      <c r="D431" s="15">
        <v>1108.49</v>
      </c>
      <c r="E431" s="15"/>
      <c r="F431" s="15"/>
      <c r="G431" s="8" t="s">
        <v>11</v>
      </c>
      <c r="H431" s="8"/>
      <c r="I431" s="17"/>
      <c r="J431" s="8" t="s">
        <v>10</v>
      </c>
      <c r="K431" s="8"/>
      <c r="L431" s="8"/>
      <c r="M431" s="8" t="str">
        <f>IF(C431="Caixa","-",VLOOKUP(J431,[1]Estrutura!C:E,3,FALSE))</f>
        <v>1.1</v>
      </c>
      <c r="N431" s="8"/>
      <c r="O431" s="7">
        <f t="shared" si="24"/>
        <v>4</v>
      </c>
      <c r="P431" s="7">
        <f t="shared" si="25"/>
        <v>7</v>
      </c>
      <c r="Q431" s="7">
        <f t="shared" si="26"/>
        <v>2026</v>
      </c>
      <c r="R431" s="6">
        <f t="shared" si="27"/>
        <v>1108.49</v>
      </c>
      <c r="S431" s="12">
        <v>46210</v>
      </c>
    </row>
    <row r="432" spans="1:19">
      <c r="A432" s="16">
        <v>46208</v>
      </c>
      <c r="B432" s="8" t="s">
        <v>14</v>
      </c>
      <c r="C432" s="7" t="s">
        <v>9</v>
      </c>
      <c r="D432" s="15">
        <v>4953</v>
      </c>
      <c r="E432" s="15"/>
      <c r="F432" s="15"/>
      <c r="G432" s="8" t="s">
        <v>11</v>
      </c>
      <c r="H432" s="8"/>
      <c r="I432" s="17"/>
      <c r="J432" s="8" t="s">
        <v>10</v>
      </c>
      <c r="K432" s="8"/>
      <c r="L432" s="7"/>
      <c r="M432" s="7" t="str">
        <f>IF(C432="Caixa","-",VLOOKUP(J432,[1]Estrutura!C:E,3,FALSE))</f>
        <v>1.1</v>
      </c>
      <c r="N432" s="7"/>
      <c r="O432" s="7">
        <f t="shared" si="24"/>
        <v>5</v>
      </c>
      <c r="P432" s="7">
        <f t="shared" si="25"/>
        <v>7</v>
      </c>
      <c r="Q432" s="7">
        <f t="shared" si="26"/>
        <v>2026</v>
      </c>
      <c r="R432" s="6">
        <f t="shared" si="27"/>
        <v>4953</v>
      </c>
      <c r="S432" s="12">
        <v>46210</v>
      </c>
    </row>
    <row r="433" spans="1:19">
      <c r="A433" s="16">
        <v>46208</v>
      </c>
      <c r="B433" s="7" t="s">
        <v>7</v>
      </c>
      <c r="C433" s="7" t="s">
        <v>9</v>
      </c>
      <c r="D433" s="15">
        <v>1386.9</v>
      </c>
      <c r="E433" s="15"/>
      <c r="F433" s="15"/>
      <c r="G433" s="8" t="s">
        <v>11</v>
      </c>
      <c r="H433" s="8"/>
      <c r="I433" s="17"/>
      <c r="J433" s="8" t="s">
        <v>10</v>
      </c>
      <c r="K433" s="8"/>
      <c r="L433" s="8"/>
      <c r="M433" s="8" t="str">
        <f>IF(C433="Caixa","-",VLOOKUP(J433,[1]Estrutura!C:E,3,FALSE))</f>
        <v>1.1</v>
      </c>
      <c r="N433" s="8"/>
      <c r="O433" s="7">
        <f t="shared" si="24"/>
        <v>5</v>
      </c>
      <c r="P433" s="7">
        <f t="shared" si="25"/>
        <v>7</v>
      </c>
      <c r="Q433" s="7">
        <f t="shared" si="26"/>
        <v>2026</v>
      </c>
      <c r="R433" s="6">
        <f t="shared" si="27"/>
        <v>1386.9</v>
      </c>
      <c r="S433" s="16">
        <v>46210</v>
      </c>
    </row>
    <row r="434" spans="1:19">
      <c r="A434" s="12">
        <v>46208</v>
      </c>
      <c r="B434" s="7" t="s">
        <v>7</v>
      </c>
      <c r="C434" s="7" t="s">
        <v>9</v>
      </c>
      <c r="D434" s="11"/>
      <c r="E434" s="11">
        <v>946.67</v>
      </c>
      <c r="F434" s="11" t="s">
        <v>280</v>
      </c>
      <c r="G434" s="7" t="s">
        <v>279</v>
      </c>
      <c r="H434" s="10"/>
      <c r="I434" s="9"/>
      <c r="J434" s="7" t="s">
        <v>27</v>
      </c>
      <c r="K434" s="7"/>
      <c r="L434" s="7"/>
      <c r="M434" s="7" t="str">
        <f>IF(C434="Caixa","-",VLOOKUP(J434,[1]Estrutura!C:E,3,FALSE))</f>
        <v>7.3</v>
      </c>
      <c r="N434" s="7"/>
      <c r="O434" s="7">
        <f t="shared" si="24"/>
        <v>5</v>
      </c>
      <c r="P434" s="7">
        <f t="shared" si="25"/>
        <v>7</v>
      </c>
      <c r="Q434" s="7">
        <f t="shared" si="26"/>
        <v>2026</v>
      </c>
      <c r="R434" s="6">
        <f t="shared" si="27"/>
        <v>-946.67</v>
      </c>
      <c r="S434" s="12">
        <v>46210</v>
      </c>
    </row>
    <row r="435" spans="1:19">
      <c r="A435" s="16">
        <v>46209</v>
      </c>
      <c r="B435" s="7" t="s">
        <v>7</v>
      </c>
      <c r="C435" s="7" t="s">
        <v>9</v>
      </c>
      <c r="D435" s="15">
        <v>5732.3399999999992</v>
      </c>
      <c r="E435" s="15"/>
      <c r="F435" s="15"/>
      <c r="G435" s="8" t="s">
        <v>11</v>
      </c>
      <c r="H435" s="8"/>
      <c r="I435" s="17"/>
      <c r="J435" s="8" t="s">
        <v>10</v>
      </c>
      <c r="K435" s="8"/>
      <c r="L435" s="8"/>
      <c r="M435" s="8" t="str">
        <f>IF(C435="Caixa","-",VLOOKUP(J435,[1]Estrutura!C:E,3,FALSE))</f>
        <v>1.1</v>
      </c>
      <c r="N435" s="8"/>
      <c r="O435" s="7">
        <f t="shared" si="24"/>
        <v>6</v>
      </c>
      <c r="P435" s="7">
        <f t="shared" si="25"/>
        <v>7</v>
      </c>
      <c r="Q435" s="7">
        <f t="shared" si="26"/>
        <v>2026</v>
      </c>
      <c r="R435" s="6">
        <f t="shared" si="27"/>
        <v>5732.3399999999992</v>
      </c>
      <c r="S435" s="16">
        <v>46210</v>
      </c>
    </row>
    <row r="436" spans="1:19">
      <c r="A436" s="16">
        <v>46210</v>
      </c>
      <c r="B436" s="8" t="s">
        <v>122</v>
      </c>
      <c r="C436" s="8" t="s">
        <v>6</v>
      </c>
      <c r="D436" s="15"/>
      <c r="E436" s="15">
        <v>226.68</v>
      </c>
      <c r="F436" s="15" t="s">
        <v>157</v>
      </c>
      <c r="G436" s="8" t="s">
        <v>690</v>
      </c>
      <c r="H436" s="14"/>
      <c r="I436" s="13"/>
      <c r="J436" s="8" t="s">
        <v>12</v>
      </c>
      <c r="K436" s="8"/>
      <c r="L436" s="7"/>
      <c r="M436" s="7" t="str">
        <f>IF(C436="Caixa","-",VLOOKUP(J436,[1]Estrutura!C:E,3,FALSE))</f>
        <v>4.9</v>
      </c>
      <c r="N436" s="7"/>
      <c r="O436" s="7">
        <f t="shared" si="24"/>
        <v>7</v>
      </c>
      <c r="P436" s="7">
        <f t="shared" si="25"/>
        <v>7</v>
      </c>
      <c r="Q436" s="7">
        <f t="shared" si="26"/>
        <v>2026</v>
      </c>
      <c r="R436" s="6">
        <f t="shared" si="27"/>
        <v>-226.68</v>
      </c>
      <c r="S436" s="12">
        <v>46210</v>
      </c>
    </row>
    <row r="437" spans="1:19">
      <c r="A437" s="12">
        <v>46210</v>
      </c>
      <c r="B437" s="7" t="s">
        <v>122</v>
      </c>
      <c r="C437" s="7" t="s">
        <v>6</v>
      </c>
      <c r="D437" s="11"/>
      <c r="E437" s="11">
        <v>226.68</v>
      </c>
      <c r="F437" s="11" t="s">
        <v>157</v>
      </c>
      <c r="G437" s="7" t="s">
        <v>690</v>
      </c>
      <c r="H437" s="10"/>
      <c r="I437" s="9"/>
      <c r="J437" s="7" t="s">
        <v>12</v>
      </c>
      <c r="K437" s="7"/>
      <c r="L437" s="8"/>
      <c r="M437" s="8" t="str">
        <f>IF(C437="Caixa","-",VLOOKUP(J437,[1]Estrutura!C:E,3,FALSE))</f>
        <v>4.9</v>
      </c>
      <c r="N437" s="8"/>
      <c r="O437" s="7">
        <f t="shared" si="24"/>
        <v>7</v>
      </c>
      <c r="P437" s="7">
        <f t="shared" si="25"/>
        <v>7</v>
      </c>
      <c r="Q437" s="7">
        <f t="shared" si="26"/>
        <v>2026</v>
      </c>
      <c r="R437" s="6">
        <f t="shared" si="27"/>
        <v>-226.68</v>
      </c>
      <c r="S437" s="16">
        <v>46210</v>
      </c>
    </row>
    <row r="438" spans="1:19">
      <c r="A438" s="16">
        <v>46210</v>
      </c>
      <c r="B438" s="8" t="s">
        <v>14</v>
      </c>
      <c r="C438" s="8" t="s">
        <v>9</v>
      </c>
      <c r="D438" s="15">
        <v>226.68</v>
      </c>
      <c r="E438" s="15"/>
      <c r="F438" s="8" t="s">
        <v>689</v>
      </c>
      <c r="G438" s="8" t="s">
        <v>688</v>
      </c>
      <c r="H438" s="14"/>
      <c r="I438" s="13"/>
      <c r="J438" s="8" t="s">
        <v>12</v>
      </c>
      <c r="K438" s="8"/>
      <c r="L438" s="7"/>
      <c r="M438" s="7" t="str">
        <f>IF(C438="Caixa","-",VLOOKUP(J438,[1]Estrutura!C:E,3,FALSE))</f>
        <v>4.9</v>
      </c>
      <c r="N438" s="7"/>
      <c r="O438" s="7">
        <f t="shared" si="24"/>
        <v>7</v>
      </c>
      <c r="P438" s="7">
        <f t="shared" si="25"/>
        <v>7</v>
      </c>
      <c r="Q438" s="7">
        <f t="shared" si="26"/>
        <v>2026</v>
      </c>
      <c r="R438" s="6">
        <f t="shared" si="27"/>
        <v>226.68</v>
      </c>
      <c r="S438" s="12">
        <v>46210</v>
      </c>
    </row>
    <row r="439" spans="1:19">
      <c r="A439" s="12">
        <v>46210</v>
      </c>
      <c r="B439" s="7" t="s">
        <v>14</v>
      </c>
      <c r="C439" s="7" t="s">
        <v>9</v>
      </c>
      <c r="D439" s="11">
        <v>226.68</v>
      </c>
      <c r="E439" s="11"/>
      <c r="F439" s="7" t="s">
        <v>689</v>
      </c>
      <c r="G439" s="7" t="s">
        <v>688</v>
      </c>
      <c r="H439" s="10"/>
      <c r="I439" s="9"/>
      <c r="J439" s="7" t="s">
        <v>12</v>
      </c>
      <c r="K439" s="7"/>
      <c r="L439" s="8"/>
      <c r="M439" s="8" t="str">
        <f>IF(C439="Caixa","-",VLOOKUP(J439,[1]Estrutura!C:E,3,FALSE))</f>
        <v>4.9</v>
      </c>
      <c r="N439" s="8"/>
      <c r="O439" s="7">
        <f t="shared" si="24"/>
        <v>7</v>
      </c>
      <c r="P439" s="7">
        <f t="shared" si="25"/>
        <v>7</v>
      </c>
      <c r="Q439" s="7">
        <f t="shared" si="26"/>
        <v>2026</v>
      </c>
      <c r="R439" s="6">
        <f t="shared" si="27"/>
        <v>226.68</v>
      </c>
      <c r="S439" s="16">
        <v>46210</v>
      </c>
    </row>
    <row r="440" spans="1:19">
      <c r="A440" s="16">
        <v>46210</v>
      </c>
      <c r="B440" s="8" t="s">
        <v>14</v>
      </c>
      <c r="C440" s="8" t="s">
        <v>9</v>
      </c>
      <c r="D440" s="15">
        <v>284.8</v>
      </c>
      <c r="E440" s="15"/>
      <c r="F440" s="15" t="s">
        <v>109</v>
      </c>
      <c r="G440" s="8" t="s">
        <v>687</v>
      </c>
      <c r="H440" s="14"/>
      <c r="I440" s="13"/>
      <c r="J440" s="8" t="s">
        <v>17</v>
      </c>
      <c r="K440" s="8"/>
      <c r="L440" s="7"/>
      <c r="M440" s="7" t="str">
        <f>IF(C440="Caixa","-",VLOOKUP(J440,[1]Estrutura!C:E,3,FALSE))</f>
        <v>4.4</v>
      </c>
      <c r="N440" s="7"/>
      <c r="O440" s="7">
        <f t="shared" si="24"/>
        <v>7</v>
      </c>
      <c r="P440" s="7">
        <f t="shared" si="25"/>
        <v>7</v>
      </c>
      <c r="Q440" s="7">
        <f t="shared" si="26"/>
        <v>2026</v>
      </c>
      <c r="R440" s="6">
        <f t="shared" si="27"/>
        <v>284.8</v>
      </c>
      <c r="S440" s="12">
        <v>46210</v>
      </c>
    </row>
    <row r="441" spans="1:19">
      <c r="A441" s="12">
        <v>46210</v>
      </c>
      <c r="B441" s="7" t="s">
        <v>14</v>
      </c>
      <c r="C441" s="18" t="s">
        <v>9</v>
      </c>
      <c r="D441" s="11">
        <v>284.8</v>
      </c>
      <c r="E441" s="11"/>
      <c r="F441" s="11" t="s">
        <v>109</v>
      </c>
      <c r="G441" s="7" t="s">
        <v>687</v>
      </c>
      <c r="H441" s="10"/>
      <c r="I441" s="9"/>
      <c r="J441" s="7" t="s">
        <v>17</v>
      </c>
      <c r="K441" s="7"/>
      <c r="L441" s="8"/>
      <c r="M441" s="8" t="str">
        <f>IF(C441="Caixa","-",VLOOKUP(J441,[1]Estrutura!C:E,3,FALSE))</f>
        <v>4.4</v>
      </c>
      <c r="N441" s="8"/>
      <c r="O441" s="7">
        <f t="shared" si="24"/>
        <v>7</v>
      </c>
      <c r="P441" s="7">
        <f t="shared" si="25"/>
        <v>7</v>
      </c>
      <c r="Q441" s="7">
        <f t="shared" si="26"/>
        <v>2026</v>
      </c>
      <c r="R441" s="6">
        <f t="shared" si="27"/>
        <v>284.8</v>
      </c>
      <c r="S441" s="16">
        <v>46210</v>
      </c>
    </row>
    <row r="442" spans="1:19">
      <c r="A442" s="12">
        <v>46210</v>
      </c>
      <c r="B442" s="7" t="s">
        <v>14</v>
      </c>
      <c r="C442" s="7" t="s">
        <v>25</v>
      </c>
      <c r="D442" s="11"/>
      <c r="E442" s="11">
        <v>361.57</v>
      </c>
      <c r="F442" s="11" t="s">
        <v>125</v>
      </c>
      <c r="G442" s="7" t="s">
        <v>284</v>
      </c>
      <c r="H442" s="10"/>
      <c r="I442" s="9"/>
      <c r="J442" s="8" t="s">
        <v>99</v>
      </c>
      <c r="K442" s="7"/>
      <c r="L442" s="7"/>
      <c r="M442" s="7" t="str">
        <f>IF(C442="Caixa","-",VLOOKUP(J442,[1]Estrutura!C:E,3,FALSE))</f>
        <v>4.3</v>
      </c>
      <c r="N442" s="7"/>
      <c r="O442" s="7">
        <f t="shared" si="24"/>
        <v>7</v>
      </c>
      <c r="P442" s="7">
        <f t="shared" si="25"/>
        <v>7</v>
      </c>
      <c r="Q442" s="7">
        <f t="shared" si="26"/>
        <v>2026</v>
      </c>
      <c r="R442" s="6">
        <f t="shared" si="27"/>
        <v>-361.57</v>
      </c>
      <c r="S442" s="12">
        <v>46210</v>
      </c>
    </row>
    <row r="443" spans="1:19">
      <c r="A443" s="16">
        <v>46210</v>
      </c>
      <c r="B443" s="8" t="s">
        <v>14</v>
      </c>
      <c r="C443" s="8" t="s">
        <v>9</v>
      </c>
      <c r="D443" s="15"/>
      <c r="E443" s="15">
        <v>588</v>
      </c>
      <c r="F443" s="15" t="s">
        <v>138</v>
      </c>
      <c r="G443" s="8" t="s">
        <v>686</v>
      </c>
      <c r="H443" s="14"/>
      <c r="I443" s="13"/>
      <c r="J443" s="8" t="s">
        <v>17</v>
      </c>
      <c r="K443" s="8"/>
      <c r="L443" s="8"/>
      <c r="M443" s="8" t="str">
        <f>IF(C443="Caixa","-",VLOOKUP(J443,[1]Estrutura!C:E,3,FALSE))</f>
        <v>4.4</v>
      </c>
      <c r="N443" s="8"/>
      <c r="O443" s="7">
        <f t="shared" si="24"/>
        <v>7</v>
      </c>
      <c r="P443" s="7">
        <f t="shared" si="25"/>
        <v>7</v>
      </c>
      <c r="Q443" s="7">
        <f t="shared" si="26"/>
        <v>2026</v>
      </c>
      <c r="R443" s="6">
        <f t="shared" si="27"/>
        <v>-588</v>
      </c>
      <c r="S443" s="16">
        <v>46210</v>
      </c>
    </row>
    <row r="444" spans="1:19">
      <c r="A444" s="12">
        <v>46210</v>
      </c>
      <c r="B444" s="7" t="s">
        <v>14</v>
      </c>
      <c r="C444" s="7" t="s">
        <v>9</v>
      </c>
      <c r="D444" s="11"/>
      <c r="E444" s="11">
        <v>394.55</v>
      </c>
      <c r="F444" s="11" t="s">
        <v>24</v>
      </c>
      <c r="G444" s="7" t="s">
        <v>501</v>
      </c>
      <c r="H444" s="10"/>
      <c r="I444" s="9"/>
      <c r="J444" s="7" t="s">
        <v>77</v>
      </c>
      <c r="K444" s="7"/>
      <c r="L444" s="7"/>
      <c r="M444" s="7" t="str">
        <f>IF(C444="Caixa","-",VLOOKUP(J444,[1]Estrutura!C:E,3,FALSE))</f>
        <v>4.3</v>
      </c>
      <c r="N444" s="7"/>
      <c r="O444" s="7">
        <f t="shared" si="24"/>
        <v>7</v>
      </c>
      <c r="P444" s="7">
        <f t="shared" si="25"/>
        <v>7</v>
      </c>
      <c r="Q444" s="7">
        <f t="shared" si="26"/>
        <v>2026</v>
      </c>
      <c r="R444" s="6">
        <f t="shared" si="27"/>
        <v>-394.55</v>
      </c>
      <c r="S444" s="12">
        <v>46210</v>
      </c>
    </row>
    <row r="445" spans="1:19">
      <c r="A445" s="16">
        <v>46210</v>
      </c>
      <c r="B445" s="8" t="s">
        <v>14</v>
      </c>
      <c r="C445" s="8" t="s">
        <v>9</v>
      </c>
      <c r="D445" s="15"/>
      <c r="E445" s="15">
        <v>4.38</v>
      </c>
      <c r="F445" s="15" t="s">
        <v>672</v>
      </c>
      <c r="G445" s="8" t="s">
        <v>685</v>
      </c>
      <c r="H445" s="14"/>
      <c r="I445" s="13"/>
      <c r="J445" s="8" t="s">
        <v>273</v>
      </c>
      <c r="K445" s="8"/>
      <c r="L445" s="8"/>
      <c r="M445" s="8" t="str">
        <f>IF(C445="Caixa","-",VLOOKUP(J445,[1]Estrutura!C:E,3,FALSE))</f>
        <v>4.9</v>
      </c>
      <c r="N445" s="8"/>
      <c r="O445" s="7">
        <f t="shared" si="24"/>
        <v>7</v>
      </c>
      <c r="P445" s="7">
        <f t="shared" si="25"/>
        <v>7</v>
      </c>
      <c r="Q445" s="7">
        <f t="shared" si="26"/>
        <v>2026</v>
      </c>
      <c r="R445" s="6">
        <f t="shared" si="27"/>
        <v>-4.38</v>
      </c>
      <c r="S445" s="16">
        <v>46210</v>
      </c>
    </row>
    <row r="446" spans="1:19">
      <c r="A446" s="12">
        <v>46210</v>
      </c>
      <c r="B446" s="7" t="s">
        <v>14</v>
      </c>
      <c r="C446" s="7" t="s">
        <v>9</v>
      </c>
      <c r="D446" s="11"/>
      <c r="E446" s="11">
        <v>1066.4000000000001</v>
      </c>
      <c r="F446" s="11" t="s">
        <v>166</v>
      </c>
      <c r="G446" s="7" t="s">
        <v>684</v>
      </c>
      <c r="H446" s="10"/>
      <c r="I446" s="9"/>
      <c r="J446" s="7" t="s">
        <v>64</v>
      </c>
      <c r="K446" s="7"/>
      <c r="L446" s="7"/>
      <c r="M446" s="7" t="str">
        <f>IF(C446="Caixa","-",VLOOKUP(J446,[1]Estrutura!C:E,3,FALSE))</f>
        <v>4.4</v>
      </c>
      <c r="N446" s="7"/>
      <c r="O446" s="7">
        <f t="shared" si="24"/>
        <v>7</v>
      </c>
      <c r="P446" s="7">
        <f t="shared" si="25"/>
        <v>7</v>
      </c>
      <c r="Q446" s="7">
        <f t="shared" si="26"/>
        <v>2026</v>
      </c>
      <c r="R446" s="6">
        <f t="shared" si="27"/>
        <v>-1066.4000000000001</v>
      </c>
      <c r="S446" s="12">
        <v>46210</v>
      </c>
    </row>
    <row r="447" spans="1:19">
      <c r="A447" s="16">
        <v>46210</v>
      </c>
      <c r="B447" s="8" t="s">
        <v>14</v>
      </c>
      <c r="C447" s="8" t="s">
        <v>9</v>
      </c>
      <c r="D447" s="15"/>
      <c r="E447" s="15">
        <v>104.13</v>
      </c>
      <c r="F447" s="15" t="s">
        <v>683</v>
      </c>
      <c r="G447" s="8" t="s">
        <v>682</v>
      </c>
      <c r="H447" s="14"/>
      <c r="I447" s="13"/>
      <c r="J447" s="8" t="s">
        <v>326</v>
      </c>
      <c r="K447" s="8"/>
      <c r="L447" s="8"/>
      <c r="M447" s="8" t="str">
        <f>IF(C447="Caixa","-",VLOOKUP(J447,[1]Estrutura!C:E,3,FALSE))</f>
        <v>4.10</v>
      </c>
      <c r="N447" s="8"/>
      <c r="O447" s="7">
        <f t="shared" si="24"/>
        <v>7</v>
      </c>
      <c r="P447" s="7">
        <f t="shared" si="25"/>
        <v>7</v>
      </c>
      <c r="Q447" s="7">
        <f t="shared" si="26"/>
        <v>2026</v>
      </c>
      <c r="R447" s="6">
        <f t="shared" si="27"/>
        <v>-104.13</v>
      </c>
      <c r="S447" s="19">
        <v>46210</v>
      </c>
    </row>
    <row r="448" spans="1:19">
      <c r="A448" s="12">
        <v>46210</v>
      </c>
      <c r="B448" s="7" t="s">
        <v>14</v>
      </c>
      <c r="C448" s="7" t="s">
        <v>9</v>
      </c>
      <c r="D448" s="11"/>
      <c r="E448" s="11">
        <v>226.68</v>
      </c>
      <c r="F448" s="11" t="s">
        <v>672</v>
      </c>
      <c r="G448" s="7" t="s">
        <v>671</v>
      </c>
      <c r="H448" s="10"/>
      <c r="I448" s="9"/>
      <c r="J448" s="7" t="s">
        <v>12</v>
      </c>
      <c r="K448" s="7"/>
      <c r="L448" s="7"/>
      <c r="M448" s="7" t="str">
        <f>IF(C448="Caixa","-",VLOOKUP(J448,[1]Estrutura!C:E,3,FALSE))</f>
        <v>4.9</v>
      </c>
      <c r="N448" s="7"/>
      <c r="O448" s="7">
        <f t="shared" si="24"/>
        <v>7</v>
      </c>
      <c r="P448" s="7">
        <f t="shared" si="25"/>
        <v>7</v>
      </c>
      <c r="Q448" s="7">
        <f t="shared" si="26"/>
        <v>2026</v>
      </c>
      <c r="R448" s="6">
        <f t="shared" si="27"/>
        <v>-226.68</v>
      </c>
      <c r="S448" s="12">
        <v>46210</v>
      </c>
    </row>
    <row r="449" spans="1:19">
      <c r="A449" s="16">
        <v>46210</v>
      </c>
      <c r="B449" s="8" t="s">
        <v>14</v>
      </c>
      <c r="C449" s="8" t="s">
        <v>9</v>
      </c>
      <c r="D449" s="15"/>
      <c r="E449" s="15">
        <v>226.68</v>
      </c>
      <c r="F449" s="8" t="s">
        <v>672</v>
      </c>
      <c r="G449" s="8" t="s">
        <v>671</v>
      </c>
      <c r="H449" s="14"/>
      <c r="I449" s="13"/>
      <c r="J449" s="8" t="s">
        <v>12</v>
      </c>
      <c r="K449" s="8"/>
      <c r="L449" s="8"/>
      <c r="M449" s="8" t="str">
        <f>IF(C449="Caixa","-",VLOOKUP(J449,[1]Estrutura!C:E,3,FALSE))</f>
        <v>4.9</v>
      </c>
      <c r="N449" s="8"/>
      <c r="O449" s="7">
        <f t="shared" si="24"/>
        <v>7</v>
      </c>
      <c r="P449" s="7">
        <f t="shared" si="25"/>
        <v>7</v>
      </c>
      <c r="Q449" s="7">
        <f t="shared" si="26"/>
        <v>2026</v>
      </c>
      <c r="R449" s="6">
        <f t="shared" si="27"/>
        <v>-226.68</v>
      </c>
      <c r="S449" s="16">
        <v>46210</v>
      </c>
    </row>
    <row r="450" spans="1:19">
      <c r="A450" s="12">
        <v>46210</v>
      </c>
      <c r="B450" s="7" t="s">
        <v>14</v>
      </c>
      <c r="C450" s="7" t="s">
        <v>9</v>
      </c>
      <c r="D450" s="11"/>
      <c r="E450" s="11">
        <v>226.68</v>
      </c>
      <c r="F450" s="7" t="s">
        <v>672</v>
      </c>
      <c r="G450" s="7" t="s">
        <v>671</v>
      </c>
      <c r="H450" s="10"/>
      <c r="I450" s="9"/>
      <c r="J450" s="7" t="s">
        <v>12</v>
      </c>
      <c r="K450" s="7"/>
      <c r="L450" s="7"/>
      <c r="M450" s="7" t="str">
        <f>IF(C450="Caixa","-",VLOOKUP(J450,[1]Estrutura!C:E,3,FALSE))</f>
        <v>4.9</v>
      </c>
      <c r="N450" s="7"/>
      <c r="O450" s="7">
        <f t="shared" si="24"/>
        <v>7</v>
      </c>
      <c r="P450" s="7">
        <f t="shared" si="25"/>
        <v>7</v>
      </c>
      <c r="Q450" s="7">
        <f t="shared" si="26"/>
        <v>2026</v>
      </c>
      <c r="R450" s="6">
        <f t="shared" si="27"/>
        <v>-226.68</v>
      </c>
      <c r="S450" s="16">
        <v>46210</v>
      </c>
    </row>
    <row r="451" spans="1:19">
      <c r="A451" s="16">
        <v>46210</v>
      </c>
      <c r="B451" s="8" t="s">
        <v>14</v>
      </c>
      <c r="C451" s="8" t="s">
        <v>9</v>
      </c>
      <c r="D451" s="15"/>
      <c r="E451" s="15">
        <v>204.44</v>
      </c>
      <c r="F451" s="15" t="s">
        <v>194</v>
      </c>
      <c r="G451" s="8" t="s">
        <v>681</v>
      </c>
      <c r="H451" s="14"/>
      <c r="I451" s="13"/>
      <c r="J451" s="21" t="s">
        <v>67</v>
      </c>
      <c r="K451" s="8"/>
      <c r="L451" s="8"/>
      <c r="M451" s="8" t="str">
        <f>IF(C451="Caixa","-",VLOOKUP(J451,[1]Estrutura!C:E,3,FALSE))</f>
        <v>4.5</v>
      </c>
      <c r="N451" s="8"/>
      <c r="O451" s="7">
        <f t="shared" si="24"/>
        <v>7</v>
      </c>
      <c r="P451" s="7">
        <f t="shared" si="25"/>
        <v>7</v>
      </c>
      <c r="Q451" s="7">
        <f t="shared" si="26"/>
        <v>2026</v>
      </c>
      <c r="R451" s="6">
        <f t="shared" si="27"/>
        <v>-204.44</v>
      </c>
      <c r="S451" s="12">
        <v>46210</v>
      </c>
    </row>
    <row r="452" spans="1:19">
      <c r="A452" s="12">
        <v>46210</v>
      </c>
      <c r="B452" s="7" t="s">
        <v>14</v>
      </c>
      <c r="C452" s="7" t="s">
        <v>9</v>
      </c>
      <c r="D452" s="11"/>
      <c r="E452" s="11">
        <v>187.78</v>
      </c>
      <c r="F452" s="11" t="s">
        <v>82</v>
      </c>
      <c r="G452" s="7" t="s">
        <v>680</v>
      </c>
      <c r="H452" s="10"/>
      <c r="I452" s="9"/>
      <c r="J452" s="7" t="s">
        <v>80</v>
      </c>
      <c r="K452" s="7"/>
      <c r="L452" s="7"/>
      <c r="M452" s="7" t="str">
        <f>IF(C452="Caixa","-",VLOOKUP(J452,[1]Estrutura!C:E,3,FALSE))</f>
        <v>4.5</v>
      </c>
      <c r="N452" s="7"/>
      <c r="O452" s="7">
        <f t="shared" si="24"/>
        <v>7</v>
      </c>
      <c r="P452" s="7">
        <f t="shared" si="25"/>
        <v>7</v>
      </c>
      <c r="Q452" s="7">
        <f t="shared" si="26"/>
        <v>2026</v>
      </c>
      <c r="R452" s="6">
        <f t="shared" si="27"/>
        <v>-187.78</v>
      </c>
      <c r="S452" s="16">
        <v>46210</v>
      </c>
    </row>
    <row r="453" spans="1:19">
      <c r="A453" s="16">
        <v>46210</v>
      </c>
      <c r="B453" s="8" t="s">
        <v>26</v>
      </c>
      <c r="C453" s="8" t="s">
        <v>6</v>
      </c>
      <c r="D453" s="15"/>
      <c r="E453" s="15">
        <v>284.8</v>
      </c>
      <c r="F453" s="15" t="s">
        <v>157</v>
      </c>
      <c r="G453" s="8" t="s">
        <v>679</v>
      </c>
      <c r="H453" s="14"/>
      <c r="I453" s="13"/>
      <c r="J453" s="8" t="s">
        <v>17</v>
      </c>
      <c r="K453" s="8" t="s">
        <v>21</v>
      </c>
      <c r="L453" s="8"/>
      <c r="M453" s="8" t="str">
        <f>IF(C453="Caixa","-",VLOOKUP(J453,[1]Estrutura!C:E,3,FALSE))</f>
        <v>4.4</v>
      </c>
      <c r="N453" s="8"/>
      <c r="O453" s="7">
        <f t="shared" si="24"/>
        <v>7</v>
      </c>
      <c r="P453" s="7">
        <f t="shared" si="25"/>
        <v>7</v>
      </c>
      <c r="Q453" s="7">
        <f t="shared" si="26"/>
        <v>2026</v>
      </c>
      <c r="R453" s="6">
        <f t="shared" si="27"/>
        <v>-284.8</v>
      </c>
      <c r="S453" s="16">
        <v>46211</v>
      </c>
    </row>
    <row r="454" spans="1:19">
      <c r="A454" s="12">
        <v>46210</v>
      </c>
      <c r="B454" s="7" t="s">
        <v>26</v>
      </c>
      <c r="C454" s="7" t="s">
        <v>6</v>
      </c>
      <c r="D454" s="11"/>
      <c r="E454" s="11">
        <v>284.8</v>
      </c>
      <c r="F454" s="11" t="s">
        <v>157</v>
      </c>
      <c r="G454" s="7" t="s">
        <v>679</v>
      </c>
      <c r="H454" s="10"/>
      <c r="I454" s="9"/>
      <c r="J454" s="7" t="s">
        <v>17</v>
      </c>
      <c r="K454" s="7" t="s">
        <v>21</v>
      </c>
      <c r="L454" s="7"/>
      <c r="M454" s="7" t="str">
        <f>IF(C454="Caixa","-",VLOOKUP(J454,[1]Estrutura!C:E,3,FALSE))</f>
        <v>4.4</v>
      </c>
      <c r="N454" s="7"/>
      <c r="O454" s="7">
        <f t="shared" si="24"/>
        <v>7</v>
      </c>
      <c r="P454" s="7">
        <f t="shared" si="25"/>
        <v>7</v>
      </c>
      <c r="Q454" s="7">
        <f t="shared" si="26"/>
        <v>2026</v>
      </c>
      <c r="R454" s="6">
        <f t="shared" si="27"/>
        <v>-284.8</v>
      </c>
      <c r="S454" s="12">
        <v>46211</v>
      </c>
    </row>
    <row r="455" spans="1:19">
      <c r="A455" s="16">
        <v>46210</v>
      </c>
      <c r="B455" s="8" t="s">
        <v>26</v>
      </c>
      <c r="C455" s="8" t="s">
        <v>6</v>
      </c>
      <c r="D455" s="15"/>
      <c r="E455" s="15">
        <v>311.98</v>
      </c>
      <c r="F455" s="15" t="s">
        <v>24</v>
      </c>
      <c r="G455" s="8" t="s">
        <v>584</v>
      </c>
      <c r="H455" s="14"/>
      <c r="I455" s="13"/>
      <c r="J455" s="8" t="s">
        <v>77</v>
      </c>
      <c r="K455" s="8" t="s">
        <v>21</v>
      </c>
      <c r="L455" s="8"/>
      <c r="M455" s="8" t="str">
        <f>IF(C455="Caixa","-",VLOOKUP(J455,[1]Estrutura!C:E,3,FALSE))</f>
        <v>4.3</v>
      </c>
      <c r="N455" s="8"/>
      <c r="O455" s="7">
        <f t="shared" si="24"/>
        <v>7</v>
      </c>
      <c r="P455" s="7">
        <f t="shared" si="25"/>
        <v>7</v>
      </c>
      <c r="Q455" s="7">
        <f t="shared" si="26"/>
        <v>2026</v>
      </c>
      <c r="R455" s="6">
        <f t="shared" si="27"/>
        <v>-311.98</v>
      </c>
      <c r="S455" s="19">
        <v>46211</v>
      </c>
    </row>
    <row r="456" spans="1:19">
      <c r="A456" s="12">
        <v>46210</v>
      </c>
      <c r="B456" s="7" t="s">
        <v>26</v>
      </c>
      <c r="C456" s="7" t="s">
        <v>6</v>
      </c>
      <c r="D456" s="11"/>
      <c r="E456" s="11">
        <v>1578</v>
      </c>
      <c r="F456" s="11" t="s">
        <v>678</v>
      </c>
      <c r="G456" s="7" t="s">
        <v>677</v>
      </c>
      <c r="H456" s="10"/>
      <c r="I456" s="9"/>
      <c r="J456" s="7" t="s">
        <v>52</v>
      </c>
      <c r="K456" s="7" t="s">
        <v>40</v>
      </c>
      <c r="L456" s="7"/>
      <c r="M456" s="7" t="str">
        <f>IF(C456="Caixa","-",VLOOKUP(J456,[1]Estrutura!C:E,3,FALSE))</f>
        <v>4.2</v>
      </c>
      <c r="N456" s="7"/>
      <c r="O456" s="7">
        <f t="shared" si="24"/>
        <v>7</v>
      </c>
      <c r="P456" s="7">
        <f t="shared" si="25"/>
        <v>7</v>
      </c>
      <c r="Q456" s="7">
        <f t="shared" si="26"/>
        <v>2026</v>
      </c>
      <c r="R456" s="6">
        <f t="shared" si="27"/>
        <v>-1578</v>
      </c>
      <c r="S456" s="12">
        <v>46211</v>
      </c>
    </row>
    <row r="457" spans="1:19">
      <c r="A457" s="19">
        <v>46210</v>
      </c>
      <c r="B457" s="8" t="s">
        <v>26</v>
      </c>
      <c r="C457" s="24" t="s">
        <v>6</v>
      </c>
      <c r="D457" s="15"/>
      <c r="E457" s="15">
        <v>4644</v>
      </c>
      <c r="F457" s="15" t="s">
        <v>676</v>
      </c>
      <c r="G457" s="24" t="s">
        <v>675</v>
      </c>
      <c r="H457" s="14"/>
      <c r="I457" s="25"/>
      <c r="J457" s="8" t="s">
        <v>52</v>
      </c>
      <c r="K457" s="24" t="s">
        <v>34</v>
      </c>
      <c r="L457" s="8"/>
      <c r="M457" s="8" t="str">
        <f>IF(C457="Caixa","-",VLOOKUP(J457,[1]Estrutura!C:E,3,FALSE))</f>
        <v>4.2</v>
      </c>
      <c r="N457" s="8"/>
      <c r="O457" s="7">
        <f t="shared" si="24"/>
        <v>7</v>
      </c>
      <c r="P457" s="7">
        <f t="shared" si="25"/>
        <v>7</v>
      </c>
      <c r="Q457" s="7">
        <f t="shared" si="26"/>
        <v>2026</v>
      </c>
      <c r="R457" s="6">
        <f t="shared" si="27"/>
        <v>-4644</v>
      </c>
      <c r="S457" s="16">
        <v>46211</v>
      </c>
    </row>
    <row r="458" spans="1:19">
      <c r="A458" s="12">
        <v>46210</v>
      </c>
      <c r="B458" s="7" t="s">
        <v>26</v>
      </c>
      <c r="C458" s="7" t="s">
        <v>6</v>
      </c>
      <c r="D458" s="11"/>
      <c r="E458" s="11">
        <v>2907.89</v>
      </c>
      <c r="F458" s="11" t="s">
        <v>341</v>
      </c>
      <c r="G458" s="7" t="s">
        <v>674</v>
      </c>
      <c r="H458" s="10"/>
      <c r="I458" s="9"/>
      <c r="J458" s="7" t="s">
        <v>339</v>
      </c>
      <c r="K458" s="7" t="s">
        <v>21</v>
      </c>
      <c r="L458" s="7"/>
      <c r="M458" s="7" t="str">
        <f>IF(C458="Caixa","-",VLOOKUP(J458,[1]Estrutura!C:E,3,FALSE))</f>
        <v>4.6</v>
      </c>
      <c r="N458" s="7"/>
      <c r="O458" s="7">
        <f t="shared" si="24"/>
        <v>7</v>
      </c>
      <c r="P458" s="7">
        <f t="shared" si="25"/>
        <v>7</v>
      </c>
      <c r="Q458" s="7">
        <f t="shared" si="26"/>
        <v>2026</v>
      </c>
      <c r="R458" s="6">
        <f t="shared" si="27"/>
        <v>-2907.89</v>
      </c>
      <c r="S458" s="16">
        <v>46211</v>
      </c>
    </row>
    <row r="459" spans="1:19">
      <c r="A459" s="16">
        <v>46210</v>
      </c>
      <c r="B459" s="7" t="s">
        <v>7</v>
      </c>
      <c r="C459" s="7" t="s">
        <v>9</v>
      </c>
      <c r="D459" s="15">
        <v>3022.92</v>
      </c>
      <c r="E459" s="15"/>
      <c r="F459" s="15"/>
      <c r="G459" s="8" t="s">
        <v>11</v>
      </c>
      <c r="H459" s="8"/>
      <c r="I459" s="17"/>
      <c r="J459" s="8" t="s">
        <v>10</v>
      </c>
      <c r="K459" s="8"/>
      <c r="L459" s="8"/>
      <c r="M459" s="8" t="str">
        <f>IF(C459="Caixa","-",VLOOKUP(J459,[1]Estrutura!C:E,3,FALSE))</f>
        <v>1.1</v>
      </c>
      <c r="N459" s="8"/>
      <c r="O459" s="7">
        <f t="shared" si="24"/>
        <v>7</v>
      </c>
      <c r="P459" s="7">
        <f t="shared" si="25"/>
        <v>7</v>
      </c>
      <c r="Q459" s="7">
        <f t="shared" si="26"/>
        <v>2026</v>
      </c>
      <c r="R459" s="6">
        <f t="shared" si="27"/>
        <v>3022.92</v>
      </c>
      <c r="S459" s="16">
        <v>46213</v>
      </c>
    </row>
    <row r="460" spans="1:19">
      <c r="A460" s="16">
        <v>46210</v>
      </c>
      <c r="B460" s="8" t="s">
        <v>7</v>
      </c>
      <c r="C460" s="8" t="s">
        <v>9</v>
      </c>
      <c r="D460" s="15"/>
      <c r="E460" s="15">
        <v>13.14</v>
      </c>
      <c r="F460" s="15" t="s">
        <v>578</v>
      </c>
      <c r="G460" s="8" t="s">
        <v>673</v>
      </c>
      <c r="H460" s="14"/>
      <c r="I460" s="13"/>
      <c r="J460" s="8" t="s">
        <v>273</v>
      </c>
      <c r="K460" s="8"/>
      <c r="L460" s="7"/>
      <c r="M460" s="7" t="str">
        <f>IF(C460="Caixa","-",VLOOKUP(J460,[1]Estrutura!C:E,3,FALSE))</f>
        <v>4.9</v>
      </c>
      <c r="N460" s="7"/>
      <c r="O460" s="7">
        <f t="shared" si="24"/>
        <v>7</v>
      </c>
      <c r="P460" s="7">
        <f t="shared" si="25"/>
        <v>7</v>
      </c>
      <c r="Q460" s="7">
        <f t="shared" si="26"/>
        <v>2026</v>
      </c>
      <c r="R460" s="6">
        <f t="shared" si="27"/>
        <v>-13.14</v>
      </c>
      <c r="S460" s="16">
        <v>46213</v>
      </c>
    </row>
    <row r="461" spans="1:19">
      <c r="A461" s="12">
        <v>46210</v>
      </c>
      <c r="B461" s="7" t="s">
        <v>7</v>
      </c>
      <c r="C461" s="7" t="s">
        <v>9</v>
      </c>
      <c r="D461" s="11"/>
      <c r="E461" s="11">
        <v>226.68</v>
      </c>
      <c r="F461" s="11" t="s">
        <v>672</v>
      </c>
      <c r="G461" s="7" t="s">
        <v>671</v>
      </c>
      <c r="H461" s="10"/>
      <c r="I461" s="9"/>
      <c r="J461" s="7" t="s">
        <v>12</v>
      </c>
      <c r="K461" s="7"/>
      <c r="L461" s="8"/>
      <c r="M461" s="8" t="str">
        <f>IF(C461="Caixa","-",VLOOKUP(J461,[1]Estrutura!C:E,3,FALSE))</f>
        <v>4.9</v>
      </c>
      <c r="N461" s="8"/>
      <c r="O461" s="7">
        <f t="shared" si="24"/>
        <v>7</v>
      </c>
      <c r="P461" s="7">
        <f t="shared" si="25"/>
        <v>7</v>
      </c>
      <c r="Q461" s="7">
        <f t="shared" si="26"/>
        <v>2026</v>
      </c>
      <c r="R461" s="6">
        <f t="shared" si="27"/>
        <v>-226.68</v>
      </c>
      <c r="S461" s="16">
        <v>46213</v>
      </c>
    </row>
    <row r="462" spans="1:19">
      <c r="A462" s="16">
        <v>46210</v>
      </c>
      <c r="B462" s="43" t="s">
        <v>7</v>
      </c>
      <c r="C462" s="43" t="s">
        <v>9</v>
      </c>
      <c r="D462" s="46"/>
      <c r="E462" s="46">
        <v>3500</v>
      </c>
      <c r="F462" s="46" t="s">
        <v>132</v>
      </c>
      <c r="G462" s="54" t="s">
        <v>670</v>
      </c>
      <c r="H462" s="45"/>
      <c r="I462" s="44"/>
      <c r="J462" s="43" t="s">
        <v>29</v>
      </c>
      <c r="K462" s="8"/>
      <c r="L462" s="7"/>
      <c r="M462" s="7" t="str">
        <f>IF(C462="Caixa","-",VLOOKUP(J462,[1]Estrutura!C:E,3,FALSE))</f>
        <v>4.8</v>
      </c>
      <c r="N462" s="7"/>
      <c r="O462" s="7">
        <f t="shared" ref="O462:O525" si="28">DAY(A462)</f>
        <v>7</v>
      </c>
      <c r="P462" s="7">
        <f t="shared" ref="P462:P525" si="29">MONTH(A462)</f>
        <v>7</v>
      </c>
      <c r="Q462" s="7">
        <f t="shared" ref="Q462:Q525" si="30">YEAR(A462)</f>
        <v>2026</v>
      </c>
      <c r="R462" s="6">
        <f t="shared" ref="R462:R525" si="31">D462-E462</f>
        <v>-3500</v>
      </c>
      <c r="S462" s="16">
        <v>46213</v>
      </c>
    </row>
    <row r="463" spans="1:19">
      <c r="A463" s="16">
        <v>46211</v>
      </c>
      <c r="B463" s="8" t="s">
        <v>14</v>
      </c>
      <c r="C463" s="7" t="s">
        <v>9</v>
      </c>
      <c r="D463" s="15">
        <v>1273.52</v>
      </c>
      <c r="E463" s="15"/>
      <c r="F463" s="15"/>
      <c r="G463" s="8" t="s">
        <v>11</v>
      </c>
      <c r="H463" s="8"/>
      <c r="I463" s="17"/>
      <c r="J463" s="8" t="s">
        <v>10</v>
      </c>
      <c r="K463" s="8"/>
      <c r="L463" s="8"/>
      <c r="M463" s="8" t="str">
        <f>IF(C463="Caixa","-",VLOOKUP(J463,[1]Estrutura!C:E,3,FALSE))</f>
        <v>1.1</v>
      </c>
      <c r="N463" s="8"/>
      <c r="O463" s="7">
        <f t="shared" si="28"/>
        <v>8</v>
      </c>
      <c r="P463" s="7">
        <f t="shared" si="29"/>
        <v>7</v>
      </c>
      <c r="Q463" s="7">
        <f t="shared" si="30"/>
        <v>2026</v>
      </c>
      <c r="R463" s="6">
        <f t="shared" si="31"/>
        <v>1273.52</v>
      </c>
      <c r="S463" s="12">
        <v>46213</v>
      </c>
    </row>
    <row r="464" spans="1:19">
      <c r="A464" s="12">
        <v>46211</v>
      </c>
      <c r="B464" s="7" t="s">
        <v>14</v>
      </c>
      <c r="C464" s="7" t="s">
        <v>9</v>
      </c>
      <c r="D464" s="11">
        <v>9751.4500000000007</v>
      </c>
      <c r="E464" s="11"/>
      <c r="F464" s="11" t="s">
        <v>181</v>
      </c>
      <c r="G464" s="7" t="s">
        <v>180</v>
      </c>
      <c r="H464" s="10"/>
      <c r="I464" s="9"/>
      <c r="J464" s="7" t="s">
        <v>179</v>
      </c>
      <c r="K464" s="7"/>
      <c r="L464" s="7"/>
      <c r="M464" s="7" t="str">
        <f>IF(C464="Caixa","-",VLOOKUP(J464,[1]Estrutura!C:E,3,FALSE))</f>
        <v>1.2</v>
      </c>
      <c r="N464" s="7"/>
      <c r="O464" s="7">
        <f t="shared" si="28"/>
        <v>8</v>
      </c>
      <c r="P464" s="7">
        <f t="shared" si="29"/>
        <v>7</v>
      </c>
      <c r="Q464" s="7">
        <f t="shared" si="30"/>
        <v>2026</v>
      </c>
      <c r="R464" s="6">
        <f t="shared" si="31"/>
        <v>9751.4500000000007</v>
      </c>
      <c r="S464" s="16">
        <v>46213</v>
      </c>
    </row>
    <row r="465" spans="1:19">
      <c r="A465" s="19">
        <v>46211</v>
      </c>
      <c r="B465" s="24" t="s">
        <v>26</v>
      </c>
      <c r="C465" s="24" t="s">
        <v>25</v>
      </c>
      <c r="D465" s="15"/>
      <c r="E465" s="15">
        <v>644.13</v>
      </c>
      <c r="F465" s="15" t="s">
        <v>101</v>
      </c>
      <c r="G465" s="24" t="s">
        <v>669</v>
      </c>
      <c r="H465" s="14"/>
      <c r="I465" s="25"/>
      <c r="J465" s="8" t="s">
        <v>99</v>
      </c>
      <c r="K465" s="24" t="s">
        <v>34</v>
      </c>
      <c r="L465" s="8"/>
      <c r="M465" s="8" t="str">
        <f>IF(C465="Caixa","-",VLOOKUP(J465,[1]Estrutura!C:E,3,FALSE))</f>
        <v>4.3</v>
      </c>
      <c r="N465" s="8"/>
      <c r="O465" s="7">
        <f t="shared" si="28"/>
        <v>8</v>
      </c>
      <c r="P465" s="7">
        <f t="shared" si="29"/>
        <v>7</v>
      </c>
      <c r="Q465" s="7">
        <f t="shared" si="30"/>
        <v>2026</v>
      </c>
      <c r="R465" s="6">
        <f t="shared" si="31"/>
        <v>-644.13</v>
      </c>
      <c r="S465" s="16">
        <v>46213</v>
      </c>
    </row>
    <row r="466" spans="1:19">
      <c r="A466" s="12">
        <v>46211</v>
      </c>
      <c r="B466" s="18" t="s">
        <v>26</v>
      </c>
      <c r="C466" s="18" t="s">
        <v>25</v>
      </c>
      <c r="D466" s="11"/>
      <c r="E466" s="11">
        <v>662.79</v>
      </c>
      <c r="F466" s="11" t="s">
        <v>101</v>
      </c>
      <c r="G466" s="18" t="s">
        <v>668</v>
      </c>
      <c r="H466" s="10"/>
      <c r="I466" s="22"/>
      <c r="J466" s="8" t="s">
        <v>99</v>
      </c>
      <c r="K466" s="7" t="s">
        <v>40</v>
      </c>
      <c r="L466" s="7"/>
      <c r="M466" s="7" t="str">
        <f>IF(C466="Caixa","-",VLOOKUP(J466,[1]Estrutura!C:E,3,FALSE))</f>
        <v>4.3</v>
      </c>
      <c r="N466" s="7"/>
      <c r="O466" s="7">
        <f t="shared" si="28"/>
        <v>8</v>
      </c>
      <c r="P466" s="7">
        <f t="shared" si="29"/>
        <v>7</v>
      </c>
      <c r="Q466" s="7">
        <f t="shared" si="30"/>
        <v>2026</v>
      </c>
      <c r="R466" s="6">
        <f t="shared" si="31"/>
        <v>-662.79</v>
      </c>
      <c r="S466" s="12">
        <v>46213</v>
      </c>
    </row>
    <row r="467" spans="1:19">
      <c r="A467" s="16">
        <v>46211</v>
      </c>
      <c r="B467" s="8" t="s">
        <v>26</v>
      </c>
      <c r="C467" s="8" t="s">
        <v>25</v>
      </c>
      <c r="D467" s="15"/>
      <c r="E467" s="15">
        <v>5000</v>
      </c>
      <c r="F467" s="15" t="s">
        <v>109</v>
      </c>
      <c r="G467" s="8" t="s">
        <v>307</v>
      </c>
      <c r="H467" s="14">
        <v>9926</v>
      </c>
      <c r="I467" s="53"/>
      <c r="J467" s="8" t="s">
        <v>17</v>
      </c>
      <c r="K467" s="8" t="s">
        <v>21</v>
      </c>
      <c r="L467" s="8"/>
      <c r="M467" s="8" t="str">
        <f>IF(C467="Caixa","-",VLOOKUP(J467,[1]Estrutura!C:E,3,FALSE))</f>
        <v>4.4</v>
      </c>
      <c r="N467" s="8"/>
      <c r="O467" s="7">
        <f t="shared" si="28"/>
        <v>8</v>
      </c>
      <c r="P467" s="7">
        <f t="shared" si="29"/>
        <v>7</v>
      </c>
      <c r="Q467" s="7">
        <f t="shared" si="30"/>
        <v>2026</v>
      </c>
      <c r="R467" s="6">
        <f t="shared" si="31"/>
        <v>-5000</v>
      </c>
      <c r="S467" s="16">
        <v>46213</v>
      </c>
    </row>
    <row r="468" spans="1:19">
      <c r="A468" s="16">
        <v>46211</v>
      </c>
      <c r="B468" s="7" t="s">
        <v>7</v>
      </c>
      <c r="C468" s="7" t="s">
        <v>9</v>
      </c>
      <c r="D468" s="15">
        <v>911.88</v>
      </c>
      <c r="E468" s="15"/>
      <c r="F468" s="15"/>
      <c r="G468" s="8" t="s">
        <v>11</v>
      </c>
      <c r="H468" s="8"/>
      <c r="I468" s="17"/>
      <c r="J468" s="8" t="s">
        <v>10</v>
      </c>
      <c r="K468" s="8"/>
      <c r="L468" s="7"/>
      <c r="M468" s="7" t="str">
        <f>IF(C468="Caixa","-",VLOOKUP(J468,[1]Estrutura!C:E,3,FALSE))</f>
        <v>1.1</v>
      </c>
      <c r="N468" s="7"/>
      <c r="O468" s="7">
        <f t="shared" si="28"/>
        <v>8</v>
      </c>
      <c r="P468" s="7">
        <f t="shared" si="29"/>
        <v>7</v>
      </c>
      <c r="Q468" s="7">
        <f t="shared" si="30"/>
        <v>2026</v>
      </c>
      <c r="R468" s="6">
        <f t="shared" si="31"/>
        <v>911.88</v>
      </c>
      <c r="S468" s="12">
        <v>46213</v>
      </c>
    </row>
    <row r="469" spans="1:19">
      <c r="A469" s="16">
        <v>46213</v>
      </c>
      <c r="B469" s="8" t="s">
        <v>14</v>
      </c>
      <c r="C469" s="7" t="s">
        <v>9</v>
      </c>
      <c r="D469" s="15">
        <v>5286.0999999999995</v>
      </c>
      <c r="E469" s="15"/>
      <c r="F469" s="15"/>
      <c r="G469" s="8" t="s">
        <v>11</v>
      </c>
      <c r="H469" s="8"/>
      <c r="I469" s="17"/>
      <c r="J469" s="8" t="s">
        <v>10</v>
      </c>
      <c r="K469" s="8"/>
      <c r="L469" s="8"/>
      <c r="M469" s="8" t="str">
        <f>IF(C469="Caixa","-",VLOOKUP(J469,[1]Estrutura!C:E,3,FALSE))</f>
        <v>1.1</v>
      </c>
      <c r="N469" s="8"/>
      <c r="O469" s="7">
        <f t="shared" si="28"/>
        <v>10</v>
      </c>
      <c r="P469" s="7">
        <f t="shared" si="29"/>
        <v>7</v>
      </c>
      <c r="Q469" s="7">
        <f t="shared" si="30"/>
        <v>2026</v>
      </c>
      <c r="R469" s="6">
        <f t="shared" si="31"/>
        <v>5286.0999999999995</v>
      </c>
      <c r="S469" s="16">
        <v>46213</v>
      </c>
    </row>
    <row r="470" spans="1:19">
      <c r="A470" s="16">
        <v>46213</v>
      </c>
      <c r="B470" s="7" t="s">
        <v>14</v>
      </c>
      <c r="C470" s="7" t="s">
        <v>9</v>
      </c>
      <c r="D470" s="11">
        <v>150000</v>
      </c>
      <c r="E470" s="11"/>
      <c r="F470" s="11" t="s">
        <v>148</v>
      </c>
      <c r="G470" s="8" t="s">
        <v>129</v>
      </c>
      <c r="H470" s="10"/>
      <c r="I470" s="9"/>
      <c r="J470" s="7" t="s">
        <v>128</v>
      </c>
      <c r="K470" s="7"/>
      <c r="L470" s="7"/>
      <c r="M470" s="7" t="str">
        <f>IF(C470="Caixa","-",VLOOKUP(J470,[1]Estrutura!C:E,3,FALSE))</f>
        <v>9.1</v>
      </c>
      <c r="N470" s="7"/>
      <c r="O470" s="7">
        <f t="shared" si="28"/>
        <v>10</v>
      </c>
      <c r="P470" s="7">
        <f t="shared" si="29"/>
        <v>7</v>
      </c>
      <c r="Q470" s="7">
        <f t="shared" si="30"/>
        <v>2026</v>
      </c>
      <c r="R470" s="6">
        <f t="shared" si="31"/>
        <v>150000</v>
      </c>
      <c r="S470" s="16">
        <v>46213</v>
      </c>
    </row>
    <row r="471" spans="1:19">
      <c r="A471" s="16">
        <v>46213</v>
      </c>
      <c r="B471" s="8" t="s">
        <v>14</v>
      </c>
      <c r="C471" s="8" t="s">
        <v>9</v>
      </c>
      <c r="D471" s="15"/>
      <c r="E471" s="15">
        <v>1060.9000000000001</v>
      </c>
      <c r="F471" s="15" t="s">
        <v>171</v>
      </c>
      <c r="G471" s="8" t="s">
        <v>667</v>
      </c>
      <c r="H471" s="14"/>
      <c r="I471" s="13"/>
      <c r="J471" s="8" t="s">
        <v>150</v>
      </c>
      <c r="K471" s="8"/>
      <c r="L471" s="8"/>
      <c r="M471" s="8" t="str">
        <f>IF(C471="Caixa","-",VLOOKUP(J471,[1]Estrutura!C:E,3,FALSE))</f>
        <v>4.4</v>
      </c>
      <c r="N471" s="8"/>
      <c r="O471" s="7">
        <f t="shared" si="28"/>
        <v>10</v>
      </c>
      <c r="P471" s="7">
        <f t="shared" si="29"/>
        <v>7</v>
      </c>
      <c r="Q471" s="7">
        <f t="shared" si="30"/>
        <v>2026</v>
      </c>
      <c r="R471" s="6">
        <f t="shared" si="31"/>
        <v>-1060.9000000000001</v>
      </c>
      <c r="S471" s="16">
        <v>46213</v>
      </c>
    </row>
    <row r="472" spans="1:19">
      <c r="A472" s="16">
        <v>46213</v>
      </c>
      <c r="B472" s="8" t="s">
        <v>14</v>
      </c>
      <c r="C472" s="8" t="s">
        <v>9</v>
      </c>
      <c r="D472" s="15"/>
      <c r="E472" s="15">
        <v>540</v>
      </c>
      <c r="F472" s="15" t="s">
        <v>666</v>
      </c>
      <c r="G472" s="8" t="s">
        <v>665</v>
      </c>
      <c r="H472" s="14"/>
      <c r="I472" s="13"/>
      <c r="J472" s="8" t="s">
        <v>64</v>
      </c>
      <c r="K472" s="8"/>
      <c r="L472" s="7"/>
      <c r="M472" s="7" t="str">
        <f>IF(C472="Caixa","-",VLOOKUP(J472,[1]Estrutura!C:E,3,FALSE))</f>
        <v>4.4</v>
      </c>
      <c r="N472" s="7"/>
      <c r="O472" s="7">
        <f t="shared" si="28"/>
        <v>10</v>
      </c>
      <c r="P472" s="7">
        <f t="shared" si="29"/>
        <v>7</v>
      </c>
      <c r="Q472" s="7">
        <f t="shared" si="30"/>
        <v>2026</v>
      </c>
      <c r="R472" s="6">
        <f t="shared" si="31"/>
        <v>-540</v>
      </c>
      <c r="S472" s="12">
        <v>46213</v>
      </c>
    </row>
    <row r="473" spans="1:19">
      <c r="A473" s="12">
        <v>46213</v>
      </c>
      <c r="B473" s="7" t="s">
        <v>14</v>
      </c>
      <c r="C473" s="7" t="s">
        <v>9</v>
      </c>
      <c r="D473" s="11"/>
      <c r="E473" s="11">
        <v>1134.42</v>
      </c>
      <c r="F473" s="11" t="s">
        <v>159</v>
      </c>
      <c r="G473" s="7" t="s">
        <v>158</v>
      </c>
      <c r="H473" s="10"/>
      <c r="I473" s="9"/>
      <c r="J473" s="7" t="s">
        <v>29</v>
      </c>
      <c r="K473" s="7"/>
      <c r="L473" s="8"/>
      <c r="M473" s="8" t="str">
        <f>IF(C473="Caixa","-",VLOOKUP(J473,[1]Estrutura!C:E,3,FALSE))</f>
        <v>4.8</v>
      </c>
      <c r="N473" s="8"/>
      <c r="O473" s="7">
        <f t="shared" si="28"/>
        <v>10</v>
      </c>
      <c r="P473" s="7">
        <f t="shared" si="29"/>
        <v>7</v>
      </c>
      <c r="Q473" s="7">
        <f t="shared" si="30"/>
        <v>2026</v>
      </c>
      <c r="R473" s="6">
        <f t="shared" si="31"/>
        <v>-1134.42</v>
      </c>
      <c r="S473" s="16">
        <v>46213</v>
      </c>
    </row>
    <row r="474" spans="1:19">
      <c r="A474" s="16">
        <v>46213</v>
      </c>
      <c r="B474" s="7" t="s">
        <v>14</v>
      </c>
      <c r="C474" s="7" t="s">
        <v>9</v>
      </c>
      <c r="D474" s="11"/>
      <c r="E474" s="11">
        <v>410</v>
      </c>
      <c r="F474" s="11" t="s">
        <v>177</v>
      </c>
      <c r="G474" s="7" t="s">
        <v>176</v>
      </c>
      <c r="H474" s="10"/>
      <c r="I474" s="9"/>
      <c r="J474" s="7" t="s">
        <v>22</v>
      </c>
      <c r="K474" s="8"/>
      <c r="L474" s="7"/>
      <c r="M474" s="7" t="str">
        <f>IF(C474="Caixa","-",VLOOKUP(J474,[1]Estrutura!C:E,3,FALSE))</f>
        <v>4.3</v>
      </c>
      <c r="N474" s="7"/>
      <c r="O474" s="7">
        <f t="shared" si="28"/>
        <v>10</v>
      </c>
      <c r="P474" s="7">
        <f t="shared" si="29"/>
        <v>7</v>
      </c>
      <c r="Q474" s="7">
        <f t="shared" si="30"/>
        <v>2026</v>
      </c>
      <c r="R474" s="6">
        <f t="shared" si="31"/>
        <v>-410</v>
      </c>
      <c r="S474" s="16">
        <v>46213</v>
      </c>
    </row>
    <row r="475" spans="1:19">
      <c r="A475" s="16">
        <v>46213</v>
      </c>
      <c r="B475" s="8" t="s">
        <v>26</v>
      </c>
      <c r="C475" s="8" t="s">
        <v>6</v>
      </c>
      <c r="D475" s="15"/>
      <c r="E475" s="15">
        <v>8500</v>
      </c>
      <c r="F475" s="11" t="s">
        <v>263</v>
      </c>
      <c r="G475" s="7" t="s">
        <v>262</v>
      </c>
      <c r="H475" s="10"/>
      <c r="I475" s="9"/>
      <c r="J475" s="7" t="s">
        <v>116</v>
      </c>
      <c r="K475" s="8" t="s">
        <v>21</v>
      </c>
      <c r="L475" s="8"/>
      <c r="M475" s="8" t="str">
        <f>IF(C475="Caixa","-",VLOOKUP(J475,[1]Estrutura!C:E,3,FALSE))</f>
        <v>4.12</v>
      </c>
      <c r="N475" s="8"/>
      <c r="O475" s="7">
        <f t="shared" si="28"/>
        <v>10</v>
      </c>
      <c r="P475" s="7">
        <f t="shared" si="29"/>
        <v>7</v>
      </c>
      <c r="Q475" s="7">
        <f t="shared" si="30"/>
        <v>2026</v>
      </c>
      <c r="R475" s="6">
        <f t="shared" si="31"/>
        <v>-8500</v>
      </c>
      <c r="S475" s="16">
        <v>46214</v>
      </c>
    </row>
    <row r="476" spans="1:19">
      <c r="A476" s="12">
        <v>46213</v>
      </c>
      <c r="B476" s="7" t="s">
        <v>26</v>
      </c>
      <c r="C476" s="7" t="s">
        <v>6</v>
      </c>
      <c r="D476" s="11"/>
      <c r="E476" s="11">
        <v>11.86</v>
      </c>
      <c r="F476" s="11" t="s">
        <v>155</v>
      </c>
      <c r="G476" s="7" t="s">
        <v>589</v>
      </c>
      <c r="H476" s="10"/>
      <c r="I476" s="9"/>
      <c r="J476" s="7" t="s">
        <v>153</v>
      </c>
      <c r="K476" s="7" t="s">
        <v>21</v>
      </c>
      <c r="L476" s="7"/>
      <c r="M476" s="7" t="str">
        <f>IF(C476="Caixa","-",VLOOKUP(J476,[1]Estrutura!C:E,3,FALSE))</f>
        <v>4.3</v>
      </c>
      <c r="N476" s="7"/>
      <c r="O476" s="7">
        <f t="shared" si="28"/>
        <v>10</v>
      </c>
      <c r="P476" s="7">
        <f t="shared" si="29"/>
        <v>7</v>
      </c>
      <c r="Q476" s="7">
        <f t="shared" si="30"/>
        <v>2026</v>
      </c>
      <c r="R476" s="6">
        <f t="shared" si="31"/>
        <v>-11.86</v>
      </c>
      <c r="S476" s="16">
        <v>46214</v>
      </c>
    </row>
    <row r="477" spans="1:19">
      <c r="A477" s="16">
        <v>46213</v>
      </c>
      <c r="B477" s="8" t="s">
        <v>26</v>
      </c>
      <c r="C477" s="8" t="s">
        <v>6</v>
      </c>
      <c r="D477" s="15"/>
      <c r="E477" s="15">
        <v>31670</v>
      </c>
      <c r="F477" s="15" t="s">
        <v>165</v>
      </c>
      <c r="G477" s="8" t="s">
        <v>164</v>
      </c>
      <c r="H477" s="14"/>
      <c r="I477" s="13"/>
      <c r="J477" s="8" t="s">
        <v>17</v>
      </c>
      <c r="K477" s="8" t="s">
        <v>21</v>
      </c>
      <c r="L477" s="8"/>
      <c r="M477" s="8" t="str">
        <f>IF(C477="Caixa","-",VLOOKUP(J477,[1]Estrutura!C:E,3,FALSE))</f>
        <v>4.4</v>
      </c>
      <c r="N477" s="8"/>
      <c r="O477" s="7">
        <f t="shared" si="28"/>
        <v>10</v>
      </c>
      <c r="P477" s="7">
        <f t="shared" si="29"/>
        <v>7</v>
      </c>
      <c r="Q477" s="7">
        <f t="shared" si="30"/>
        <v>2026</v>
      </c>
      <c r="R477" s="6">
        <f t="shared" si="31"/>
        <v>-31670</v>
      </c>
      <c r="S477" s="16">
        <v>46215</v>
      </c>
    </row>
    <row r="478" spans="1:19">
      <c r="A478" s="12">
        <v>46213</v>
      </c>
      <c r="B478" s="7" t="s">
        <v>26</v>
      </c>
      <c r="C478" s="7" t="s">
        <v>6</v>
      </c>
      <c r="D478" s="11"/>
      <c r="E478" s="11">
        <v>272.95</v>
      </c>
      <c r="F478" s="11" t="s">
        <v>106</v>
      </c>
      <c r="G478" s="7" t="s">
        <v>583</v>
      </c>
      <c r="H478" s="10"/>
      <c r="I478" s="9"/>
      <c r="J478" s="7" t="s">
        <v>77</v>
      </c>
      <c r="K478" s="7" t="s">
        <v>40</v>
      </c>
      <c r="L478" s="7"/>
      <c r="M478" s="7" t="str">
        <f>IF(C478="Caixa","-",VLOOKUP(J478,[1]Estrutura!C:E,3,FALSE))</f>
        <v>4.3</v>
      </c>
      <c r="N478" s="7"/>
      <c r="O478" s="7">
        <f t="shared" si="28"/>
        <v>10</v>
      </c>
      <c r="P478" s="7">
        <f t="shared" si="29"/>
        <v>7</v>
      </c>
      <c r="Q478" s="7">
        <f t="shared" si="30"/>
        <v>2026</v>
      </c>
      <c r="R478" s="6">
        <f t="shared" si="31"/>
        <v>-272.95</v>
      </c>
      <c r="S478" s="16">
        <v>46215</v>
      </c>
    </row>
    <row r="479" spans="1:19">
      <c r="A479" s="16">
        <v>46213</v>
      </c>
      <c r="B479" s="8" t="s">
        <v>26</v>
      </c>
      <c r="C479" s="8" t="s">
        <v>6</v>
      </c>
      <c r="D479" s="15"/>
      <c r="E479" s="15">
        <v>300</v>
      </c>
      <c r="F479" s="15" t="s">
        <v>132</v>
      </c>
      <c r="G479" s="8" t="s">
        <v>664</v>
      </c>
      <c r="H479" s="14"/>
      <c r="I479" s="13"/>
      <c r="J479" s="8" t="s">
        <v>52</v>
      </c>
      <c r="K479" s="8" t="s">
        <v>40</v>
      </c>
      <c r="L479" s="8"/>
      <c r="M479" s="8" t="str">
        <f>IF(C479="Caixa","-",VLOOKUP(J479,[1]Estrutura!C:E,3,FALSE))</f>
        <v>4.2</v>
      </c>
      <c r="N479" s="8"/>
      <c r="O479" s="7">
        <f t="shared" si="28"/>
        <v>10</v>
      </c>
      <c r="P479" s="7">
        <f t="shared" si="29"/>
        <v>7</v>
      </c>
      <c r="Q479" s="7">
        <f t="shared" si="30"/>
        <v>2026</v>
      </c>
      <c r="R479" s="6">
        <f t="shared" si="31"/>
        <v>-300</v>
      </c>
      <c r="S479" s="16">
        <v>46215</v>
      </c>
    </row>
    <row r="480" spans="1:19">
      <c r="A480" s="16">
        <v>46213</v>
      </c>
      <c r="B480" s="8" t="s">
        <v>26</v>
      </c>
      <c r="C480" s="8" t="s">
        <v>6</v>
      </c>
      <c r="D480" s="15"/>
      <c r="E480" s="15">
        <v>313.29000000000002</v>
      </c>
      <c r="F480" s="15" t="s">
        <v>161</v>
      </c>
      <c r="G480" s="8" t="s">
        <v>160</v>
      </c>
      <c r="H480" s="14"/>
      <c r="I480" s="13"/>
      <c r="J480" s="7" t="s">
        <v>35</v>
      </c>
      <c r="K480" s="8" t="s">
        <v>21</v>
      </c>
      <c r="L480" s="7"/>
      <c r="M480" s="7" t="str">
        <f>IF(C480="Caixa","-",VLOOKUP(J480,[1]Estrutura!C:E,3,FALSE))</f>
        <v>4.1</v>
      </c>
      <c r="N480" s="7"/>
      <c r="O480" s="7">
        <f t="shared" si="28"/>
        <v>10</v>
      </c>
      <c r="P480" s="7">
        <f t="shared" si="29"/>
        <v>7</v>
      </c>
      <c r="Q480" s="7">
        <f t="shared" si="30"/>
        <v>2026</v>
      </c>
      <c r="R480" s="6">
        <f t="shared" si="31"/>
        <v>-313.29000000000002</v>
      </c>
      <c r="S480" s="16">
        <v>46216</v>
      </c>
    </row>
    <row r="481" spans="1:19">
      <c r="A481" s="16">
        <v>46213</v>
      </c>
      <c r="B481" s="7" t="s">
        <v>7</v>
      </c>
      <c r="C481" s="7" t="s">
        <v>9</v>
      </c>
      <c r="D481" s="15">
        <v>11926.24</v>
      </c>
      <c r="E481" s="15"/>
      <c r="F481" s="15"/>
      <c r="G481" s="8" t="s">
        <v>11</v>
      </c>
      <c r="H481" s="8"/>
      <c r="I481" s="17"/>
      <c r="J481" s="8" t="s">
        <v>10</v>
      </c>
      <c r="K481" s="8"/>
      <c r="L481" s="8"/>
      <c r="M481" s="8" t="str">
        <f>IF(C481="Caixa","-",VLOOKUP(J481,[1]Estrutura!C:E,3,FALSE))</f>
        <v>1.1</v>
      </c>
      <c r="N481" s="8"/>
      <c r="O481" s="7">
        <f t="shared" si="28"/>
        <v>10</v>
      </c>
      <c r="P481" s="7">
        <f t="shared" si="29"/>
        <v>7</v>
      </c>
      <c r="Q481" s="7">
        <f t="shared" si="30"/>
        <v>2026</v>
      </c>
      <c r="R481" s="6">
        <f t="shared" si="31"/>
        <v>11926.24</v>
      </c>
      <c r="S481" s="16">
        <v>46216</v>
      </c>
    </row>
    <row r="482" spans="1:19">
      <c r="A482" s="12">
        <v>46213</v>
      </c>
      <c r="B482" s="7" t="s">
        <v>7</v>
      </c>
      <c r="C482" s="7" t="s">
        <v>9</v>
      </c>
      <c r="D482" s="11"/>
      <c r="E482" s="11">
        <v>2232.8000000000002</v>
      </c>
      <c r="F482" s="11" t="s">
        <v>303</v>
      </c>
      <c r="G482" s="8" t="s">
        <v>133</v>
      </c>
      <c r="H482" s="10"/>
      <c r="I482" s="9"/>
      <c r="J482" s="7" t="s">
        <v>119</v>
      </c>
      <c r="K482" s="7"/>
      <c r="L482" s="7"/>
      <c r="M482" s="7" t="str">
        <f>IF(C482="Caixa","-",VLOOKUP(J482,[1]Estrutura!C:E,3,FALSE))</f>
        <v>4.5</v>
      </c>
      <c r="N482" s="7"/>
      <c r="O482" s="7">
        <f t="shared" si="28"/>
        <v>10</v>
      </c>
      <c r="P482" s="7">
        <f t="shared" si="29"/>
        <v>7</v>
      </c>
      <c r="Q482" s="7">
        <f t="shared" si="30"/>
        <v>2026</v>
      </c>
      <c r="R482" s="6">
        <f t="shared" si="31"/>
        <v>-2232.8000000000002</v>
      </c>
      <c r="S482" s="16">
        <v>46217</v>
      </c>
    </row>
    <row r="483" spans="1:19">
      <c r="A483" s="16">
        <v>46213</v>
      </c>
      <c r="B483" s="8" t="s">
        <v>7</v>
      </c>
      <c r="C483" s="8" t="s">
        <v>9</v>
      </c>
      <c r="D483" s="15"/>
      <c r="E483" s="15">
        <v>3661.15</v>
      </c>
      <c r="F483" s="15" t="s">
        <v>159</v>
      </c>
      <c r="G483" s="8" t="s">
        <v>158</v>
      </c>
      <c r="H483" s="14"/>
      <c r="I483" s="13"/>
      <c r="J483" s="8" t="s">
        <v>29</v>
      </c>
      <c r="K483" s="8"/>
      <c r="L483" s="8"/>
      <c r="M483" s="8" t="str">
        <f>IF(C483="Caixa","-",VLOOKUP(J483,[1]Estrutura!C:E,3,FALSE))</f>
        <v>4.8</v>
      </c>
      <c r="N483" s="8"/>
      <c r="O483" s="7">
        <f t="shared" si="28"/>
        <v>10</v>
      </c>
      <c r="P483" s="7">
        <f t="shared" si="29"/>
        <v>7</v>
      </c>
      <c r="Q483" s="7">
        <f t="shared" si="30"/>
        <v>2026</v>
      </c>
      <c r="R483" s="6">
        <f t="shared" si="31"/>
        <v>-3661.15</v>
      </c>
      <c r="S483" s="12">
        <v>46217</v>
      </c>
    </row>
    <row r="484" spans="1:19">
      <c r="A484" s="16">
        <v>46213</v>
      </c>
      <c r="B484" s="7" t="s">
        <v>7</v>
      </c>
      <c r="C484" s="7" t="s">
        <v>9</v>
      </c>
      <c r="D484" s="11"/>
      <c r="E484" s="11">
        <v>150000</v>
      </c>
      <c r="F484" s="11" t="s">
        <v>157</v>
      </c>
      <c r="G484" s="7" t="s">
        <v>129</v>
      </c>
      <c r="H484" s="10"/>
      <c r="I484" s="9"/>
      <c r="J484" s="7" t="s">
        <v>128</v>
      </c>
      <c r="K484" s="7"/>
      <c r="L484" s="7"/>
      <c r="M484" s="7" t="str">
        <f>IF(C484="Caixa","-",VLOOKUP(J484,[1]Estrutura!C:E,3,FALSE))</f>
        <v>9.1</v>
      </c>
      <c r="N484" s="7"/>
      <c r="O484" s="7">
        <f t="shared" si="28"/>
        <v>10</v>
      </c>
      <c r="P484" s="7">
        <f t="shared" si="29"/>
        <v>7</v>
      </c>
      <c r="Q484" s="7">
        <f t="shared" si="30"/>
        <v>2026</v>
      </c>
      <c r="R484" s="6">
        <f t="shared" si="31"/>
        <v>-150000</v>
      </c>
      <c r="S484" s="16">
        <v>46217</v>
      </c>
    </row>
    <row r="485" spans="1:19">
      <c r="A485" s="16">
        <v>46214</v>
      </c>
      <c r="B485" s="8" t="s">
        <v>14</v>
      </c>
      <c r="C485" s="7" t="s">
        <v>9</v>
      </c>
      <c r="D485" s="15">
        <v>4430.58</v>
      </c>
      <c r="E485" s="15"/>
      <c r="F485" s="15"/>
      <c r="G485" s="8" t="s">
        <v>11</v>
      </c>
      <c r="H485" s="8"/>
      <c r="I485" s="17"/>
      <c r="J485" s="8" t="s">
        <v>10</v>
      </c>
      <c r="K485" s="8"/>
      <c r="L485" s="8"/>
      <c r="M485" s="8" t="str">
        <f>IF(C485="Caixa","-",VLOOKUP(J485,[1]Estrutura!C:E,3,FALSE))</f>
        <v>1.1</v>
      </c>
      <c r="N485" s="8"/>
      <c r="O485" s="7">
        <f t="shared" si="28"/>
        <v>11</v>
      </c>
      <c r="P485" s="7">
        <f t="shared" si="29"/>
        <v>7</v>
      </c>
      <c r="Q485" s="7">
        <f t="shared" si="30"/>
        <v>2026</v>
      </c>
      <c r="R485" s="6">
        <f t="shared" si="31"/>
        <v>4430.58</v>
      </c>
      <c r="S485" s="16">
        <v>46217</v>
      </c>
    </row>
    <row r="486" spans="1:19">
      <c r="A486" s="16">
        <v>46214</v>
      </c>
      <c r="B486" s="7" t="s">
        <v>7</v>
      </c>
      <c r="C486" s="7" t="s">
        <v>9</v>
      </c>
      <c r="D486" s="15">
        <v>6699.6799999999994</v>
      </c>
      <c r="E486" s="15"/>
      <c r="F486" s="15"/>
      <c r="G486" s="8" t="s">
        <v>11</v>
      </c>
      <c r="H486" s="8"/>
      <c r="I486" s="17"/>
      <c r="J486" s="8" t="s">
        <v>10</v>
      </c>
      <c r="K486" s="8"/>
      <c r="L486" s="7"/>
      <c r="M486" s="7" t="str">
        <f>IF(C486="Caixa","-",VLOOKUP(J486,[1]Estrutura!C:E,3,FALSE))</f>
        <v>1.1</v>
      </c>
      <c r="N486" s="7"/>
      <c r="O486" s="7">
        <f t="shared" si="28"/>
        <v>11</v>
      </c>
      <c r="P486" s="7">
        <f t="shared" si="29"/>
        <v>7</v>
      </c>
      <c r="Q486" s="7">
        <f t="shared" si="30"/>
        <v>2026</v>
      </c>
      <c r="R486" s="6">
        <f t="shared" si="31"/>
        <v>6699.6799999999994</v>
      </c>
      <c r="S486" s="12">
        <v>46217</v>
      </c>
    </row>
    <row r="487" spans="1:19">
      <c r="A487" s="16">
        <v>46215</v>
      </c>
      <c r="B487" s="8" t="s">
        <v>14</v>
      </c>
      <c r="C487" s="7" t="s">
        <v>9</v>
      </c>
      <c r="D487" s="15">
        <v>1242.69</v>
      </c>
      <c r="E487" s="15"/>
      <c r="F487" s="15"/>
      <c r="G487" s="8" t="s">
        <v>11</v>
      </c>
      <c r="H487" s="8"/>
      <c r="I487" s="17"/>
      <c r="J487" s="8" t="s">
        <v>10</v>
      </c>
      <c r="K487" s="8"/>
      <c r="L487" s="8"/>
      <c r="M487" s="8" t="str">
        <f>IF(C487="Caixa","-",VLOOKUP(J487,[1]Estrutura!C:E,3,FALSE))</f>
        <v>1.1</v>
      </c>
      <c r="N487" s="8"/>
      <c r="O487" s="7">
        <f t="shared" si="28"/>
        <v>12</v>
      </c>
      <c r="P487" s="7">
        <f t="shared" si="29"/>
        <v>7</v>
      </c>
      <c r="Q487" s="7">
        <f t="shared" si="30"/>
        <v>2026</v>
      </c>
      <c r="R487" s="6">
        <f t="shared" si="31"/>
        <v>1242.69</v>
      </c>
      <c r="S487" s="16">
        <v>46217</v>
      </c>
    </row>
    <row r="488" spans="1:19">
      <c r="A488" s="16">
        <v>46215</v>
      </c>
      <c r="B488" s="8" t="s">
        <v>26</v>
      </c>
      <c r="C488" s="8" t="s">
        <v>6</v>
      </c>
      <c r="D488" s="15"/>
      <c r="E488" s="15">
        <v>1352.76</v>
      </c>
      <c r="F488" s="15" t="s">
        <v>178</v>
      </c>
      <c r="G488" s="8" t="s">
        <v>663</v>
      </c>
      <c r="H488" s="14"/>
      <c r="I488" s="13"/>
      <c r="J488" s="8" t="s">
        <v>178</v>
      </c>
      <c r="K488" s="8" t="s">
        <v>21</v>
      </c>
      <c r="L488" s="7"/>
      <c r="M488" s="7" t="str">
        <f>IF(C488="Caixa","-",VLOOKUP(J488,[1]Estrutura!C:E,3,FALSE))</f>
        <v>4.1</v>
      </c>
      <c r="N488" s="7"/>
      <c r="O488" s="7">
        <f t="shared" si="28"/>
        <v>12</v>
      </c>
      <c r="P488" s="7">
        <f t="shared" si="29"/>
        <v>7</v>
      </c>
      <c r="Q488" s="7">
        <f t="shared" si="30"/>
        <v>2026</v>
      </c>
      <c r="R488" s="6">
        <f t="shared" si="31"/>
        <v>-1352.76</v>
      </c>
      <c r="S488" s="12">
        <v>46217</v>
      </c>
    </row>
    <row r="489" spans="1:19">
      <c r="A489" s="16">
        <v>46215</v>
      </c>
      <c r="B489" s="7" t="s">
        <v>7</v>
      </c>
      <c r="C489" s="7" t="s">
        <v>9</v>
      </c>
      <c r="D489" s="15">
        <v>6298.7300000000005</v>
      </c>
      <c r="E489" s="15"/>
      <c r="F489" s="15"/>
      <c r="G489" s="8" t="s">
        <v>11</v>
      </c>
      <c r="H489" s="8"/>
      <c r="I489" s="17"/>
      <c r="J489" s="8" t="s">
        <v>10</v>
      </c>
      <c r="K489" s="8"/>
      <c r="L489" s="8"/>
      <c r="M489" s="8" t="str">
        <f>IF(C489="Caixa","-",VLOOKUP(J489,[1]Estrutura!C:E,3,FALSE))</f>
        <v>1.1</v>
      </c>
      <c r="N489" s="8"/>
      <c r="O489" s="7">
        <f t="shared" si="28"/>
        <v>12</v>
      </c>
      <c r="P489" s="7">
        <f t="shared" si="29"/>
        <v>7</v>
      </c>
      <c r="Q489" s="7">
        <f t="shared" si="30"/>
        <v>2026</v>
      </c>
      <c r="R489" s="6">
        <f t="shared" si="31"/>
        <v>6298.7300000000005</v>
      </c>
      <c r="S489" s="16">
        <v>46217</v>
      </c>
    </row>
    <row r="490" spans="1:19">
      <c r="A490" s="16">
        <v>46216</v>
      </c>
      <c r="B490" s="8" t="s">
        <v>14</v>
      </c>
      <c r="C490" s="7" t="s">
        <v>9</v>
      </c>
      <c r="D490" s="15">
        <v>1469.47</v>
      </c>
      <c r="E490" s="15"/>
      <c r="F490" s="15"/>
      <c r="G490" s="8" t="s">
        <v>11</v>
      </c>
      <c r="H490" s="8"/>
      <c r="I490" s="17"/>
      <c r="J490" s="8" t="s">
        <v>10</v>
      </c>
      <c r="K490" s="8"/>
      <c r="L490" s="7"/>
      <c r="M490" s="7" t="str">
        <f>IF(C490="Caixa","-",VLOOKUP(J490,[1]Estrutura!C:E,3,FALSE))</f>
        <v>1.1</v>
      </c>
      <c r="N490" s="7"/>
      <c r="O490" s="7">
        <f t="shared" si="28"/>
        <v>13</v>
      </c>
      <c r="P490" s="7">
        <f t="shared" si="29"/>
        <v>7</v>
      </c>
      <c r="Q490" s="7">
        <f t="shared" si="30"/>
        <v>2026</v>
      </c>
      <c r="R490" s="6">
        <f t="shared" si="31"/>
        <v>1469.47</v>
      </c>
      <c r="S490" s="16">
        <v>46217</v>
      </c>
    </row>
    <row r="491" spans="1:19">
      <c r="A491" s="16">
        <v>46216</v>
      </c>
      <c r="B491" s="7" t="s">
        <v>7</v>
      </c>
      <c r="C491" s="7" t="s">
        <v>9</v>
      </c>
      <c r="D491" s="15">
        <v>9411.0300000000007</v>
      </c>
      <c r="E491" s="15"/>
      <c r="F491" s="15"/>
      <c r="G491" s="8" t="s">
        <v>11</v>
      </c>
      <c r="H491" s="8"/>
      <c r="I491" s="17"/>
      <c r="J491" s="8" t="s">
        <v>10</v>
      </c>
      <c r="K491" s="8"/>
      <c r="L491" s="8"/>
      <c r="M491" s="8" t="str">
        <f>IF(C491="Caixa","-",VLOOKUP(J491,[1]Estrutura!C:E,3,FALSE))</f>
        <v>1.1</v>
      </c>
      <c r="N491" s="8"/>
      <c r="O491" s="7">
        <f t="shared" si="28"/>
        <v>13</v>
      </c>
      <c r="P491" s="7">
        <f t="shared" si="29"/>
        <v>7</v>
      </c>
      <c r="Q491" s="7">
        <f t="shared" si="30"/>
        <v>2026</v>
      </c>
      <c r="R491" s="6">
        <f t="shared" si="31"/>
        <v>9411.0300000000007</v>
      </c>
      <c r="S491" s="12">
        <v>46217</v>
      </c>
    </row>
    <row r="492" spans="1:19">
      <c r="A492" s="16">
        <v>46217</v>
      </c>
      <c r="B492" s="8" t="s">
        <v>14</v>
      </c>
      <c r="C492" s="8" t="s">
        <v>9</v>
      </c>
      <c r="D492" s="15"/>
      <c r="E492" s="15">
        <v>362.72</v>
      </c>
      <c r="F492" s="15" t="s">
        <v>118</v>
      </c>
      <c r="G492" s="8" t="s">
        <v>117</v>
      </c>
      <c r="H492" s="14"/>
      <c r="I492" s="13"/>
      <c r="J492" s="21" t="s">
        <v>210</v>
      </c>
      <c r="K492" s="8"/>
      <c r="L492" s="7"/>
      <c r="M492" s="7" t="str">
        <f>IF(C492="Caixa","-",VLOOKUP(J492,[1]Estrutura!C:E,3,FALSE))</f>
        <v>4.12</v>
      </c>
      <c r="N492" s="7"/>
      <c r="O492" s="7">
        <f t="shared" si="28"/>
        <v>14</v>
      </c>
      <c r="P492" s="7">
        <f t="shared" si="29"/>
        <v>7</v>
      </c>
      <c r="Q492" s="7">
        <f t="shared" si="30"/>
        <v>2026</v>
      </c>
      <c r="R492" s="6">
        <f t="shared" si="31"/>
        <v>-362.72</v>
      </c>
      <c r="S492" s="16">
        <v>46217</v>
      </c>
    </row>
    <row r="493" spans="1:19">
      <c r="A493" s="12">
        <v>46217</v>
      </c>
      <c r="B493" s="7" t="s">
        <v>14</v>
      </c>
      <c r="C493" s="7" t="s">
        <v>9</v>
      </c>
      <c r="D493" s="11"/>
      <c r="E493" s="11">
        <v>2832.92</v>
      </c>
      <c r="F493" s="11" t="s">
        <v>104</v>
      </c>
      <c r="G493" s="7" t="s">
        <v>662</v>
      </c>
      <c r="H493" s="10"/>
      <c r="I493" s="9"/>
      <c r="J493" s="8" t="s">
        <v>102</v>
      </c>
      <c r="K493" s="7"/>
      <c r="L493" s="8"/>
      <c r="M493" s="8" t="str">
        <f>IF(C493="Caixa","-",VLOOKUP(J493,[1]Estrutura!C:E,3,FALSE))</f>
        <v>4.5</v>
      </c>
      <c r="N493" s="8"/>
      <c r="O493" s="7">
        <f t="shared" si="28"/>
        <v>14</v>
      </c>
      <c r="P493" s="7">
        <f t="shared" si="29"/>
        <v>7</v>
      </c>
      <c r="Q493" s="7">
        <f t="shared" si="30"/>
        <v>2026</v>
      </c>
      <c r="R493" s="6">
        <f t="shared" si="31"/>
        <v>-2832.92</v>
      </c>
      <c r="S493" s="12">
        <v>46218</v>
      </c>
    </row>
    <row r="494" spans="1:19">
      <c r="A494" s="16">
        <v>46217</v>
      </c>
      <c r="B494" s="8" t="s">
        <v>14</v>
      </c>
      <c r="C494" s="8" t="s">
        <v>9</v>
      </c>
      <c r="D494" s="15"/>
      <c r="E494" s="15">
        <v>99.68</v>
      </c>
      <c r="F494" s="15" t="s">
        <v>168</v>
      </c>
      <c r="G494" s="8" t="s">
        <v>583</v>
      </c>
      <c r="H494" s="14"/>
      <c r="I494" s="13"/>
      <c r="J494" s="8" t="s">
        <v>77</v>
      </c>
      <c r="K494" s="8"/>
      <c r="L494" s="7"/>
      <c r="M494" s="7" t="str">
        <f>IF(C494="Caixa","-",VLOOKUP(J494,[1]Estrutura!C:E,3,FALSE))</f>
        <v>4.3</v>
      </c>
      <c r="N494" s="7"/>
      <c r="O494" s="7">
        <f t="shared" si="28"/>
        <v>14</v>
      </c>
      <c r="P494" s="7">
        <f t="shared" si="29"/>
        <v>7</v>
      </c>
      <c r="Q494" s="7">
        <f t="shared" si="30"/>
        <v>2026</v>
      </c>
      <c r="R494" s="6">
        <f t="shared" si="31"/>
        <v>-99.68</v>
      </c>
      <c r="S494" s="16">
        <v>46218</v>
      </c>
    </row>
    <row r="495" spans="1:19">
      <c r="A495" s="16">
        <v>46217</v>
      </c>
      <c r="B495" s="8" t="s">
        <v>14</v>
      </c>
      <c r="C495" s="8" t="s">
        <v>9</v>
      </c>
      <c r="D495" s="15"/>
      <c r="E495" s="15">
        <v>744.3</v>
      </c>
      <c r="F495" s="15" t="s">
        <v>240</v>
      </c>
      <c r="G495" s="8" t="s">
        <v>661</v>
      </c>
      <c r="H495" s="14"/>
      <c r="I495" s="13"/>
      <c r="J495" s="8" t="s">
        <v>15</v>
      </c>
      <c r="K495" s="8"/>
      <c r="L495" s="8"/>
      <c r="M495" s="8" t="str">
        <f>IF(C495="Caixa","-",VLOOKUP(J495,[1]Estrutura!C:E,3,FALSE))</f>
        <v>4.7</v>
      </c>
      <c r="N495" s="8"/>
      <c r="O495" s="7">
        <f t="shared" si="28"/>
        <v>14</v>
      </c>
      <c r="P495" s="7">
        <f t="shared" si="29"/>
        <v>7</v>
      </c>
      <c r="Q495" s="7">
        <f t="shared" si="30"/>
        <v>2026</v>
      </c>
      <c r="R495" s="6">
        <f t="shared" si="31"/>
        <v>-744.3</v>
      </c>
      <c r="S495" s="16">
        <v>46218</v>
      </c>
    </row>
    <row r="496" spans="1:19">
      <c r="A496" s="12">
        <v>46217</v>
      </c>
      <c r="B496" s="7" t="s">
        <v>14</v>
      </c>
      <c r="C496" s="7" t="s">
        <v>9</v>
      </c>
      <c r="D496" s="11"/>
      <c r="E496" s="11">
        <v>611.01</v>
      </c>
      <c r="F496" s="15" t="s">
        <v>240</v>
      </c>
      <c r="G496" s="7" t="s">
        <v>660</v>
      </c>
      <c r="H496" s="10"/>
      <c r="I496" s="9"/>
      <c r="J496" s="7" t="s">
        <v>15</v>
      </c>
      <c r="K496" s="7"/>
      <c r="L496" s="7"/>
      <c r="M496" s="7" t="str">
        <f>IF(C496="Caixa","-",VLOOKUP(J496,[1]Estrutura!C:E,3,FALSE))</f>
        <v>4.7</v>
      </c>
      <c r="N496" s="7"/>
      <c r="O496" s="7">
        <f t="shared" si="28"/>
        <v>14</v>
      </c>
      <c r="P496" s="7">
        <f t="shared" si="29"/>
        <v>7</v>
      </c>
      <c r="Q496" s="7">
        <f t="shared" si="30"/>
        <v>2026</v>
      </c>
      <c r="R496" s="6">
        <f t="shared" si="31"/>
        <v>-611.01</v>
      </c>
      <c r="S496" s="16">
        <v>46218</v>
      </c>
    </row>
    <row r="497" spans="1:19">
      <c r="A497" s="16">
        <v>46217</v>
      </c>
      <c r="B497" s="8" t="s">
        <v>14</v>
      </c>
      <c r="C497" s="8" t="s">
        <v>9</v>
      </c>
      <c r="D497" s="15"/>
      <c r="E497" s="15">
        <v>410</v>
      </c>
      <c r="F497" s="15" t="s">
        <v>659</v>
      </c>
      <c r="G497" s="8" t="s">
        <v>658</v>
      </c>
      <c r="H497" s="14"/>
      <c r="I497" s="13"/>
      <c r="J497" s="8" t="s">
        <v>22</v>
      </c>
      <c r="K497" s="8"/>
      <c r="L497" s="8"/>
      <c r="M497" s="8" t="str">
        <f>IF(C497="Caixa","-",VLOOKUP(J497,[1]Estrutura!C:E,3,FALSE))</f>
        <v>4.3</v>
      </c>
      <c r="N497" s="8"/>
      <c r="O497" s="7">
        <f t="shared" si="28"/>
        <v>14</v>
      </c>
      <c r="P497" s="7">
        <f t="shared" si="29"/>
        <v>7</v>
      </c>
      <c r="Q497" s="7">
        <f t="shared" si="30"/>
        <v>2026</v>
      </c>
      <c r="R497" s="6">
        <f t="shared" si="31"/>
        <v>-410</v>
      </c>
      <c r="S497" s="16">
        <v>46219</v>
      </c>
    </row>
    <row r="498" spans="1:19">
      <c r="A498" s="12">
        <v>46217</v>
      </c>
      <c r="B498" s="7" t="s">
        <v>14</v>
      </c>
      <c r="C498" s="7" t="s">
        <v>9</v>
      </c>
      <c r="D498" s="11"/>
      <c r="E498" s="11">
        <v>140.36000000000001</v>
      </c>
      <c r="F498" s="11" t="s">
        <v>24</v>
      </c>
      <c r="G498" s="7" t="s">
        <v>371</v>
      </c>
      <c r="H498" s="10"/>
      <c r="I498" s="9"/>
      <c r="J498" s="7" t="s">
        <v>22</v>
      </c>
      <c r="K498" s="7"/>
      <c r="L498" s="7"/>
      <c r="M498" s="7" t="str">
        <f>IF(C498="Caixa","-",VLOOKUP(J498,[1]Estrutura!C:E,3,FALSE))</f>
        <v>4.3</v>
      </c>
      <c r="N498" s="7"/>
      <c r="O498" s="7">
        <f t="shared" si="28"/>
        <v>14</v>
      </c>
      <c r="P498" s="7">
        <f t="shared" si="29"/>
        <v>7</v>
      </c>
      <c r="Q498" s="7">
        <f t="shared" si="30"/>
        <v>2026</v>
      </c>
      <c r="R498" s="6">
        <f t="shared" si="31"/>
        <v>-140.36000000000001</v>
      </c>
      <c r="S498" s="16">
        <v>46219</v>
      </c>
    </row>
    <row r="499" spans="1:19">
      <c r="A499" s="16">
        <v>46217</v>
      </c>
      <c r="B499" s="8" t="s">
        <v>26</v>
      </c>
      <c r="C499" s="8" t="s">
        <v>6</v>
      </c>
      <c r="D499" s="15"/>
      <c r="E499" s="15">
        <v>6243.4</v>
      </c>
      <c r="F499" s="15" t="s">
        <v>157</v>
      </c>
      <c r="G499" s="7" t="s">
        <v>251</v>
      </c>
      <c r="H499" s="14"/>
      <c r="I499" s="13"/>
      <c r="J499" s="8" t="s">
        <v>250</v>
      </c>
      <c r="K499" s="8" t="s">
        <v>21</v>
      </c>
      <c r="L499" s="8"/>
      <c r="M499" s="8" t="str">
        <f>IF(C499="Caixa","-",VLOOKUP(J499,[1]Estrutura!C:E,3,FALSE))</f>
        <v>4.9</v>
      </c>
      <c r="N499" s="8"/>
      <c r="O499" s="7">
        <f t="shared" si="28"/>
        <v>14</v>
      </c>
      <c r="P499" s="7">
        <f t="shared" si="29"/>
        <v>7</v>
      </c>
      <c r="Q499" s="7">
        <f t="shared" si="30"/>
        <v>2026</v>
      </c>
      <c r="R499" s="6">
        <f t="shared" si="31"/>
        <v>-6243.4</v>
      </c>
      <c r="S499" s="12">
        <v>46219</v>
      </c>
    </row>
    <row r="500" spans="1:19">
      <c r="A500" s="16">
        <v>46217</v>
      </c>
      <c r="B500" s="7" t="s">
        <v>7</v>
      </c>
      <c r="C500" s="7" t="s">
        <v>9</v>
      </c>
      <c r="D500" s="15">
        <v>2564.42</v>
      </c>
      <c r="E500" s="15"/>
      <c r="F500" s="15"/>
      <c r="G500" s="8" t="s">
        <v>11</v>
      </c>
      <c r="H500" s="8"/>
      <c r="I500" s="17"/>
      <c r="J500" s="8" t="s">
        <v>10</v>
      </c>
      <c r="K500" s="8"/>
      <c r="L500" s="7"/>
      <c r="M500" s="7" t="str">
        <f>IF(C500="Caixa","-",VLOOKUP(J500,[1]Estrutura!C:E,3,FALSE))</f>
        <v>1.1</v>
      </c>
      <c r="N500" s="7"/>
      <c r="O500" s="7">
        <f t="shared" si="28"/>
        <v>14</v>
      </c>
      <c r="P500" s="7">
        <f t="shared" si="29"/>
        <v>7</v>
      </c>
      <c r="Q500" s="7">
        <f t="shared" si="30"/>
        <v>2026</v>
      </c>
      <c r="R500" s="6">
        <f t="shared" si="31"/>
        <v>2564.42</v>
      </c>
      <c r="S500" s="16">
        <v>46219</v>
      </c>
    </row>
    <row r="501" spans="1:19">
      <c r="A501" s="12">
        <v>46217</v>
      </c>
      <c r="B501" s="7" t="s">
        <v>7</v>
      </c>
      <c r="C501" s="7" t="s">
        <v>9</v>
      </c>
      <c r="D501" s="11"/>
      <c r="E501" s="11">
        <v>417.16</v>
      </c>
      <c r="F501" s="11" t="s">
        <v>657</v>
      </c>
      <c r="G501" s="7" t="s">
        <v>656</v>
      </c>
      <c r="H501" s="10"/>
      <c r="I501" s="9"/>
      <c r="J501" s="7" t="s">
        <v>173</v>
      </c>
      <c r="K501" s="7"/>
      <c r="L501" s="8"/>
      <c r="M501" s="8" t="str">
        <f>IF(C501="Caixa","-",VLOOKUP(J501,[1]Estrutura!C:E,3,FALSE))</f>
        <v>4.3</v>
      </c>
      <c r="N501" s="8"/>
      <c r="O501" s="7">
        <f t="shared" si="28"/>
        <v>14</v>
      </c>
      <c r="P501" s="7">
        <f t="shared" si="29"/>
        <v>7</v>
      </c>
      <c r="Q501" s="7">
        <f t="shared" si="30"/>
        <v>2026</v>
      </c>
      <c r="R501" s="6">
        <f t="shared" si="31"/>
        <v>-417.16</v>
      </c>
      <c r="S501" s="16">
        <v>46220</v>
      </c>
    </row>
    <row r="502" spans="1:19">
      <c r="A502" s="16">
        <v>46217</v>
      </c>
      <c r="B502" s="8" t="s">
        <v>7</v>
      </c>
      <c r="C502" s="8" t="s">
        <v>9</v>
      </c>
      <c r="D502" s="15"/>
      <c r="E502" s="15">
        <v>2717.81</v>
      </c>
      <c r="F502" s="15" t="s">
        <v>104</v>
      </c>
      <c r="G502" s="8" t="s">
        <v>655</v>
      </c>
      <c r="H502" s="14"/>
      <c r="I502" s="13"/>
      <c r="J502" s="8" t="s">
        <v>102</v>
      </c>
      <c r="K502" s="8"/>
      <c r="L502" s="7"/>
      <c r="M502" s="7" t="str">
        <f>IF(C502="Caixa","-",VLOOKUP(J502,[1]Estrutura!C:E,3,FALSE))</f>
        <v>4.5</v>
      </c>
      <c r="N502" s="7"/>
      <c r="O502" s="7">
        <f t="shared" si="28"/>
        <v>14</v>
      </c>
      <c r="P502" s="7">
        <f t="shared" si="29"/>
        <v>7</v>
      </c>
      <c r="Q502" s="7">
        <f t="shared" si="30"/>
        <v>2026</v>
      </c>
      <c r="R502" s="6">
        <f t="shared" si="31"/>
        <v>-2717.81</v>
      </c>
      <c r="S502" s="12">
        <v>46221</v>
      </c>
    </row>
    <row r="503" spans="1:19">
      <c r="A503" s="12">
        <v>46218</v>
      </c>
      <c r="B503" s="7" t="s">
        <v>14</v>
      </c>
      <c r="C503" s="7" t="s">
        <v>9</v>
      </c>
      <c r="D503" s="11"/>
      <c r="E503" s="11">
        <v>2874</v>
      </c>
      <c r="F503" s="15" t="s">
        <v>146</v>
      </c>
      <c r="G503" s="7" t="s">
        <v>147</v>
      </c>
      <c r="H503" s="7"/>
      <c r="I503" s="30"/>
      <c r="J503" s="7" t="s">
        <v>144</v>
      </c>
      <c r="K503" s="7"/>
      <c r="L503" s="8"/>
      <c r="M503" s="8" t="str">
        <f>IF(C503="Caixa","-",VLOOKUP(J503,[1]Estrutura!C:E,3,FALSE))</f>
        <v>4.2</v>
      </c>
      <c r="N503" s="8"/>
      <c r="O503" s="7">
        <f t="shared" si="28"/>
        <v>15</v>
      </c>
      <c r="P503" s="7">
        <f t="shared" si="29"/>
        <v>7</v>
      </c>
      <c r="Q503" s="7">
        <f t="shared" si="30"/>
        <v>2026</v>
      </c>
      <c r="R503" s="6">
        <f t="shared" si="31"/>
        <v>-2874</v>
      </c>
      <c r="S503" s="16">
        <v>46221</v>
      </c>
    </row>
    <row r="504" spans="1:19">
      <c r="A504" s="16">
        <v>46218</v>
      </c>
      <c r="B504" s="8" t="s">
        <v>14</v>
      </c>
      <c r="C504" s="8" t="s">
        <v>9</v>
      </c>
      <c r="D504" s="15"/>
      <c r="E504" s="15">
        <v>2874</v>
      </c>
      <c r="F504" s="15" t="s">
        <v>146</v>
      </c>
      <c r="G504" s="8" t="s">
        <v>145</v>
      </c>
      <c r="H504" s="8"/>
      <c r="I504" s="17"/>
      <c r="J504" s="8" t="s">
        <v>144</v>
      </c>
      <c r="K504" s="8"/>
      <c r="L504" s="7"/>
      <c r="M504" s="7" t="str">
        <f>IF(C504="Caixa","-",VLOOKUP(J504,[1]Estrutura!C:E,3,FALSE))</f>
        <v>4.2</v>
      </c>
      <c r="N504" s="7"/>
      <c r="O504" s="7">
        <f t="shared" si="28"/>
        <v>15</v>
      </c>
      <c r="P504" s="7">
        <f t="shared" si="29"/>
        <v>7</v>
      </c>
      <c r="Q504" s="7">
        <f t="shared" si="30"/>
        <v>2026</v>
      </c>
      <c r="R504" s="6">
        <f t="shared" si="31"/>
        <v>-2874</v>
      </c>
      <c r="S504" s="12">
        <v>46221</v>
      </c>
    </row>
    <row r="505" spans="1:19">
      <c r="A505" s="16">
        <v>46218</v>
      </c>
      <c r="B505" s="7" t="s">
        <v>26</v>
      </c>
      <c r="C505" s="7" t="s">
        <v>6</v>
      </c>
      <c r="D505" s="11"/>
      <c r="E505" s="11">
        <v>2000</v>
      </c>
      <c r="F505" s="7" t="s">
        <v>136</v>
      </c>
      <c r="G505" s="11" t="s">
        <v>137</v>
      </c>
      <c r="H505" s="10"/>
      <c r="I505" s="9"/>
      <c r="J505" s="7" t="s">
        <v>56</v>
      </c>
      <c r="K505" s="7" t="s">
        <v>136</v>
      </c>
      <c r="L505" s="8"/>
      <c r="M505" s="8" t="str">
        <f>IF(C505="Caixa","-",VLOOKUP(J505,[1]Estrutura!C:E,3,FALSE))</f>
        <v>6.1</v>
      </c>
      <c r="N505" s="8"/>
      <c r="O505" s="7">
        <f t="shared" si="28"/>
        <v>15</v>
      </c>
      <c r="P505" s="7">
        <f t="shared" si="29"/>
        <v>7</v>
      </c>
      <c r="Q505" s="7">
        <f t="shared" si="30"/>
        <v>2026</v>
      </c>
      <c r="R505" s="6">
        <f t="shared" si="31"/>
        <v>-2000</v>
      </c>
      <c r="S505" s="16">
        <v>46221</v>
      </c>
    </row>
    <row r="506" spans="1:19">
      <c r="A506" s="16">
        <v>46218</v>
      </c>
      <c r="B506" s="7" t="s">
        <v>7</v>
      </c>
      <c r="C506" s="7" t="s">
        <v>9</v>
      </c>
      <c r="D506" s="15">
        <v>9655.7800000000007</v>
      </c>
      <c r="E506" s="15"/>
      <c r="F506" s="15"/>
      <c r="G506" s="8" t="s">
        <v>11</v>
      </c>
      <c r="H506" s="8"/>
      <c r="I506" s="17"/>
      <c r="J506" s="8" t="s">
        <v>10</v>
      </c>
      <c r="K506" s="8"/>
      <c r="L506" s="7"/>
      <c r="M506" s="7" t="str">
        <f>IF(C506="Caixa","-",VLOOKUP(J506,[1]Estrutura!C:E,3,FALSE))</f>
        <v>1.1</v>
      </c>
      <c r="N506" s="7"/>
      <c r="O506" s="7">
        <f t="shared" si="28"/>
        <v>15</v>
      </c>
      <c r="P506" s="7">
        <f t="shared" si="29"/>
        <v>7</v>
      </c>
      <c r="Q506" s="7">
        <f t="shared" si="30"/>
        <v>2026</v>
      </c>
      <c r="R506" s="6">
        <f t="shared" si="31"/>
        <v>9655.7800000000007</v>
      </c>
      <c r="S506" s="12">
        <v>46221</v>
      </c>
    </row>
    <row r="507" spans="1:19">
      <c r="A507" s="16">
        <v>46219</v>
      </c>
      <c r="B507" s="8" t="s">
        <v>14</v>
      </c>
      <c r="C507" s="7" t="s">
        <v>9</v>
      </c>
      <c r="D507" s="15">
        <v>2783.2</v>
      </c>
      <c r="E507" s="15"/>
      <c r="F507" s="15"/>
      <c r="G507" s="8" t="s">
        <v>11</v>
      </c>
      <c r="H507" s="8"/>
      <c r="I507" s="17"/>
      <c r="J507" s="8" t="s">
        <v>10</v>
      </c>
      <c r="K507" s="8"/>
      <c r="L507" s="8"/>
      <c r="M507" s="8" t="str">
        <f>IF(C507="Caixa","-",VLOOKUP(J507,[1]Estrutura!C:E,3,FALSE))</f>
        <v>1.1</v>
      </c>
      <c r="N507" s="8"/>
      <c r="O507" s="7">
        <f t="shared" si="28"/>
        <v>16</v>
      </c>
      <c r="P507" s="7">
        <f t="shared" si="29"/>
        <v>7</v>
      </c>
      <c r="Q507" s="7">
        <f t="shared" si="30"/>
        <v>2026</v>
      </c>
      <c r="R507" s="6">
        <f t="shared" si="31"/>
        <v>2783.2</v>
      </c>
      <c r="S507" s="16">
        <v>46221</v>
      </c>
    </row>
    <row r="508" spans="1:19">
      <c r="A508" s="16">
        <v>46219</v>
      </c>
      <c r="B508" s="7" t="s">
        <v>14</v>
      </c>
      <c r="C508" s="7" t="s">
        <v>9</v>
      </c>
      <c r="D508" s="11"/>
      <c r="E508" s="11">
        <v>700.74</v>
      </c>
      <c r="F508" s="11" t="s">
        <v>24</v>
      </c>
      <c r="G508" s="7" t="s">
        <v>126</v>
      </c>
      <c r="H508" s="10"/>
      <c r="I508" s="9"/>
      <c r="J508" s="7" t="s">
        <v>77</v>
      </c>
      <c r="K508" s="8"/>
      <c r="L508" s="7"/>
      <c r="M508" s="7" t="str">
        <f>IF(C508="Caixa","-",VLOOKUP(J508,[1]Estrutura!C:E,3,FALSE))</f>
        <v>4.3</v>
      </c>
      <c r="N508" s="7"/>
      <c r="O508" s="7">
        <f t="shared" si="28"/>
        <v>16</v>
      </c>
      <c r="P508" s="7">
        <f t="shared" si="29"/>
        <v>7</v>
      </c>
      <c r="Q508" s="7">
        <f t="shared" si="30"/>
        <v>2026</v>
      </c>
      <c r="R508" s="6">
        <f t="shared" si="31"/>
        <v>-700.74</v>
      </c>
      <c r="S508" s="12">
        <v>46221</v>
      </c>
    </row>
    <row r="509" spans="1:19">
      <c r="A509" s="12">
        <v>46219</v>
      </c>
      <c r="B509" s="7" t="s">
        <v>26</v>
      </c>
      <c r="C509" s="7" t="s">
        <v>25</v>
      </c>
      <c r="D509" s="11"/>
      <c r="E509" s="11">
        <v>5000</v>
      </c>
      <c r="F509" s="11" t="s">
        <v>109</v>
      </c>
      <c r="G509" s="7" t="s">
        <v>307</v>
      </c>
      <c r="H509" s="10">
        <v>9927</v>
      </c>
      <c r="I509" s="51"/>
      <c r="J509" s="7" t="s">
        <v>17</v>
      </c>
      <c r="K509" s="7" t="s">
        <v>21</v>
      </c>
      <c r="L509" s="8"/>
      <c r="M509" s="8" t="str">
        <f>IF(C509="Caixa","-",VLOOKUP(J509,[1]Estrutura!C:E,3,FALSE))</f>
        <v>4.4</v>
      </c>
      <c r="N509" s="8"/>
      <c r="O509" s="7">
        <f t="shared" si="28"/>
        <v>16</v>
      </c>
      <c r="P509" s="7">
        <f t="shared" si="29"/>
        <v>7</v>
      </c>
      <c r="Q509" s="7">
        <f t="shared" si="30"/>
        <v>2026</v>
      </c>
      <c r="R509" s="6">
        <f t="shared" si="31"/>
        <v>-5000</v>
      </c>
      <c r="S509" s="16">
        <v>46221</v>
      </c>
    </row>
    <row r="510" spans="1:19">
      <c r="A510" s="16">
        <v>46219</v>
      </c>
      <c r="B510" s="7" t="s">
        <v>7</v>
      </c>
      <c r="C510" s="7" t="s">
        <v>9</v>
      </c>
      <c r="D510" s="15">
        <v>5066.75</v>
      </c>
      <c r="E510" s="15"/>
      <c r="F510" s="15"/>
      <c r="G510" s="8" t="s">
        <v>11</v>
      </c>
      <c r="H510" s="8"/>
      <c r="I510" s="17"/>
      <c r="J510" s="8" t="s">
        <v>10</v>
      </c>
      <c r="K510" s="8"/>
      <c r="L510" s="7"/>
      <c r="M510" s="7" t="str">
        <f>IF(C510="Caixa","-",VLOOKUP(J510,[1]Estrutura!C:E,3,FALSE))</f>
        <v>1.1</v>
      </c>
      <c r="N510" s="7"/>
      <c r="O510" s="7">
        <f t="shared" si="28"/>
        <v>16</v>
      </c>
      <c r="P510" s="7">
        <f t="shared" si="29"/>
        <v>7</v>
      </c>
      <c r="Q510" s="7">
        <f t="shared" si="30"/>
        <v>2026</v>
      </c>
      <c r="R510" s="6">
        <f t="shared" si="31"/>
        <v>5066.75</v>
      </c>
      <c r="S510" s="12">
        <v>46221</v>
      </c>
    </row>
    <row r="511" spans="1:19">
      <c r="A511" s="16">
        <v>46220</v>
      </c>
      <c r="B511" s="8" t="s">
        <v>14</v>
      </c>
      <c r="C511" s="7" t="s">
        <v>9</v>
      </c>
      <c r="D511" s="15">
        <v>1240.02</v>
      </c>
      <c r="E511" s="15"/>
      <c r="F511" s="15"/>
      <c r="G511" s="8" t="s">
        <v>11</v>
      </c>
      <c r="H511" s="8"/>
      <c r="I511" s="17"/>
      <c r="J511" s="8" t="s">
        <v>10</v>
      </c>
      <c r="K511" s="8"/>
      <c r="L511" s="8"/>
      <c r="M511" s="8" t="str">
        <f>IF(C511="Caixa","-",VLOOKUP(J511,[1]Estrutura!C:E,3,FALSE))</f>
        <v>1.1</v>
      </c>
      <c r="N511" s="8"/>
      <c r="O511" s="7">
        <f t="shared" si="28"/>
        <v>17</v>
      </c>
      <c r="P511" s="7">
        <f t="shared" si="29"/>
        <v>7</v>
      </c>
      <c r="Q511" s="7">
        <f t="shared" si="30"/>
        <v>2026</v>
      </c>
      <c r="R511" s="6">
        <f t="shared" si="31"/>
        <v>1240.02</v>
      </c>
      <c r="S511" s="16">
        <v>46221</v>
      </c>
    </row>
    <row r="512" spans="1:19">
      <c r="A512" s="12">
        <v>46221</v>
      </c>
      <c r="B512" s="7" t="s">
        <v>14</v>
      </c>
      <c r="C512" s="7" t="s">
        <v>9</v>
      </c>
      <c r="D512" s="11"/>
      <c r="E512" s="11">
        <v>211.41</v>
      </c>
      <c r="F512" s="11" t="s">
        <v>125</v>
      </c>
      <c r="G512" s="7" t="s">
        <v>441</v>
      </c>
      <c r="H512" s="10"/>
      <c r="I512" s="9"/>
      <c r="J512" s="8" t="s">
        <v>99</v>
      </c>
      <c r="K512" s="7"/>
      <c r="L512" s="7"/>
      <c r="M512" s="7" t="str">
        <f>IF(C512="Caixa","-",VLOOKUP(J512,[1]Estrutura!C:E,3,FALSE))</f>
        <v>4.3</v>
      </c>
      <c r="N512" s="7"/>
      <c r="O512" s="7">
        <f t="shared" si="28"/>
        <v>18</v>
      </c>
      <c r="P512" s="7">
        <f t="shared" si="29"/>
        <v>7</v>
      </c>
      <c r="Q512" s="7">
        <f t="shared" si="30"/>
        <v>2026</v>
      </c>
      <c r="R512" s="6">
        <f t="shared" si="31"/>
        <v>-211.41</v>
      </c>
      <c r="S512" s="16">
        <v>46221</v>
      </c>
    </row>
    <row r="513" spans="1:19">
      <c r="A513" s="16">
        <v>46221</v>
      </c>
      <c r="B513" s="8" t="s">
        <v>14</v>
      </c>
      <c r="C513" s="8" t="s">
        <v>9</v>
      </c>
      <c r="D513" s="15"/>
      <c r="E513" s="15">
        <v>1162.6300000000001</v>
      </c>
      <c r="F513" s="15" t="s">
        <v>143</v>
      </c>
      <c r="G513" s="8" t="s">
        <v>583</v>
      </c>
      <c r="H513" s="14"/>
      <c r="I513" s="13"/>
      <c r="J513" s="8" t="s">
        <v>141</v>
      </c>
      <c r="K513" s="8"/>
      <c r="L513" s="8"/>
      <c r="M513" s="8" t="str">
        <f>IF(C513="Caixa","-",VLOOKUP(J513,[1]Estrutura!C:E,3,FALSE))</f>
        <v>4.6</v>
      </c>
      <c r="N513" s="8"/>
      <c r="O513" s="7">
        <f t="shared" si="28"/>
        <v>18</v>
      </c>
      <c r="P513" s="7">
        <f t="shared" si="29"/>
        <v>7</v>
      </c>
      <c r="Q513" s="7">
        <f t="shared" si="30"/>
        <v>2026</v>
      </c>
      <c r="R513" s="6">
        <f t="shared" si="31"/>
        <v>-1162.6300000000001</v>
      </c>
      <c r="S513" s="12">
        <v>46221</v>
      </c>
    </row>
    <row r="514" spans="1:19">
      <c r="A514" s="12">
        <v>46221</v>
      </c>
      <c r="B514" s="7" t="s">
        <v>14</v>
      </c>
      <c r="C514" s="7" t="s">
        <v>9</v>
      </c>
      <c r="D514" s="11"/>
      <c r="E514" s="11">
        <v>1218.94</v>
      </c>
      <c r="F514" s="11" t="s">
        <v>97</v>
      </c>
      <c r="G514" s="7" t="s">
        <v>648</v>
      </c>
      <c r="H514" s="10"/>
      <c r="I514" s="9"/>
      <c r="J514" s="7" t="s">
        <v>95</v>
      </c>
      <c r="K514" s="7"/>
      <c r="L514" s="7"/>
      <c r="M514" s="7" t="str">
        <f>IF(C514="Caixa","-",VLOOKUP(J514,[1]Estrutura!C:E,3,FALSE))</f>
        <v>4.1</v>
      </c>
      <c r="N514" s="7"/>
      <c r="O514" s="7">
        <f t="shared" si="28"/>
        <v>18</v>
      </c>
      <c r="P514" s="7">
        <f t="shared" si="29"/>
        <v>7</v>
      </c>
      <c r="Q514" s="7">
        <f t="shared" si="30"/>
        <v>2026</v>
      </c>
      <c r="R514" s="6">
        <f t="shared" si="31"/>
        <v>-1218.94</v>
      </c>
      <c r="S514" s="16">
        <v>46222</v>
      </c>
    </row>
    <row r="515" spans="1:19">
      <c r="A515" s="12">
        <v>46221</v>
      </c>
      <c r="B515" s="7" t="s">
        <v>14</v>
      </c>
      <c r="C515" s="7" t="s">
        <v>9</v>
      </c>
      <c r="D515" s="11"/>
      <c r="E515" s="11">
        <v>7595.11</v>
      </c>
      <c r="F515" s="11" t="s">
        <v>97</v>
      </c>
      <c r="G515" s="7" t="s">
        <v>648</v>
      </c>
      <c r="H515" s="10"/>
      <c r="I515" s="9"/>
      <c r="J515" s="7" t="s">
        <v>95</v>
      </c>
      <c r="K515" s="7"/>
      <c r="L515" s="8"/>
      <c r="M515" s="8" t="str">
        <f>IF(C515="Caixa","-",VLOOKUP(J515,[1]Estrutura!C:E,3,FALSE))</f>
        <v>4.1</v>
      </c>
      <c r="N515" s="8"/>
      <c r="O515" s="7">
        <f t="shared" si="28"/>
        <v>18</v>
      </c>
      <c r="P515" s="7">
        <f t="shared" si="29"/>
        <v>7</v>
      </c>
      <c r="Q515" s="7">
        <f t="shared" si="30"/>
        <v>2026</v>
      </c>
      <c r="R515" s="6">
        <f t="shared" si="31"/>
        <v>-7595.11</v>
      </c>
      <c r="S515" s="16">
        <v>46222</v>
      </c>
    </row>
    <row r="516" spans="1:19">
      <c r="A516" s="16">
        <v>46221</v>
      </c>
      <c r="B516" s="8" t="s">
        <v>14</v>
      </c>
      <c r="C516" s="8" t="s">
        <v>9</v>
      </c>
      <c r="D516" s="15"/>
      <c r="E516" s="15">
        <v>951.79</v>
      </c>
      <c r="F516" s="15" t="s">
        <v>97</v>
      </c>
      <c r="G516" s="8" t="s">
        <v>654</v>
      </c>
      <c r="H516" s="14"/>
      <c r="I516" s="13"/>
      <c r="J516" s="8" t="s">
        <v>95</v>
      </c>
      <c r="K516" s="8"/>
      <c r="L516" s="7"/>
      <c r="M516" s="7" t="str">
        <f>IF(C516="Caixa","-",VLOOKUP(J516,[1]Estrutura!C:E,3,FALSE))</f>
        <v>4.1</v>
      </c>
      <c r="N516" s="7"/>
      <c r="O516" s="7">
        <f t="shared" si="28"/>
        <v>18</v>
      </c>
      <c r="P516" s="7">
        <f t="shared" si="29"/>
        <v>7</v>
      </c>
      <c r="Q516" s="7">
        <f t="shared" si="30"/>
        <v>2026</v>
      </c>
      <c r="R516" s="6">
        <f t="shared" si="31"/>
        <v>-951.79</v>
      </c>
      <c r="S516" s="16">
        <v>46223</v>
      </c>
    </row>
    <row r="517" spans="1:19">
      <c r="A517" s="16">
        <v>46221</v>
      </c>
      <c r="B517" s="8" t="s">
        <v>14</v>
      </c>
      <c r="C517" s="8" t="s">
        <v>9</v>
      </c>
      <c r="D517" s="15"/>
      <c r="E517" s="15">
        <v>1980.33</v>
      </c>
      <c r="F517" s="15" t="s">
        <v>97</v>
      </c>
      <c r="G517" s="8" t="s">
        <v>653</v>
      </c>
      <c r="H517" s="14"/>
      <c r="I517" s="13"/>
      <c r="J517" s="8" t="s">
        <v>95</v>
      </c>
      <c r="K517" s="8"/>
      <c r="L517" s="8"/>
      <c r="M517" s="8" t="str">
        <f>IF(C517="Caixa","-",VLOOKUP(J517,[1]Estrutura!C:E,3,FALSE))</f>
        <v>4.1</v>
      </c>
      <c r="N517" s="8"/>
      <c r="O517" s="7">
        <f t="shared" si="28"/>
        <v>18</v>
      </c>
      <c r="P517" s="7">
        <f t="shared" si="29"/>
        <v>7</v>
      </c>
      <c r="Q517" s="7">
        <f t="shared" si="30"/>
        <v>2026</v>
      </c>
      <c r="R517" s="6">
        <f t="shared" si="31"/>
        <v>-1980.33</v>
      </c>
      <c r="S517" s="16">
        <v>46223</v>
      </c>
    </row>
    <row r="518" spans="1:19">
      <c r="A518" s="12">
        <v>46221</v>
      </c>
      <c r="B518" s="7" t="s">
        <v>14</v>
      </c>
      <c r="C518" s="7" t="s">
        <v>9</v>
      </c>
      <c r="D518" s="11"/>
      <c r="E518" s="11">
        <v>2068.3000000000002</v>
      </c>
      <c r="F518" s="11" t="s">
        <v>652</v>
      </c>
      <c r="G518" s="7" t="s">
        <v>651</v>
      </c>
      <c r="H518" s="10"/>
      <c r="I518" s="9"/>
      <c r="J518" s="7" t="s">
        <v>269</v>
      </c>
      <c r="K518" s="7"/>
      <c r="L518" s="7"/>
      <c r="M518" s="7" t="str">
        <f>IF(C518="Caixa","-",VLOOKUP(J518,[1]Estrutura!C:E,3,FALSE))</f>
        <v>4.7</v>
      </c>
      <c r="N518" s="7"/>
      <c r="O518" s="7">
        <f t="shared" si="28"/>
        <v>18</v>
      </c>
      <c r="P518" s="7">
        <f t="shared" si="29"/>
        <v>7</v>
      </c>
      <c r="Q518" s="7">
        <f t="shared" si="30"/>
        <v>2026</v>
      </c>
      <c r="R518" s="6">
        <f t="shared" si="31"/>
        <v>-2068.3000000000002</v>
      </c>
      <c r="S518" s="16">
        <v>46223</v>
      </c>
    </row>
    <row r="519" spans="1:19">
      <c r="A519" s="16">
        <v>46221</v>
      </c>
      <c r="B519" s="8" t="s">
        <v>26</v>
      </c>
      <c r="C519" s="8" t="s">
        <v>6</v>
      </c>
      <c r="D519" s="15"/>
      <c r="E519" s="15">
        <v>1053.45</v>
      </c>
      <c r="F519" s="15" t="s">
        <v>104</v>
      </c>
      <c r="G519" s="8" t="s">
        <v>650</v>
      </c>
      <c r="H519" s="14"/>
      <c r="I519" s="13"/>
      <c r="J519" s="8" t="s">
        <v>102</v>
      </c>
      <c r="K519" s="8" t="s">
        <v>21</v>
      </c>
      <c r="L519" s="8"/>
      <c r="M519" s="8" t="str">
        <f>IF(C519="Caixa","-",VLOOKUP(J519,[1]Estrutura!C:E,3,FALSE))</f>
        <v>4.5</v>
      </c>
      <c r="N519" s="8"/>
      <c r="O519" s="7">
        <f t="shared" si="28"/>
        <v>18</v>
      </c>
      <c r="P519" s="7">
        <f t="shared" si="29"/>
        <v>7</v>
      </c>
      <c r="Q519" s="7">
        <f t="shared" si="30"/>
        <v>2026</v>
      </c>
      <c r="R519" s="6">
        <f t="shared" si="31"/>
        <v>-1053.45</v>
      </c>
      <c r="S519" s="12">
        <v>46223</v>
      </c>
    </row>
    <row r="520" spans="1:19">
      <c r="A520" s="12">
        <v>46221</v>
      </c>
      <c r="B520" s="7" t="s">
        <v>26</v>
      </c>
      <c r="C520" s="7" t="s">
        <v>6</v>
      </c>
      <c r="D520" s="11"/>
      <c r="E520" s="11">
        <v>2775.48</v>
      </c>
      <c r="F520" s="15" t="s">
        <v>32</v>
      </c>
      <c r="G520" s="7" t="s">
        <v>648</v>
      </c>
      <c r="H520" s="10"/>
      <c r="I520" s="9"/>
      <c r="J520" s="7" t="s">
        <v>95</v>
      </c>
      <c r="K520" s="7" t="s">
        <v>21</v>
      </c>
      <c r="L520" s="7"/>
      <c r="M520" s="7" t="str">
        <f>IF(C520="Caixa","-",VLOOKUP(J520,[1]Estrutura!C:E,3,FALSE))</f>
        <v>4.1</v>
      </c>
      <c r="N520" s="7"/>
      <c r="O520" s="7">
        <f t="shared" si="28"/>
        <v>18</v>
      </c>
      <c r="P520" s="7">
        <f t="shared" si="29"/>
        <v>7</v>
      </c>
      <c r="Q520" s="7">
        <f t="shared" si="30"/>
        <v>2026</v>
      </c>
      <c r="R520" s="6">
        <f t="shared" si="31"/>
        <v>-2775.48</v>
      </c>
      <c r="S520" s="12">
        <v>46223</v>
      </c>
    </row>
    <row r="521" spans="1:19">
      <c r="A521" s="16">
        <v>46221</v>
      </c>
      <c r="B521" s="8" t="s">
        <v>26</v>
      </c>
      <c r="C521" s="8" t="s">
        <v>6</v>
      </c>
      <c r="D521" s="15"/>
      <c r="E521" s="15">
        <v>1980.33</v>
      </c>
      <c r="F521" s="15" t="s">
        <v>32</v>
      </c>
      <c r="G521" s="8" t="s">
        <v>649</v>
      </c>
      <c r="H521" s="14"/>
      <c r="I521" s="13"/>
      <c r="J521" s="8" t="s">
        <v>95</v>
      </c>
      <c r="K521" s="8" t="s">
        <v>21</v>
      </c>
      <c r="L521" s="8"/>
      <c r="M521" s="8" t="str">
        <f>IF(C521="Caixa","-",VLOOKUP(J521,[1]Estrutura!C:E,3,FALSE))</f>
        <v>4.1</v>
      </c>
      <c r="N521" s="8"/>
      <c r="O521" s="7">
        <f t="shared" si="28"/>
        <v>18</v>
      </c>
      <c r="P521" s="7">
        <f t="shared" si="29"/>
        <v>7</v>
      </c>
      <c r="Q521" s="7">
        <f t="shared" si="30"/>
        <v>2026</v>
      </c>
      <c r="R521" s="6">
        <f t="shared" si="31"/>
        <v>-1980.33</v>
      </c>
      <c r="S521" s="16">
        <v>46224</v>
      </c>
    </row>
    <row r="522" spans="1:19">
      <c r="A522" s="16">
        <v>46221</v>
      </c>
      <c r="B522" s="7" t="s">
        <v>7</v>
      </c>
      <c r="C522" s="7" t="s">
        <v>9</v>
      </c>
      <c r="D522" s="15">
        <v>4132.76</v>
      </c>
      <c r="E522" s="15"/>
      <c r="F522" s="15"/>
      <c r="G522" s="8" t="s">
        <v>11</v>
      </c>
      <c r="H522" s="8"/>
      <c r="I522" s="17"/>
      <c r="J522" s="8" t="s">
        <v>10</v>
      </c>
      <c r="K522" s="8"/>
      <c r="L522" s="7"/>
      <c r="M522" s="7" t="str">
        <f>IF(C522="Caixa","-",VLOOKUP(J522,[1]Estrutura!C:E,3,FALSE))</f>
        <v>1.1</v>
      </c>
      <c r="N522" s="7"/>
      <c r="O522" s="7">
        <f t="shared" si="28"/>
        <v>18</v>
      </c>
      <c r="P522" s="7">
        <f t="shared" si="29"/>
        <v>7</v>
      </c>
      <c r="Q522" s="7">
        <f t="shared" si="30"/>
        <v>2026</v>
      </c>
      <c r="R522" s="6">
        <f t="shared" si="31"/>
        <v>4132.76</v>
      </c>
      <c r="S522" s="12">
        <v>46224</v>
      </c>
    </row>
    <row r="523" spans="1:19">
      <c r="A523" s="12">
        <v>46221</v>
      </c>
      <c r="B523" s="18" t="s">
        <v>7</v>
      </c>
      <c r="C523" s="7" t="s">
        <v>9</v>
      </c>
      <c r="D523" s="11"/>
      <c r="E523" s="11">
        <v>1515.47</v>
      </c>
      <c r="F523" s="11" t="s">
        <v>97</v>
      </c>
      <c r="G523" s="7" t="s">
        <v>648</v>
      </c>
      <c r="H523" s="10"/>
      <c r="I523" s="9"/>
      <c r="J523" s="7" t="s">
        <v>95</v>
      </c>
      <c r="K523" s="7"/>
      <c r="L523" s="8"/>
      <c r="M523" s="8" t="str">
        <f>IF(C523="Caixa","-",VLOOKUP(J523,[1]Estrutura!C:E,3,FALSE))</f>
        <v>4.1</v>
      </c>
      <c r="N523" s="8"/>
      <c r="O523" s="7">
        <f t="shared" si="28"/>
        <v>18</v>
      </c>
      <c r="P523" s="7">
        <f t="shared" si="29"/>
        <v>7</v>
      </c>
      <c r="Q523" s="7">
        <f t="shared" si="30"/>
        <v>2026</v>
      </c>
      <c r="R523" s="6">
        <f t="shared" si="31"/>
        <v>-1515.47</v>
      </c>
      <c r="S523" s="16">
        <v>46224</v>
      </c>
    </row>
    <row r="524" spans="1:19">
      <c r="A524" s="16">
        <v>46222</v>
      </c>
      <c r="B524" s="8" t="s">
        <v>14</v>
      </c>
      <c r="C524" s="7" t="s">
        <v>9</v>
      </c>
      <c r="D524" s="15">
        <v>2112.06</v>
      </c>
      <c r="E524" s="15"/>
      <c r="F524" s="15"/>
      <c r="G524" s="8" t="s">
        <v>11</v>
      </c>
      <c r="H524" s="8"/>
      <c r="I524" s="17"/>
      <c r="J524" s="8" t="s">
        <v>10</v>
      </c>
      <c r="K524" s="8"/>
      <c r="L524" s="7"/>
      <c r="M524" s="7" t="str">
        <f>IF(C524="Caixa","-",VLOOKUP(J524,[1]Estrutura!C:E,3,FALSE))</f>
        <v>1.1</v>
      </c>
      <c r="N524" s="7"/>
      <c r="O524" s="7">
        <f t="shared" si="28"/>
        <v>19</v>
      </c>
      <c r="P524" s="7">
        <f t="shared" si="29"/>
        <v>7</v>
      </c>
      <c r="Q524" s="7">
        <f t="shared" si="30"/>
        <v>2026</v>
      </c>
      <c r="R524" s="6">
        <f t="shared" si="31"/>
        <v>2112.06</v>
      </c>
      <c r="S524" s="12">
        <v>46224</v>
      </c>
    </row>
    <row r="525" spans="1:19">
      <c r="A525" s="16">
        <v>46222</v>
      </c>
      <c r="B525" s="7" t="s">
        <v>7</v>
      </c>
      <c r="C525" s="7" t="s">
        <v>9</v>
      </c>
      <c r="D525" s="15">
        <v>3332.33</v>
      </c>
      <c r="E525" s="15"/>
      <c r="F525" s="15"/>
      <c r="G525" s="8" t="s">
        <v>11</v>
      </c>
      <c r="H525" s="8"/>
      <c r="I525" s="17"/>
      <c r="J525" s="8" t="s">
        <v>10</v>
      </c>
      <c r="K525" s="8"/>
      <c r="L525" s="8"/>
      <c r="M525" s="8" t="str">
        <f>IF(C525="Caixa","-",VLOOKUP(J525,[1]Estrutura!C:E,3,FALSE))</f>
        <v>1.1</v>
      </c>
      <c r="N525" s="8"/>
      <c r="O525" s="7">
        <f t="shared" si="28"/>
        <v>19</v>
      </c>
      <c r="P525" s="7">
        <f t="shared" si="29"/>
        <v>7</v>
      </c>
      <c r="Q525" s="7">
        <f t="shared" si="30"/>
        <v>2026</v>
      </c>
      <c r="R525" s="6">
        <f t="shared" si="31"/>
        <v>3332.33</v>
      </c>
      <c r="S525" s="16">
        <v>46224</v>
      </c>
    </row>
    <row r="526" spans="1:19">
      <c r="A526" s="16">
        <v>46223</v>
      </c>
      <c r="B526" s="8" t="s">
        <v>14</v>
      </c>
      <c r="C526" s="7" t="s">
        <v>9</v>
      </c>
      <c r="D526" s="15">
        <v>3472.13</v>
      </c>
      <c r="E526" s="15"/>
      <c r="F526" s="15"/>
      <c r="G526" s="8" t="s">
        <v>11</v>
      </c>
      <c r="H526" s="8"/>
      <c r="I526" s="17"/>
      <c r="J526" s="8" t="s">
        <v>10</v>
      </c>
      <c r="K526" s="8"/>
      <c r="L526" s="7"/>
      <c r="M526" s="7" t="str">
        <f>IF(C526="Caixa","-",VLOOKUP(J526,[1]Estrutura!C:E,3,FALSE))</f>
        <v>1.1</v>
      </c>
      <c r="N526" s="7"/>
      <c r="O526" s="7">
        <f t="shared" ref="O526:O589" si="32">DAY(A526)</f>
        <v>20</v>
      </c>
      <c r="P526" s="7">
        <f t="shared" ref="P526:P589" si="33">MONTH(A526)</f>
        <v>7</v>
      </c>
      <c r="Q526" s="7">
        <f t="shared" ref="Q526:Q589" si="34">YEAR(A526)</f>
        <v>2026</v>
      </c>
      <c r="R526" s="6">
        <f t="shared" ref="R526:R589" si="35">D526-E526</f>
        <v>3472.13</v>
      </c>
      <c r="S526" s="16">
        <v>46224</v>
      </c>
    </row>
    <row r="527" spans="1:19">
      <c r="A527" s="16">
        <v>46223</v>
      </c>
      <c r="B527" s="8" t="s">
        <v>14</v>
      </c>
      <c r="C527" s="8" t="s">
        <v>9</v>
      </c>
      <c r="D527" s="15"/>
      <c r="E527" s="15">
        <v>427.2399999999999</v>
      </c>
      <c r="F527" s="15"/>
      <c r="G527" s="8" t="s">
        <v>8</v>
      </c>
      <c r="H527" s="14"/>
      <c r="I527" s="13"/>
      <c r="J527" s="8" t="s">
        <v>4</v>
      </c>
      <c r="K527" s="8"/>
      <c r="L527" s="8"/>
      <c r="M527" s="8" t="str">
        <f>IF(C527="Caixa","-",VLOOKUP(J527,[1]Estrutura!C:E,3,FALSE))</f>
        <v>5.2</v>
      </c>
      <c r="N527" s="8"/>
      <c r="O527" s="7">
        <f t="shared" si="32"/>
        <v>20</v>
      </c>
      <c r="P527" s="7">
        <f t="shared" si="33"/>
        <v>7</v>
      </c>
      <c r="Q527" s="7">
        <f t="shared" si="34"/>
        <v>2026</v>
      </c>
      <c r="R527" s="6">
        <f t="shared" si="35"/>
        <v>-427.2399999999999</v>
      </c>
      <c r="S527" s="12">
        <v>46224</v>
      </c>
    </row>
    <row r="528" spans="1:19">
      <c r="A528" s="16">
        <v>46223</v>
      </c>
      <c r="B528" s="7" t="s">
        <v>7</v>
      </c>
      <c r="C528" s="7" t="s">
        <v>9</v>
      </c>
      <c r="D528" s="15">
        <v>8261.5500000000011</v>
      </c>
      <c r="E528" s="15"/>
      <c r="F528" s="15"/>
      <c r="G528" s="8" t="s">
        <v>11</v>
      </c>
      <c r="H528" s="8"/>
      <c r="I528" s="17"/>
      <c r="J528" s="8" t="s">
        <v>10</v>
      </c>
      <c r="K528" s="8"/>
      <c r="L528" s="7"/>
      <c r="M528" s="7" t="str">
        <f>IF(C528="Caixa","-",VLOOKUP(J528,[1]Estrutura!C:E,3,FALSE))</f>
        <v>1.1</v>
      </c>
      <c r="N528" s="7"/>
      <c r="O528" s="7">
        <f t="shared" si="32"/>
        <v>20</v>
      </c>
      <c r="P528" s="7">
        <f t="shared" si="33"/>
        <v>7</v>
      </c>
      <c r="Q528" s="7">
        <f t="shared" si="34"/>
        <v>2026</v>
      </c>
      <c r="R528" s="6">
        <f t="shared" si="35"/>
        <v>8261.5500000000011</v>
      </c>
      <c r="S528" s="16">
        <v>46224</v>
      </c>
    </row>
    <row r="529" spans="1:19">
      <c r="A529" s="12">
        <v>46223</v>
      </c>
      <c r="B529" s="8" t="s">
        <v>7</v>
      </c>
      <c r="C529" s="8" t="s">
        <v>9</v>
      </c>
      <c r="D529" s="15"/>
      <c r="E529" s="15">
        <v>1444.22</v>
      </c>
      <c r="F529" s="15"/>
      <c r="G529" s="8" t="s">
        <v>8</v>
      </c>
      <c r="H529" s="14"/>
      <c r="I529" s="9"/>
      <c r="J529" s="52" t="s">
        <v>4</v>
      </c>
      <c r="K529" s="7"/>
      <c r="L529" s="8"/>
      <c r="M529" s="8" t="str">
        <f>IF(C529="Caixa","-",VLOOKUP(J529,[1]Estrutura!C:E,3,FALSE))</f>
        <v>5.2</v>
      </c>
      <c r="N529" s="8"/>
      <c r="O529" s="7">
        <f t="shared" si="32"/>
        <v>20</v>
      </c>
      <c r="P529" s="7">
        <f t="shared" si="33"/>
        <v>7</v>
      </c>
      <c r="Q529" s="7">
        <f t="shared" si="34"/>
        <v>2026</v>
      </c>
      <c r="R529" s="6">
        <f t="shared" si="35"/>
        <v>-1444.22</v>
      </c>
      <c r="S529" s="12">
        <v>46224</v>
      </c>
    </row>
    <row r="530" spans="1:19">
      <c r="A530" s="16">
        <v>46224</v>
      </c>
      <c r="B530" s="8" t="s">
        <v>14</v>
      </c>
      <c r="C530" s="7" t="s">
        <v>9</v>
      </c>
      <c r="D530" s="15">
        <v>2074.1999999999998</v>
      </c>
      <c r="E530" s="15"/>
      <c r="F530" s="15"/>
      <c r="G530" s="8" t="s">
        <v>11</v>
      </c>
      <c r="H530" s="8"/>
      <c r="I530" s="17"/>
      <c r="J530" s="8" t="s">
        <v>10</v>
      </c>
      <c r="K530" s="8"/>
      <c r="L530" s="7"/>
      <c r="M530" s="7" t="str">
        <f>IF(C530="Caixa","-",VLOOKUP(J530,[1]Estrutura!C:E,3,FALSE))</f>
        <v>1.1</v>
      </c>
      <c r="N530" s="7"/>
      <c r="O530" s="7">
        <f t="shared" si="32"/>
        <v>21</v>
      </c>
      <c r="P530" s="7">
        <f t="shared" si="33"/>
        <v>7</v>
      </c>
      <c r="Q530" s="7">
        <f t="shared" si="34"/>
        <v>2026</v>
      </c>
      <c r="R530" s="6">
        <f t="shared" si="35"/>
        <v>2074.1999999999998</v>
      </c>
      <c r="S530" s="16">
        <v>46225</v>
      </c>
    </row>
    <row r="531" spans="1:19">
      <c r="A531" s="12">
        <v>46224</v>
      </c>
      <c r="B531" s="7" t="s">
        <v>14</v>
      </c>
      <c r="C531" s="7" t="s">
        <v>25</v>
      </c>
      <c r="D531" s="11"/>
      <c r="E531" s="11">
        <v>2646.51</v>
      </c>
      <c r="F531" s="11" t="s">
        <v>157</v>
      </c>
      <c r="G531" s="11" t="s">
        <v>156</v>
      </c>
      <c r="H531" s="10"/>
      <c r="I531" s="51">
        <v>4154</v>
      </c>
      <c r="J531" s="7" t="s">
        <v>17</v>
      </c>
      <c r="K531" s="7"/>
      <c r="L531" s="8"/>
      <c r="M531" s="8" t="str">
        <f>IF(C531="Caixa","-",VLOOKUP(J531,[1]Estrutura!C:E,3,FALSE))</f>
        <v>4.4</v>
      </c>
      <c r="N531" s="8"/>
      <c r="O531" s="7">
        <f t="shared" si="32"/>
        <v>21</v>
      </c>
      <c r="P531" s="7">
        <f t="shared" si="33"/>
        <v>7</v>
      </c>
      <c r="Q531" s="7">
        <f t="shared" si="34"/>
        <v>2026</v>
      </c>
      <c r="R531" s="6">
        <f t="shared" si="35"/>
        <v>-2646.51</v>
      </c>
      <c r="S531" s="16">
        <v>46225</v>
      </c>
    </row>
    <row r="532" spans="1:19">
      <c r="A532" s="16">
        <v>46224</v>
      </c>
      <c r="B532" s="8" t="s">
        <v>14</v>
      </c>
      <c r="C532" s="8" t="s">
        <v>9</v>
      </c>
      <c r="D532" s="15"/>
      <c r="E532" s="15">
        <v>219.44</v>
      </c>
      <c r="F532" s="15" t="s">
        <v>347</v>
      </c>
      <c r="G532" s="15" t="s">
        <v>647</v>
      </c>
      <c r="H532" s="14"/>
      <c r="I532" s="13"/>
      <c r="J532" s="8" t="s">
        <v>250</v>
      </c>
      <c r="K532" s="8"/>
      <c r="L532" s="7"/>
      <c r="M532" s="7" t="str">
        <f>IF(C532="Caixa","-",VLOOKUP(J532,[1]Estrutura!C:E,3,FALSE))</f>
        <v>4.9</v>
      </c>
      <c r="N532" s="7"/>
      <c r="O532" s="7">
        <f t="shared" si="32"/>
        <v>21</v>
      </c>
      <c r="P532" s="7">
        <f t="shared" si="33"/>
        <v>7</v>
      </c>
      <c r="Q532" s="7">
        <f t="shared" si="34"/>
        <v>2026</v>
      </c>
      <c r="R532" s="6">
        <f t="shared" si="35"/>
        <v>-219.44</v>
      </c>
      <c r="S532" s="12">
        <v>46226</v>
      </c>
    </row>
    <row r="533" spans="1:19">
      <c r="A533" s="12">
        <v>46224</v>
      </c>
      <c r="B533" s="7" t="s">
        <v>26</v>
      </c>
      <c r="C533" s="7" t="s">
        <v>6</v>
      </c>
      <c r="D533" s="11"/>
      <c r="E533" s="11">
        <v>4244.18</v>
      </c>
      <c r="F533" s="11" t="s">
        <v>294</v>
      </c>
      <c r="G533" s="7" t="s">
        <v>646</v>
      </c>
      <c r="H533" s="10"/>
      <c r="I533" s="9"/>
      <c r="J533" s="7" t="s">
        <v>17</v>
      </c>
      <c r="K533" s="7" t="s">
        <v>21</v>
      </c>
      <c r="L533" s="8"/>
      <c r="M533" s="8" t="str">
        <f>IF(C533="Caixa","-",VLOOKUP(J533,[1]Estrutura!C:E,3,FALSE))</f>
        <v>4.4</v>
      </c>
      <c r="N533" s="8"/>
      <c r="O533" s="7">
        <f t="shared" si="32"/>
        <v>21</v>
      </c>
      <c r="P533" s="7">
        <f t="shared" si="33"/>
        <v>7</v>
      </c>
      <c r="Q533" s="7">
        <f t="shared" si="34"/>
        <v>2026</v>
      </c>
      <c r="R533" s="6">
        <f t="shared" si="35"/>
        <v>-4244.18</v>
      </c>
      <c r="S533" s="12">
        <v>46226</v>
      </c>
    </row>
    <row r="534" spans="1:19">
      <c r="A534" s="16">
        <v>46224</v>
      </c>
      <c r="B534" s="7" t="s">
        <v>7</v>
      </c>
      <c r="C534" s="7" t="s">
        <v>9</v>
      </c>
      <c r="D534" s="15">
        <v>1607.85</v>
      </c>
      <c r="E534" s="15"/>
      <c r="F534" s="15"/>
      <c r="G534" s="8" t="s">
        <v>11</v>
      </c>
      <c r="H534" s="8"/>
      <c r="I534" s="17"/>
      <c r="J534" s="8" t="s">
        <v>10</v>
      </c>
      <c r="K534" s="8"/>
      <c r="L534" s="7"/>
      <c r="M534" s="7" t="str">
        <f>IF(C534="Caixa","-",VLOOKUP(J534,[1]Estrutura!C:E,3,FALSE))</f>
        <v>1.1</v>
      </c>
      <c r="N534" s="7"/>
      <c r="O534" s="7">
        <f t="shared" si="32"/>
        <v>21</v>
      </c>
      <c r="P534" s="7">
        <f t="shared" si="33"/>
        <v>7</v>
      </c>
      <c r="Q534" s="7">
        <f t="shared" si="34"/>
        <v>2026</v>
      </c>
      <c r="R534" s="6">
        <f t="shared" si="35"/>
        <v>1607.85</v>
      </c>
      <c r="S534" s="12">
        <v>46226</v>
      </c>
    </row>
    <row r="535" spans="1:19">
      <c r="A535" s="16">
        <v>46224</v>
      </c>
      <c r="B535" s="8" t="s">
        <v>7</v>
      </c>
      <c r="C535" s="8" t="s">
        <v>9</v>
      </c>
      <c r="D535" s="15"/>
      <c r="E535" s="15">
        <v>265</v>
      </c>
      <c r="F535" s="15" t="s">
        <v>152</v>
      </c>
      <c r="G535" s="7" t="s">
        <v>151</v>
      </c>
      <c r="H535" s="14"/>
      <c r="I535" s="13"/>
      <c r="J535" s="8" t="s">
        <v>150</v>
      </c>
      <c r="K535" s="8"/>
      <c r="L535" s="8"/>
      <c r="M535" s="8" t="str">
        <f>IF(C535="Caixa","-",VLOOKUP(J535,[1]Estrutura!C:E,3,FALSE))</f>
        <v>4.4</v>
      </c>
      <c r="N535" s="8"/>
      <c r="O535" s="7">
        <f t="shared" si="32"/>
        <v>21</v>
      </c>
      <c r="P535" s="7">
        <f t="shared" si="33"/>
        <v>7</v>
      </c>
      <c r="Q535" s="7">
        <f t="shared" si="34"/>
        <v>2026</v>
      </c>
      <c r="R535" s="6">
        <f t="shared" si="35"/>
        <v>-265</v>
      </c>
      <c r="S535" s="16">
        <v>46226</v>
      </c>
    </row>
    <row r="536" spans="1:19">
      <c r="A536" s="12">
        <v>46224</v>
      </c>
      <c r="B536" s="7" t="s">
        <v>7</v>
      </c>
      <c r="C536" s="7" t="s">
        <v>9</v>
      </c>
      <c r="D536" s="11"/>
      <c r="E536" s="11">
        <v>85</v>
      </c>
      <c r="F536" s="11" t="s">
        <v>337</v>
      </c>
      <c r="G536" s="7" t="s">
        <v>645</v>
      </c>
      <c r="H536" s="10"/>
      <c r="I536" s="9"/>
      <c r="J536" s="7" t="s">
        <v>335</v>
      </c>
      <c r="K536" s="7"/>
      <c r="L536" s="7"/>
      <c r="M536" s="7" t="str">
        <f>IF(C536="Caixa","-",VLOOKUP(J536,[1]Estrutura!C:E,3,FALSE))</f>
        <v>4.5</v>
      </c>
      <c r="N536" s="7"/>
      <c r="O536" s="7">
        <f t="shared" si="32"/>
        <v>21</v>
      </c>
      <c r="P536" s="7">
        <f t="shared" si="33"/>
        <v>7</v>
      </c>
      <c r="Q536" s="7">
        <f t="shared" si="34"/>
        <v>2026</v>
      </c>
      <c r="R536" s="6">
        <f t="shared" si="35"/>
        <v>-85</v>
      </c>
      <c r="S536" s="16">
        <v>46226</v>
      </c>
    </row>
    <row r="537" spans="1:19">
      <c r="A537" s="16">
        <v>46224</v>
      </c>
      <c r="B537" s="8" t="s">
        <v>7</v>
      </c>
      <c r="C537" s="8" t="s">
        <v>9</v>
      </c>
      <c r="D537" s="15"/>
      <c r="E537" s="15">
        <v>408.47</v>
      </c>
      <c r="F537" s="15" t="s">
        <v>101</v>
      </c>
      <c r="G537" s="8" t="s">
        <v>542</v>
      </c>
      <c r="H537" s="14"/>
      <c r="I537" s="13"/>
      <c r="J537" s="8" t="s">
        <v>99</v>
      </c>
      <c r="K537" s="8"/>
      <c r="L537" s="8"/>
      <c r="M537" s="8" t="str">
        <f>IF(C537="Caixa","-",VLOOKUP(J537,[1]Estrutura!C:E,3,FALSE))</f>
        <v>4.3</v>
      </c>
      <c r="N537" s="8"/>
      <c r="O537" s="7">
        <f t="shared" si="32"/>
        <v>21</v>
      </c>
      <c r="P537" s="7">
        <f t="shared" si="33"/>
        <v>7</v>
      </c>
      <c r="Q537" s="7">
        <f t="shared" si="34"/>
        <v>2026</v>
      </c>
      <c r="R537" s="6">
        <f t="shared" si="35"/>
        <v>-408.47</v>
      </c>
      <c r="S537" s="12">
        <v>46226</v>
      </c>
    </row>
    <row r="538" spans="1:19">
      <c r="A538" s="12">
        <v>46224</v>
      </c>
      <c r="B538" s="7" t="s">
        <v>7</v>
      </c>
      <c r="C538" s="7" t="s">
        <v>9</v>
      </c>
      <c r="D538" s="11"/>
      <c r="E538" s="11">
        <v>277.77999999999997</v>
      </c>
      <c r="F538" s="11" t="s">
        <v>63</v>
      </c>
      <c r="G538" s="7" t="s">
        <v>644</v>
      </c>
      <c r="H538" s="10"/>
      <c r="I538" s="9"/>
      <c r="J538" s="7" t="s">
        <v>62</v>
      </c>
      <c r="K538" s="7"/>
      <c r="L538" s="7"/>
      <c r="M538" s="7" t="str">
        <f>IF(C538="Caixa","-",VLOOKUP(J538,[1]Estrutura!C:E,3,FALSE))</f>
        <v>4.5</v>
      </c>
      <c r="N538" s="7"/>
      <c r="O538" s="7">
        <f t="shared" si="32"/>
        <v>21</v>
      </c>
      <c r="P538" s="7">
        <f t="shared" si="33"/>
        <v>7</v>
      </c>
      <c r="Q538" s="7">
        <f t="shared" si="34"/>
        <v>2026</v>
      </c>
      <c r="R538" s="6">
        <f t="shared" si="35"/>
        <v>-277.77999999999997</v>
      </c>
      <c r="S538" s="16">
        <v>46226</v>
      </c>
    </row>
    <row r="539" spans="1:19">
      <c r="A539" s="16">
        <v>46225</v>
      </c>
      <c r="B539" s="8" t="s">
        <v>14</v>
      </c>
      <c r="C539" s="7" t="s">
        <v>9</v>
      </c>
      <c r="D539" s="15">
        <v>1473.36</v>
      </c>
      <c r="E539" s="15"/>
      <c r="F539" s="15"/>
      <c r="G539" s="8" t="s">
        <v>11</v>
      </c>
      <c r="H539" s="8"/>
      <c r="I539" s="17"/>
      <c r="J539" s="8" t="s">
        <v>10</v>
      </c>
      <c r="K539" s="8"/>
      <c r="L539" s="8"/>
      <c r="M539" s="8" t="str">
        <f>IF(C539="Caixa","-",VLOOKUP(J539,[1]Estrutura!C:E,3,FALSE))</f>
        <v>1.1</v>
      </c>
      <c r="N539" s="8"/>
      <c r="O539" s="7">
        <f t="shared" si="32"/>
        <v>22</v>
      </c>
      <c r="P539" s="7">
        <f t="shared" si="33"/>
        <v>7</v>
      </c>
      <c r="Q539" s="7">
        <f t="shared" si="34"/>
        <v>2026</v>
      </c>
      <c r="R539" s="6">
        <f t="shared" si="35"/>
        <v>1473.36</v>
      </c>
      <c r="S539" s="12">
        <v>46226</v>
      </c>
    </row>
    <row r="540" spans="1:19">
      <c r="A540" s="16">
        <v>46225</v>
      </c>
      <c r="B540" s="7" t="s">
        <v>7</v>
      </c>
      <c r="C540" s="7" t="s">
        <v>9</v>
      </c>
      <c r="D540" s="15">
        <v>3509.29</v>
      </c>
      <c r="E540" s="15"/>
      <c r="F540" s="15"/>
      <c r="G540" s="8" t="s">
        <v>11</v>
      </c>
      <c r="H540" s="8"/>
      <c r="I540" s="17"/>
      <c r="J540" s="8" t="s">
        <v>10</v>
      </c>
      <c r="K540" s="8"/>
      <c r="L540" s="7"/>
      <c r="M540" s="7" t="str">
        <f>IF(C540="Caixa","-",VLOOKUP(J540,[1]Estrutura!C:E,3,FALSE))</f>
        <v>1.1</v>
      </c>
      <c r="N540" s="7"/>
      <c r="O540" s="7">
        <f t="shared" si="32"/>
        <v>22</v>
      </c>
      <c r="P540" s="7">
        <f t="shared" si="33"/>
        <v>7</v>
      </c>
      <c r="Q540" s="7">
        <f t="shared" si="34"/>
        <v>2026</v>
      </c>
      <c r="R540" s="6">
        <f t="shared" si="35"/>
        <v>3509.29</v>
      </c>
      <c r="S540" s="16">
        <v>46226</v>
      </c>
    </row>
    <row r="541" spans="1:19">
      <c r="A541" s="12">
        <v>46226</v>
      </c>
      <c r="B541" s="7" t="s">
        <v>122</v>
      </c>
      <c r="C541" s="7" t="s">
        <v>6</v>
      </c>
      <c r="D541" s="11"/>
      <c r="E541" s="11">
        <v>262.08</v>
      </c>
      <c r="F541" s="11" t="s">
        <v>125</v>
      </c>
      <c r="G541" s="7" t="s">
        <v>537</v>
      </c>
      <c r="H541" s="10"/>
      <c r="I541" s="9"/>
      <c r="J541" s="8" t="s">
        <v>99</v>
      </c>
      <c r="K541" s="7"/>
      <c r="L541" s="8"/>
      <c r="M541" s="8" t="str">
        <f>IF(C541="Caixa","-",VLOOKUP(J541,[1]Estrutura!C:E,3,FALSE))</f>
        <v>4.3</v>
      </c>
      <c r="N541" s="8"/>
      <c r="O541" s="7">
        <f t="shared" si="32"/>
        <v>23</v>
      </c>
      <c r="P541" s="7">
        <f t="shared" si="33"/>
        <v>7</v>
      </c>
      <c r="Q541" s="7">
        <f t="shared" si="34"/>
        <v>2026</v>
      </c>
      <c r="R541" s="6">
        <f t="shared" si="35"/>
        <v>-262.08</v>
      </c>
      <c r="S541" s="16">
        <v>46226</v>
      </c>
    </row>
    <row r="542" spans="1:19">
      <c r="A542" s="12">
        <v>46226</v>
      </c>
      <c r="B542" s="7" t="s">
        <v>14</v>
      </c>
      <c r="C542" s="7" t="s">
        <v>9</v>
      </c>
      <c r="D542" s="11"/>
      <c r="E542" s="15">
        <v>1442</v>
      </c>
      <c r="F542" s="11" t="s">
        <v>109</v>
      </c>
      <c r="G542" s="8" t="s">
        <v>75</v>
      </c>
      <c r="H542" s="10"/>
      <c r="I542" s="9"/>
      <c r="J542" s="7" t="s">
        <v>74</v>
      </c>
      <c r="K542" s="7"/>
      <c r="L542" s="7"/>
      <c r="M542" s="7" t="str">
        <f>IF(C542="Caixa","-",VLOOKUP(J542,[1]Estrutura!C:E,3,FALSE))</f>
        <v>4.1</v>
      </c>
      <c r="N542" s="7"/>
      <c r="O542" s="7">
        <f t="shared" si="32"/>
        <v>23</v>
      </c>
      <c r="P542" s="7">
        <f t="shared" si="33"/>
        <v>7</v>
      </c>
      <c r="Q542" s="7">
        <f t="shared" si="34"/>
        <v>2026</v>
      </c>
      <c r="R542" s="6">
        <f t="shared" si="35"/>
        <v>-1442</v>
      </c>
      <c r="S542" s="12">
        <v>46226</v>
      </c>
    </row>
    <row r="543" spans="1:19">
      <c r="A543" s="12">
        <v>46226</v>
      </c>
      <c r="B543" s="7" t="s">
        <v>14</v>
      </c>
      <c r="C543" s="7" t="s">
        <v>9</v>
      </c>
      <c r="D543" s="11"/>
      <c r="E543" s="11">
        <v>4978</v>
      </c>
      <c r="F543" s="11" t="s">
        <v>50</v>
      </c>
      <c r="G543" s="8" t="s">
        <v>70</v>
      </c>
      <c r="H543" s="10"/>
      <c r="I543" s="9"/>
      <c r="J543" s="7" t="s">
        <v>35</v>
      </c>
      <c r="K543" s="7"/>
      <c r="L543" s="8"/>
      <c r="M543" s="8" t="str">
        <f>IF(C543="Caixa","-",VLOOKUP(J543,[1]Estrutura!C:E,3,FALSE))</f>
        <v>4.1</v>
      </c>
      <c r="N543" s="8"/>
      <c r="O543" s="7">
        <f t="shared" si="32"/>
        <v>23</v>
      </c>
      <c r="P543" s="7">
        <f t="shared" si="33"/>
        <v>7</v>
      </c>
      <c r="Q543" s="7">
        <f t="shared" si="34"/>
        <v>2026</v>
      </c>
      <c r="R543" s="6">
        <f t="shared" si="35"/>
        <v>-4978</v>
      </c>
      <c r="S543" s="12">
        <v>46226</v>
      </c>
    </row>
    <row r="544" spans="1:19">
      <c r="A544" s="16">
        <v>46226</v>
      </c>
      <c r="B544" s="8" t="s">
        <v>14</v>
      </c>
      <c r="C544" s="8" t="s">
        <v>9</v>
      </c>
      <c r="D544" s="15"/>
      <c r="E544" s="15">
        <v>2671</v>
      </c>
      <c r="F544" s="15" t="s">
        <v>51</v>
      </c>
      <c r="G544" s="8" t="s">
        <v>643</v>
      </c>
      <c r="H544" s="14"/>
      <c r="I544" s="13"/>
      <c r="J544" s="7" t="s">
        <v>35</v>
      </c>
      <c r="K544" s="8"/>
      <c r="L544" s="7"/>
      <c r="M544" s="7" t="str">
        <f>IF(C544="Caixa","-",VLOOKUP(J544,[1]Estrutura!C:E,3,FALSE))</f>
        <v>4.1</v>
      </c>
      <c r="N544" s="7"/>
      <c r="O544" s="7">
        <f t="shared" si="32"/>
        <v>23</v>
      </c>
      <c r="P544" s="7">
        <f t="shared" si="33"/>
        <v>7</v>
      </c>
      <c r="Q544" s="7">
        <f t="shared" si="34"/>
        <v>2026</v>
      </c>
      <c r="R544" s="6">
        <f t="shared" si="35"/>
        <v>-2671</v>
      </c>
      <c r="S544" s="16">
        <v>46226</v>
      </c>
    </row>
    <row r="545" spans="1:19">
      <c r="A545" s="16">
        <v>46226</v>
      </c>
      <c r="B545" s="8" t="s">
        <v>14</v>
      </c>
      <c r="C545" s="8" t="s">
        <v>9</v>
      </c>
      <c r="D545" s="15"/>
      <c r="E545" s="15">
        <v>8000</v>
      </c>
      <c r="F545" s="11" t="s">
        <v>49</v>
      </c>
      <c r="G545" s="8" t="s">
        <v>643</v>
      </c>
      <c r="H545" s="14"/>
      <c r="I545" s="13"/>
      <c r="J545" s="7" t="s">
        <v>35</v>
      </c>
      <c r="K545" s="8"/>
      <c r="L545" s="8"/>
      <c r="M545" s="8" t="str">
        <f>IF(C545="Caixa","-",VLOOKUP(J545,[1]Estrutura!C:E,3,FALSE))</f>
        <v>4.1</v>
      </c>
      <c r="N545" s="8"/>
      <c r="O545" s="7">
        <f t="shared" si="32"/>
        <v>23</v>
      </c>
      <c r="P545" s="7">
        <f t="shared" si="33"/>
        <v>7</v>
      </c>
      <c r="Q545" s="7">
        <f t="shared" si="34"/>
        <v>2026</v>
      </c>
      <c r="R545" s="6">
        <f t="shared" si="35"/>
        <v>-8000</v>
      </c>
      <c r="S545" s="16">
        <v>46226</v>
      </c>
    </row>
    <row r="546" spans="1:19">
      <c r="A546" s="12">
        <v>46226</v>
      </c>
      <c r="B546" s="7" t="s">
        <v>14</v>
      </c>
      <c r="C546" s="7" t="s">
        <v>9</v>
      </c>
      <c r="D546" s="11"/>
      <c r="E546" s="11">
        <v>8391</v>
      </c>
      <c r="F546" s="11" t="s">
        <v>94</v>
      </c>
      <c r="G546" s="8" t="s">
        <v>84</v>
      </c>
      <c r="H546" s="10"/>
      <c r="I546" s="9"/>
      <c r="J546" s="7" t="s">
        <v>83</v>
      </c>
      <c r="K546" s="7"/>
      <c r="L546" s="7"/>
      <c r="M546" s="7" t="str">
        <f>IF(C546="Caixa","-",VLOOKUP(J546,[1]Estrutura!C:E,3,FALSE))</f>
        <v>4.1</v>
      </c>
      <c r="N546" s="7"/>
      <c r="O546" s="7">
        <f t="shared" si="32"/>
        <v>23</v>
      </c>
      <c r="P546" s="7">
        <f t="shared" si="33"/>
        <v>7</v>
      </c>
      <c r="Q546" s="7">
        <f t="shared" si="34"/>
        <v>2026</v>
      </c>
      <c r="R546" s="6">
        <f t="shared" si="35"/>
        <v>-8391</v>
      </c>
      <c r="S546" s="12">
        <v>46226</v>
      </c>
    </row>
    <row r="547" spans="1:19">
      <c r="A547" s="16">
        <v>46226</v>
      </c>
      <c r="B547" s="8" t="s">
        <v>14</v>
      </c>
      <c r="C547" s="8" t="s">
        <v>9</v>
      </c>
      <c r="D547" s="15"/>
      <c r="E547" s="15">
        <v>8391</v>
      </c>
      <c r="F547" s="15" t="s">
        <v>85</v>
      </c>
      <c r="G547" s="8" t="s">
        <v>84</v>
      </c>
      <c r="H547" s="14"/>
      <c r="I547" s="13"/>
      <c r="J547" s="8" t="s">
        <v>83</v>
      </c>
      <c r="K547" s="8"/>
      <c r="L547" s="8"/>
      <c r="M547" s="8" t="str">
        <f>IF(C547="Caixa","-",VLOOKUP(J547,[1]Estrutura!C:E,3,FALSE))</f>
        <v>4.1</v>
      </c>
      <c r="N547" s="8"/>
      <c r="O547" s="7">
        <f t="shared" si="32"/>
        <v>23</v>
      </c>
      <c r="P547" s="7">
        <f t="shared" si="33"/>
        <v>7</v>
      </c>
      <c r="Q547" s="7">
        <f t="shared" si="34"/>
        <v>2026</v>
      </c>
      <c r="R547" s="6">
        <f t="shared" si="35"/>
        <v>-8391</v>
      </c>
      <c r="S547" s="16">
        <v>46226</v>
      </c>
    </row>
    <row r="548" spans="1:19">
      <c r="A548" s="12">
        <v>46226</v>
      </c>
      <c r="B548" s="7" t="s">
        <v>14</v>
      </c>
      <c r="C548" s="7" t="s">
        <v>9</v>
      </c>
      <c r="D548" s="11"/>
      <c r="E548" s="11">
        <v>57.57</v>
      </c>
      <c r="F548" s="11" t="s">
        <v>82</v>
      </c>
      <c r="G548" s="11" t="s">
        <v>642</v>
      </c>
      <c r="H548" s="10"/>
      <c r="I548" s="9"/>
      <c r="J548" s="7" t="s">
        <v>80</v>
      </c>
      <c r="K548" s="7"/>
      <c r="L548" s="7"/>
      <c r="M548" s="7" t="str">
        <f>IF(C548="Caixa","-",VLOOKUP(J548,[1]Estrutura!C:E,3,FALSE))</f>
        <v>4.5</v>
      </c>
      <c r="N548" s="7"/>
      <c r="O548" s="7">
        <f t="shared" si="32"/>
        <v>23</v>
      </c>
      <c r="P548" s="7">
        <f t="shared" si="33"/>
        <v>7</v>
      </c>
      <c r="Q548" s="7">
        <f t="shared" si="34"/>
        <v>2026</v>
      </c>
      <c r="R548" s="6">
        <f t="shared" si="35"/>
        <v>-57.57</v>
      </c>
      <c r="S548" s="12">
        <v>46226</v>
      </c>
    </row>
    <row r="549" spans="1:19">
      <c r="A549" s="16">
        <v>46226</v>
      </c>
      <c r="B549" s="8" t="s">
        <v>14</v>
      </c>
      <c r="C549" s="8" t="s">
        <v>9</v>
      </c>
      <c r="D549" s="15"/>
      <c r="E549" s="15">
        <v>800</v>
      </c>
      <c r="F549" s="15" t="s">
        <v>51</v>
      </c>
      <c r="G549" s="8" t="s">
        <v>112</v>
      </c>
      <c r="H549" s="14"/>
      <c r="I549" s="13"/>
      <c r="J549" s="8" t="s">
        <v>110</v>
      </c>
      <c r="K549" s="8"/>
      <c r="L549" s="8"/>
      <c r="M549" s="8" t="str">
        <f>IF(C549="Caixa","-",VLOOKUP(J549,[1]Estrutura!C:E,3,FALSE))</f>
        <v>4.1</v>
      </c>
      <c r="N549" s="8"/>
      <c r="O549" s="7">
        <f t="shared" si="32"/>
        <v>23</v>
      </c>
      <c r="P549" s="7">
        <f t="shared" si="33"/>
        <v>7</v>
      </c>
      <c r="Q549" s="7">
        <f t="shared" si="34"/>
        <v>2026</v>
      </c>
      <c r="R549" s="6">
        <f t="shared" si="35"/>
        <v>-800</v>
      </c>
      <c r="S549" s="12">
        <v>46226</v>
      </c>
    </row>
    <row r="550" spans="1:19">
      <c r="A550" s="16">
        <v>46226</v>
      </c>
      <c r="B550" s="8" t="s">
        <v>14</v>
      </c>
      <c r="C550" s="8" t="s">
        <v>9</v>
      </c>
      <c r="D550" s="15"/>
      <c r="E550" s="15">
        <v>800</v>
      </c>
      <c r="F550" s="11" t="s">
        <v>49</v>
      </c>
      <c r="G550" s="7" t="s">
        <v>112</v>
      </c>
      <c r="H550" s="14"/>
      <c r="I550" s="13"/>
      <c r="J550" s="8" t="s">
        <v>110</v>
      </c>
      <c r="K550" s="8"/>
      <c r="L550" s="7"/>
      <c r="M550" s="7" t="str">
        <f>IF(C550="Caixa","-",VLOOKUP(J550,[1]Estrutura!C:E,3,FALSE))</f>
        <v>4.1</v>
      </c>
      <c r="N550" s="7"/>
      <c r="O550" s="7">
        <f t="shared" si="32"/>
        <v>23</v>
      </c>
      <c r="P550" s="7">
        <f t="shared" si="33"/>
        <v>7</v>
      </c>
      <c r="Q550" s="7">
        <f t="shared" si="34"/>
        <v>2026</v>
      </c>
      <c r="R550" s="6">
        <f t="shared" si="35"/>
        <v>-800</v>
      </c>
      <c r="S550" s="16">
        <v>46226</v>
      </c>
    </row>
    <row r="551" spans="1:19">
      <c r="A551" s="12">
        <v>46226</v>
      </c>
      <c r="B551" s="7" t="s">
        <v>14</v>
      </c>
      <c r="C551" s="7" t="s">
        <v>9</v>
      </c>
      <c r="D551" s="11"/>
      <c r="E551" s="42">
        <v>661.5</v>
      </c>
      <c r="F551" s="11" t="s">
        <v>50</v>
      </c>
      <c r="G551" s="11" t="s">
        <v>325</v>
      </c>
      <c r="H551" s="10"/>
      <c r="I551" s="9"/>
      <c r="J551" s="7" t="s">
        <v>110</v>
      </c>
      <c r="K551" s="7"/>
      <c r="L551" s="8"/>
      <c r="M551" s="8" t="str">
        <f>IF(C551="Caixa","-",VLOOKUP(J551,[1]Estrutura!C:E,3,FALSE))</f>
        <v>4.1</v>
      </c>
      <c r="N551" s="8"/>
      <c r="O551" s="7">
        <f t="shared" si="32"/>
        <v>23</v>
      </c>
      <c r="P551" s="7">
        <f t="shared" si="33"/>
        <v>7</v>
      </c>
      <c r="Q551" s="7">
        <f t="shared" si="34"/>
        <v>2026</v>
      </c>
      <c r="R551" s="6">
        <f t="shared" si="35"/>
        <v>-661.5</v>
      </c>
      <c r="S551" s="16">
        <v>46226</v>
      </c>
    </row>
    <row r="552" spans="1:19">
      <c r="A552" s="12">
        <v>46226</v>
      </c>
      <c r="B552" s="7" t="s">
        <v>14</v>
      </c>
      <c r="C552" s="7" t="s">
        <v>9</v>
      </c>
      <c r="D552" s="11"/>
      <c r="E552" s="11">
        <v>470.8</v>
      </c>
      <c r="F552" s="11" t="s">
        <v>51</v>
      </c>
      <c r="G552" s="7" t="s">
        <v>93</v>
      </c>
      <c r="H552" s="10"/>
      <c r="I552" s="9"/>
      <c r="J552" s="7" t="s">
        <v>89</v>
      </c>
      <c r="K552" s="7"/>
      <c r="L552" s="7"/>
      <c r="M552" s="7" t="str">
        <f>IF(C552="Caixa","-",VLOOKUP(J552,[1]Estrutura!C:E,3,FALSE))</f>
        <v>4.1</v>
      </c>
      <c r="N552" s="7"/>
      <c r="O552" s="7">
        <f t="shared" si="32"/>
        <v>23</v>
      </c>
      <c r="P552" s="7">
        <f t="shared" si="33"/>
        <v>7</v>
      </c>
      <c r="Q552" s="7">
        <f t="shared" si="34"/>
        <v>2026</v>
      </c>
      <c r="R552" s="6">
        <f t="shared" si="35"/>
        <v>-470.8</v>
      </c>
      <c r="S552" s="12">
        <v>46226</v>
      </c>
    </row>
    <row r="553" spans="1:19">
      <c r="A553" s="16">
        <v>46226</v>
      </c>
      <c r="B553" s="8" t="s">
        <v>14</v>
      </c>
      <c r="C553" s="8" t="s">
        <v>9</v>
      </c>
      <c r="D553" s="15"/>
      <c r="E553" s="11">
        <v>470.8</v>
      </c>
      <c r="F553" s="15" t="s">
        <v>50</v>
      </c>
      <c r="G553" s="7" t="s">
        <v>93</v>
      </c>
      <c r="H553" s="14"/>
      <c r="I553" s="13"/>
      <c r="J553" s="8" t="s">
        <v>89</v>
      </c>
      <c r="K553" s="8"/>
      <c r="L553" s="8"/>
      <c r="M553" s="8" t="str">
        <f>IF(C553="Caixa","-",VLOOKUP(J553,[1]Estrutura!C:E,3,FALSE))</f>
        <v>4.1</v>
      </c>
      <c r="N553" s="8"/>
      <c r="O553" s="7">
        <f t="shared" si="32"/>
        <v>23</v>
      </c>
      <c r="P553" s="7">
        <f t="shared" si="33"/>
        <v>7</v>
      </c>
      <c r="Q553" s="7">
        <f t="shared" si="34"/>
        <v>2026</v>
      </c>
      <c r="R553" s="6">
        <f t="shared" si="35"/>
        <v>-470.8</v>
      </c>
      <c r="S553" s="16">
        <v>46226</v>
      </c>
    </row>
    <row r="554" spans="1:19">
      <c r="A554" s="16">
        <v>46226</v>
      </c>
      <c r="B554" s="8" t="s">
        <v>26</v>
      </c>
      <c r="C554" s="8" t="s">
        <v>6</v>
      </c>
      <c r="D554" s="15"/>
      <c r="E554" s="15">
        <v>2450</v>
      </c>
      <c r="F554" s="15" t="s">
        <v>641</v>
      </c>
      <c r="G554" s="8" t="s">
        <v>640</v>
      </c>
      <c r="H554" s="14"/>
      <c r="I554" s="13"/>
      <c r="J554" s="8" t="s">
        <v>116</v>
      </c>
      <c r="K554" s="8" t="s">
        <v>21</v>
      </c>
      <c r="L554" s="7"/>
      <c r="M554" s="7" t="str">
        <f>IF(C554="Caixa","-",VLOOKUP(J554,[1]Estrutura!C:E,3,FALSE))</f>
        <v>4.12</v>
      </c>
      <c r="N554" s="7"/>
      <c r="O554" s="7">
        <f t="shared" si="32"/>
        <v>23</v>
      </c>
      <c r="P554" s="7">
        <f t="shared" si="33"/>
        <v>7</v>
      </c>
      <c r="Q554" s="7">
        <f t="shared" si="34"/>
        <v>2026</v>
      </c>
      <c r="R554" s="6">
        <f t="shared" si="35"/>
        <v>-2450</v>
      </c>
      <c r="S554" s="16">
        <v>46226</v>
      </c>
    </row>
    <row r="555" spans="1:19">
      <c r="A555" s="12">
        <v>46226</v>
      </c>
      <c r="B555" s="7" t="s">
        <v>26</v>
      </c>
      <c r="C555" s="7" t="s">
        <v>6</v>
      </c>
      <c r="D555" s="11"/>
      <c r="E555" s="11">
        <v>35.549999999999997</v>
      </c>
      <c r="F555" s="11" t="s">
        <v>294</v>
      </c>
      <c r="G555" s="11" t="s">
        <v>639</v>
      </c>
      <c r="H555" s="10"/>
      <c r="I555" s="9"/>
      <c r="J555" s="8" t="s">
        <v>99</v>
      </c>
      <c r="K555" s="7" t="s">
        <v>21</v>
      </c>
      <c r="L555" s="8"/>
      <c r="M555" s="8" t="str">
        <f>IF(C555="Caixa","-",VLOOKUP(J555,[1]Estrutura!C:E,3,FALSE))</f>
        <v>4.3</v>
      </c>
      <c r="N555" s="8"/>
      <c r="O555" s="7">
        <f t="shared" si="32"/>
        <v>23</v>
      </c>
      <c r="P555" s="7">
        <f t="shared" si="33"/>
        <v>7</v>
      </c>
      <c r="Q555" s="7">
        <f t="shared" si="34"/>
        <v>2026</v>
      </c>
      <c r="R555" s="6">
        <f t="shared" si="35"/>
        <v>-35.549999999999997</v>
      </c>
      <c r="S555" s="12">
        <v>46226</v>
      </c>
    </row>
    <row r="556" spans="1:19">
      <c r="A556" s="16">
        <v>46226</v>
      </c>
      <c r="B556" s="8" t="s">
        <v>26</v>
      </c>
      <c r="C556" s="8" t="s">
        <v>6</v>
      </c>
      <c r="D556" s="15"/>
      <c r="E556" s="15">
        <v>37.76</v>
      </c>
      <c r="F556" s="15" t="s">
        <v>294</v>
      </c>
      <c r="G556" s="15" t="s">
        <v>638</v>
      </c>
      <c r="H556" s="14"/>
      <c r="I556" s="13"/>
      <c r="J556" s="8" t="s">
        <v>99</v>
      </c>
      <c r="K556" s="8" t="s">
        <v>21</v>
      </c>
      <c r="L556" s="7"/>
      <c r="M556" s="7" t="str">
        <f>IF(C556="Caixa","-",VLOOKUP(J556,[1]Estrutura!C:E,3,FALSE))</f>
        <v>4.3</v>
      </c>
      <c r="N556" s="7"/>
      <c r="O556" s="7">
        <f t="shared" si="32"/>
        <v>23</v>
      </c>
      <c r="P556" s="7">
        <f t="shared" si="33"/>
        <v>7</v>
      </c>
      <c r="Q556" s="7">
        <f t="shared" si="34"/>
        <v>2026</v>
      </c>
      <c r="R556" s="6">
        <f t="shared" si="35"/>
        <v>-37.76</v>
      </c>
      <c r="S556" s="16">
        <v>46226</v>
      </c>
    </row>
    <row r="557" spans="1:19">
      <c r="A557" s="12">
        <v>46226</v>
      </c>
      <c r="B557" s="7" t="s">
        <v>26</v>
      </c>
      <c r="C557" s="7" t="s">
        <v>6</v>
      </c>
      <c r="D557" s="11"/>
      <c r="E557" s="11">
        <v>2174</v>
      </c>
      <c r="F557" s="11" t="s">
        <v>71</v>
      </c>
      <c r="G557" s="11" t="s">
        <v>70</v>
      </c>
      <c r="H557" s="10"/>
      <c r="I557" s="9"/>
      <c r="J557" s="7" t="s">
        <v>35</v>
      </c>
      <c r="K557" s="8" t="s">
        <v>40</v>
      </c>
      <c r="L557" s="8"/>
      <c r="M557" s="8" t="str">
        <f>IF(C557="Caixa","-",VLOOKUP(J557,[1]Estrutura!C:E,3,FALSE))</f>
        <v>4.1</v>
      </c>
      <c r="N557" s="8"/>
      <c r="O557" s="7">
        <f t="shared" si="32"/>
        <v>23</v>
      </c>
      <c r="P557" s="7">
        <f t="shared" si="33"/>
        <v>7</v>
      </c>
      <c r="Q557" s="7">
        <f t="shared" si="34"/>
        <v>2026</v>
      </c>
      <c r="R557" s="6">
        <f t="shared" si="35"/>
        <v>-2174</v>
      </c>
      <c r="S557" s="12">
        <v>46226</v>
      </c>
    </row>
    <row r="558" spans="1:19">
      <c r="A558" s="12">
        <v>46226</v>
      </c>
      <c r="B558" s="7" t="s">
        <v>26</v>
      </c>
      <c r="C558" s="7" t="s">
        <v>6</v>
      </c>
      <c r="D558" s="11"/>
      <c r="E558" s="11">
        <v>2805</v>
      </c>
      <c r="F558" s="11" t="s">
        <v>37</v>
      </c>
      <c r="G558" s="7" t="s">
        <v>70</v>
      </c>
      <c r="H558" s="10"/>
      <c r="I558" s="9"/>
      <c r="J558" s="7" t="s">
        <v>35</v>
      </c>
      <c r="K558" s="18" t="s">
        <v>34</v>
      </c>
      <c r="L558" s="7"/>
      <c r="M558" s="7" t="str">
        <f>IF(C558="Caixa","-",VLOOKUP(J558,[1]Estrutura!C:E,3,FALSE))</f>
        <v>4.1</v>
      </c>
      <c r="N558" s="7"/>
      <c r="O558" s="7">
        <f t="shared" si="32"/>
        <v>23</v>
      </c>
      <c r="P558" s="7">
        <f t="shared" si="33"/>
        <v>7</v>
      </c>
      <c r="Q558" s="7">
        <f t="shared" si="34"/>
        <v>2026</v>
      </c>
      <c r="R558" s="6">
        <f t="shared" si="35"/>
        <v>-2805</v>
      </c>
      <c r="S558" s="16">
        <v>46226</v>
      </c>
    </row>
    <row r="559" spans="1:19">
      <c r="A559" s="16">
        <v>46226</v>
      </c>
      <c r="B559" s="8" t="s">
        <v>26</v>
      </c>
      <c r="C559" s="8" t="s">
        <v>6</v>
      </c>
      <c r="D559" s="15"/>
      <c r="E559" s="15">
        <v>2900</v>
      </c>
      <c r="F559" s="15" t="s">
        <v>47</v>
      </c>
      <c r="G559" s="15" t="s">
        <v>637</v>
      </c>
      <c r="H559" s="14"/>
      <c r="I559" s="13"/>
      <c r="J559" s="7" t="s">
        <v>35</v>
      </c>
      <c r="K559" s="8" t="s">
        <v>21</v>
      </c>
      <c r="L559" s="8"/>
      <c r="M559" s="8" t="str">
        <f>IF(C559="Caixa","-",VLOOKUP(J559,[1]Estrutura!C:E,3,FALSE))</f>
        <v>4.1</v>
      </c>
      <c r="N559" s="8"/>
      <c r="O559" s="7">
        <f t="shared" si="32"/>
        <v>23</v>
      </c>
      <c r="P559" s="7">
        <f t="shared" si="33"/>
        <v>7</v>
      </c>
      <c r="Q559" s="7">
        <f t="shared" si="34"/>
        <v>2026</v>
      </c>
      <c r="R559" s="6">
        <f t="shared" si="35"/>
        <v>-2900</v>
      </c>
      <c r="S559" s="16">
        <v>46226</v>
      </c>
    </row>
    <row r="560" spans="1:19">
      <c r="A560" s="16">
        <v>46226</v>
      </c>
      <c r="B560" s="8" t="s">
        <v>26</v>
      </c>
      <c r="C560" s="8" t="s">
        <v>6</v>
      </c>
      <c r="D560" s="15"/>
      <c r="E560" s="15">
        <v>1943</v>
      </c>
      <c r="F560" s="15" t="s">
        <v>48</v>
      </c>
      <c r="G560" s="15" t="s">
        <v>637</v>
      </c>
      <c r="H560" s="14"/>
      <c r="I560" s="13"/>
      <c r="J560" s="7" t="s">
        <v>35</v>
      </c>
      <c r="K560" s="8" t="s">
        <v>40</v>
      </c>
      <c r="L560" s="7"/>
      <c r="M560" s="7" t="str">
        <f>IF(C560="Caixa","-",VLOOKUP(J560,[1]Estrutura!C:E,3,FALSE))</f>
        <v>4.1</v>
      </c>
      <c r="N560" s="7"/>
      <c r="O560" s="7">
        <f t="shared" si="32"/>
        <v>23</v>
      </c>
      <c r="P560" s="7">
        <f t="shared" si="33"/>
        <v>7</v>
      </c>
      <c r="Q560" s="7">
        <f t="shared" si="34"/>
        <v>2026</v>
      </c>
      <c r="R560" s="6">
        <f t="shared" si="35"/>
        <v>-1943</v>
      </c>
      <c r="S560" s="12">
        <v>46226</v>
      </c>
    </row>
    <row r="561" spans="1:19">
      <c r="A561" s="12">
        <v>46226</v>
      </c>
      <c r="B561" s="7" t="s">
        <v>26</v>
      </c>
      <c r="C561" s="7" t="s">
        <v>6</v>
      </c>
      <c r="D561" s="11"/>
      <c r="E561" s="15">
        <v>2860</v>
      </c>
      <c r="F561" s="11" t="s">
        <v>46</v>
      </c>
      <c r="G561" s="11" t="s">
        <v>637</v>
      </c>
      <c r="H561" s="10"/>
      <c r="I561" s="9"/>
      <c r="J561" s="7" t="s">
        <v>35</v>
      </c>
      <c r="K561" s="18" t="s">
        <v>34</v>
      </c>
      <c r="L561" s="8"/>
      <c r="M561" s="8" t="str">
        <f>IF(C561="Caixa","-",VLOOKUP(J561,[1]Estrutura!C:E,3,FALSE))</f>
        <v>4.1</v>
      </c>
      <c r="N561" s="8"/>
      <c r="O561" s="7">
        <f t="shared" si="32"/>
        <v>23</v>
      </c>
      <c r="P561" s="7">
        <f t="shared" si="33"/>
        <v>7</v>
      </c>
      <c r="Q561" s="7">
        <f t="shared" si="34"/>
        <v>2026</v>
      </c>
      <c r="R561" s="6">
        <f t="shared" si="35"/>
        <v>-2860</v>
      </c>
      <c r="S561" s="16">
        <v>46226</v>
      </c>
    </row>
    <row r="562" spans="1:19">
      <c r="A562" s="16">
        <v>46226</v>
      </c>
      <c r="B562" s="8" t="s">
        <v>26</v>
      </c>
      <c r="C562" s="8" t="s">
        <v>6</v>
      </c>
      <c r="D562" s="15"/>
      <c r="E562" s="15">
        <v>1943</v>
      </c>
      <c r="F562" s="15" t="s">
        <v>38</v>
      </c>
      <c r="G562" s="15" t="s">
        <v>637</v>
      </c>
      <c r="H562" s="14"/>
      <c r="I562" s="13"/>
      <c r="J562" s="7" t="s">
        <v>35</v>
      </c>
      <c r="K562" s="18" t="s">
        <v>34</v>
      </c>
      <c r="L562" s="7"/>
      <c r="M562" s="7" t="str">
        <f>IF(C562="Caixa","-",VLOOKUP(J562,[1]Estrutura!C:E,3,FALSE))</f>
        <v>4.1</v>
      </c>
      <c r="N562" s="7"/>
      <c r="O562" s="7">
        <f t="shared" si="32"/>
        <v>23</v>
      </c>
      <c r="P562" s="7">
        <f t="shared" si="33"/>
        <v>7</v>
      </c>
      <c r="Q562" s="7">
        <f t="shared" si="34"/>
        <v>2026</v>
      </c>
      <c r="R562" s="6">
        <f t="shared" si="35"/>
        <v>-1943</v>
      </c>
      <c r="S562" s="12">
        <v>46226</v>
      </c>
    </row>
    <row r="563" spans="1:19">
      <c r="A563" s="16">
        <v>46226</v>
      </c>
      <c r="B563" s="8" t="s">
        <v>26</v>
      </c>
      <c r="C563" s="8" t="s">
        <v>6</v>
      </c>
      <c r="D563" s="15"/>
      <c r="E563" s="11">
        <v>1835</v>
      </c>
      <c r="F563" s="15" t="s">
        <v>43</v>
      </c>
      <c r="G563" s="15" t="s">
        <v>637</v>
      </c>
      <c r="H563" s="14"/>
      <c r="I563" s="13"/>
      <c r="J563" s="7" t="s">
        <v>35</v>
      </c>
      <c r="K563" s="8" t="s">
        <v>40</v>
      </c>
      <c r="L563" s="8"/>
      <c r="M563" s="8" t="str">
        <f>IF(C563="Caixa","-",VLOOKUP(J563,[1]Estrutura!C:E,3,FALSE))</f>
        <v>4.1</v>
      </c>
      <c r="N563" s="8"/>
      <c r="O563" s="7">
        <f t="shared" si="32"/>
        <v>23</v>
      </c>
      <c r="P563" s="7">
        <f t="shared" si="33"/>
        <v>7</v>
      </c>
      <c r="Q563" s="7">
        <f t="shared" si="34"/>
        <v>2026</v>
      </c>
      <c r="R563" s="6">
        <f t="shared" si="35"/>
        <v>-1835</v>
      </c>
      <c r="S563" s="16">
        <v>46226</v>
      </c>
    </row>
    <row r="564" spans="1:19">
      <c r="A564" s="12">
        <v>46226</v>
      </c>
      <c r="B564" s="7" t="s">
        <v>26</v>
      </c>
      <c r="C564" s="7" t="s">
        <v>6</v>
      </c>
      <c r="D564" s="11"/>
      <c r="E564" s="11">
        <v>2211</v>
      </c>
      <c r="F564" s="11" t="s">
        <v>42</v>
      </c>
      <c r="G564" s="11" t="s">
        <v>637</v>
      </c>
      <c r="H564" s="10"/>
      <c r="I564" s="9"/>
      <c r="J564" s="7" t="s">
        <v>35</v>
      </c>
      <c r="K564" s="18" t="s">
        <v>34</v>
      </c>
      <c r="L564" s="7"/>
      <c r="M564" s="7" t="str">
        <f>IF(C564="Caixa","-",VLOOKUP(J564,[1]Estrutura!C:E,3,FALSE))</f>
        <v>4.1</v>
      </c>
      <c r="N564" s="7"/>
      <c r="O564" s="7">
        <f t="shared" si="32"/>
        <v>23</v>
      </c>
      <c r="P564" s="7">
        <f t="shared" si="33"/>
        <v>7</v>
      </c>
      <c r="Q564" s="7">
        <f t="shared" si="34"/>
        <v>2026</v>
      </c>
      <c r="R564" s="6">
        <f t="shared" si="35"/>
        <v>-2211</v>
      </c>
      <c r="S564" s="16">
        <v>46227</v>
      </c>
    </row>
    <row r="565" spans="1:19">
      <c r="A565" s="16">
        <v>46226</v>
      </c>
      <c r="B565" s="8" t="s">
        <v>26</v>
      </c>
      <c r="C565" s="8" t="s">
        <v>6</v>
      </c>
      <c r="D565" s="15"/>
      <c r="E565" s="15">
        <v>2211</v>
      </c>
      <c r="F565" s="15" t="s">
        <v>41</v>
      </c>
      <c r="G565" s="15" t="s">
        <v>637</v>
      </c>
      <c r="H565" s="14"/>
      <c r="I565" s="13"/>
      <c r="J565" s="7" t="s">
        <v>35</v>
      </c>
      <c r="K565" s="8" t="s">
        <v>40</v>
      </c>
      <c r="L565" s="8"/>
      <c r="M565" s="8" t="str">
        <f>IF(C565="Caixa","-",VLOOKUP(J565,[1]Estrutura!C:E,3,FALSE))</f>
        <v>4.1</v>
      </c>
      <c r="N565" s="8"/>
      <c r="O565" s="7">
        <f t="shared" si="32"/>
        <v>23</v>
      </c>
      <c r="P565" s="7">
        <f t="shared" si="33"/>
        <v>7</v>
      </c>
      <c r="Q565" s="7">
        <f t="shared" si="34"/>
        <v>2026</v>
      </c>
      <c r="R565" s="6">
        <f t="shared" si="35"/>
        <v>-2211</v>
      </c>
      <c r="S565" s="16">
        <v>46228</v>
      </c>
    </row>
    <row r="566" spans="1:19">
      <c r="A566" s="12">
        <v>46226</v>
      </c>
      <c r="B566" s="7" t="s">
        <v>26</v>
      </c>
      <c r="C566" s="7" t="s">
        <v>6</v>
      </c>
      <c r="D566" s="11"/>
      <c r="E566" s="11">
        <v>2596</v>
      </c>
      <c r="F566" s="11" t="s">
        <v>45</v>
      </c>
      <c r="G566" s="11" t="s">
        <v>636</v>
      </c>
      <c r="H566" s="10"/>
      <c r="I566" s="9"/>
      <c r="J566" s="7" t="s">
        <v>35</v>
      </c>
      <c r="K566" s="7" t="s">
        <v>44</v>
      </c>
      <c r="L566" s="7"/>
      <c r="M566" s="7" t="str">
        <f>IF(C566="Caixa","-",VLOOKUP(J566,[1]Estrutura!C:E,3,FALSE))</f>
        <v>4.1</v>
      </c>
      <c r="N566" s="7"/>
      <c r="O566" s="7">
        <f t="shared" si="32"/>
        <v>23</v>
      </c>
      <c r="P566" s="7">
        <f t="shared" si="33"/>
        <v>7</v>
      </c>
      <c r="Q566" s="7">
        <f t="shared" si="34"/>
        <v>2026</v>
      </c>
      <c r="R566" s="6">
        <f t="shared" si="35"/>
        <v>-2596</v>
      </c>
      <c r="S566" s="12">
        <v>46228</v>
      </c>
    </row>
    <row r="567" spans="1:19">
      <c r="A567" s="16">
        <v>46226</v>
      </c>
      <c r="B567" s="8" t="s">
        <v>26</v>
      </c>
      <c r="C567" s="8" t="s">
        <v>6</v>
      </c>
      <c r="D567" s="15"/>
      <c r="E567" s="11">
        <v>470.8</v>
      </c>
      <c r="F567" s="15" t="s">
        <v>47</v>
      </c>
      <c r="G567" s="15" t="s">
        <v>635</v>
      </c>
      <c r="H567" s="14"/>
      <c r="I567" s="13"/>
      <c r="J567" s="8" t="s">
        <v>89</v>
      </c>
      <c r="K567" s="8" t="s">
        <v>21</v>
      </c>
      <c r="L567" s="8"/>
      <c r="M567" s="8" t="str">
        <f>IF(C567="Caixa","-",VLOOKUP(J567,[1]Estrutura!C:E,3,FALSE))</f>
        <v>4.1</v>
      </c>
      <c r="N567" s="8"/>
      <c r="O567" s="7">
        <f t="shared" si="32"/>
        <v>23</v>
      </c>
      <c r="P567" s="7">
        <f t="shared" si="33"/>
        <v>7</v>
      </c>
      <c r="Q567" s="7">
        <f t="shared" si="34"/>
        <v>2026</v>
      </c>
      <c r="R567" s="6">
        <f t="shared" si="35"/>
        <v>-470.8</v>
      </c>
      <c r="S567" s="12">
        <v>46228</v>
      </c>
    </row>
    <row r="568" spans="1:19">
      <c r="A568" s="16">
        <v>46226</v>
      </c>
      <c r="B568" s="7" t="s">
        <v>7</v>
      </c>
      <c r="C568" s="7" t="s">
        <v>9</v>
      </c>
      <c r="D568" s="15">
        <v>7908.33</v>
      </c>
      <c r="E568" s="15"/>
      <c r="F568" s="15"/>
      <c r="G568" s="8" t="s">
        <v>11</v>
      </c>
      <c r="H568" s="8"/>
      <c r="I568" s="17"/>
      <c r="J568" s="8" t="s">
        <v>10</v>
      </c>
      <c r="K568" s="8"/>
      <c r="L568" s="7"/>
      <c r="M568" s="7" t="str">
        <f>IF(C568="Caixa","-",VLOOKUP(J568,[1]Estrutura!C:E,3,FALSE))</f>
        <v>1.1</v>
      </c>
      <c r="N568" s="7"/>
      <c r="O568" s="7">
        <f t="shared" si="32"/>
        <v>23</v>
      </c>
      <c r="P568" s="7">
        <f t="shared" si="33"/>
        <v>7</v>
      </c>
      <c r="Q568" s="7">
        <f t="shared" si="34"/>
        <v>2026</v>
      </c>
      <c r="R568" s="6">
        <f t="shared" si="35"/>
        <v>7908.33</v>
      </c>
      <c r="S568" s="16">
        <v>46228</v>
      </c>
    </row>
    <row r="569" spans="1:19">
      <c r="A569" s="12">
        <v>46226</v>
      </c>
      <c r="B569" s="7" t="s">
        <v>7</v>
      </c>
      <c r="C569" s="7" t="s">
        <v>9</v>
      </c>
      <c r="D569" s="11"/>
      <c r="E569" s="11">
        <v>408.39</v>
      </c>
      <c r="F569" s="11" t="s">
        <v>332</v>
      </c>
      <c r="G569" s="7" t="s">
        <v>634</v>
      </c>
      <c r="H569" s="10"/>
      <c r="I569" s="9"/>
      <c r="J569" s="7" t="s">
        <v>86</v>
      </c>
      <c r="K569" s="7"/>
      <c r="L569" s="8"/>
      <c r="M569" s="8" t="str">
        <f>IF(C569="Caixa","-",VLOOKUP(J569,[1]Estrutura!C:E,3,FALSE))</f>
        <v>4.8</v>
      </c>
      <c r="N569" s="8"/>
      <c r="O569" s="7">
        <f t="shared" si="32"/>
        <v>23</v>
      </c>
      <c r="P569" s="7">
        <f t="shared" si="33"/>
        <v>7</v>
      </c>
      <c r="Q569" s="7">
        <f t="shared" si="34"/>
        <v>2026</v>
      </c>
      <c r="R569" s="6">
        <f t="shared" si="35"/>
        <v>-408.39</v>
      </c>
      <c r="S569" s="26">
        <v>46228</v>
      </c>
    </row>
    <row r="570" spans="1:19">
      <c r="A570" s="16">
        <v>46226</v>
      </c>
      <c r="B570" s="8" t="s">
        <v>7</v>
      </c>
      <c r="C570" s="8" t="s">
        <v>9</v>
      </c>
      <c r="D570" s="15"/>
      <c r="E570" s="15">
        <v>12587.52</v>
      </c>
      <c r="F570" s="15" t="s">
        <v>94</v>
      </c>
      <c r="G570" s="15" t="s">
        <v>84</v>
      </c>
      <c r="H570" s="14"/>
      <c r="I570" s="13"/>
      <c r="J570" s="8" t="s">
        <v>83</v>
      </c>
      <c r="K570" s="8"/>
      <c r="L570" s="7"/>
      <c r="M570" s="7" t="str">
        <f>IF(C570="Caixa","-",VLOOKUP(J570,[1]Estrutura!C:E,3,FALSE))</f>
        <v>4.1</v>
      </c>
      <c r="N570" s="7"/>
      <c r="O570" s="7">
        <f t="shared" si="32"/>
        <v>23</v>
      </c>
      <c r="P570" s="7">
        <f t="shared" si="33"/>
        <v>7</v>
      </c>
      <c r="Q570" s="7">
        <f t="shared" si="34"/>
        <v>2026</v>
      </c>
      <c r="R570" s="6">
        <f t="shared" si="35"/>
        <v>-12587.52</v>
      </c>
      <c r="S570" s="26">
        <v>46228</v>
      </c>
    </row>
    <row r="571" spans="1:19">
      <c r="A571" s="12">
        <v>46226</v>
      </c>
      <c r="B571" s="7" t="s">
        <v>7</v>
      </c>
      <c r="C571" s="7" t="s">
        <v>9</v>
      </c>
      <c r="D571" s="11"/>
      <c r="E571" s="11">
        <v>12587.52</v>
      </c>
      <c r="F571" s="15" t="s">
        <v>85</v>
      </c>
      <c r="G571" s="7" t="s">
        <v>84</v>
      </c>
      <c r="H571" s="10"/>
      <c r="I571" s="9"/>
      <c r="J571" s="7" t="s">
        <v>83</v>
      </c>
      <c r="K571" s="7"/>
      <c r="L571" s="8"/>
      <c r="M571" s="8" t="str">
        <f>IF(C571="Caixa","-",VLOOKUP(J571,[1]Estrutura!C:E,3,FALSE))</f>
        <v>4.1</v>
      </c>
      <c r="N571" s="8"/>
      <c r="O571" s="7">
        <f t="shared" si="32"/>
        <v>23</v>
      </c>
      <c r="P571" s="7">
        <f t="shared" si="33"/>
        <v>7</v>
      </c>
      <c r="Q571" s="7">
        <f t="shared" si="34"/>
        <v>2026</v>
      </c>
      <c r="R571" s="6">
        <f t="shared" si="35"/>
        <v>-12587.52</v>
      </c>
      <c r="S571" s="26">
        <v>46228</v>
      </c>
    </row>
    <row r="572" spans="1:19">
      <c r="A572" s="16">
        <v>46226</v>
      </c>
      <c r="B572" s="8" t="s">
        <v>7</v>
      </c>
      <c r="C572" s="8" t="s">
        <v>9</v>
      </c>
      <c r="D572" s="15"/>
      <c r="E572" s="15">
        <v>1500</v>
      </c>
      <c r="F572" s="15" t="s">
        <v>63</v>
      </c>
      <c r="G572" s="8" t="s">
        <v>633</v>
      </c>
      <c r="H572" s="14"/>
      <c r="I572" s="13"/>
      <c r="J572" s="8" t="s">
        <v>62</v>
      </c>
      <c r="K572" s="8"/>
      <c r="L572" s="7"/>
      <c r="M572" s="7" t="str">
        <f>IF(C572="Caixa","-",VLOOKUP(J572,[1]Estrutura!C:E,3,FALSE))</f>
        <v>4.5</v>
      </c>
      <c r="N572" s="7"/>
      <c r="O572" s="7">
        <f t="shared" si="32"/>
        <v>23</v>
      </c>
      <c r="P572" s="7">
        <f t="shared" si="33"/>
        <v>7</v>
      </c>
      <c r="Q572" s="7">
        <f t="shared" si="34"/>
        <v>2026</v>
      </c>
      <c r="R572" s="6">
        <f t="shared" si="35"/>
        <v>-1500</v>
      </c>
      <c r="S572" s="12">
        <v>46228</v>
      </c>
    </row>
    <row r="573" spans="1:19">
      <c r="A573" s="16">
        <v>46227</v>
      </c>
      <c r="B573" s="8" t="s">
        <v>14</v>
      </c>
      <c r="C573" s="7" t="s">
        <v>9</v>
      </c>
      <c r="D573" s="15">
        <v>5712.34</v>
      </c>
      <c r="E573" s="15"/>
      <c r="F573" s="15"/>
      <c r="G573" s="8" t="s">
        <v>11</v>
      </c>
      <c r="H573" s="8"/>
      <c r="I573" s="17"/>
      <c r="J573" s="8" t="s">
        <v>10</v>
      </c>
      <c r="K573" s="8"/>
      <c r="L573" s="8"/>
      <c r="M573" s="8" t="str">
        <f>IF(C573="Caixa","-",VLOOKUP(J573,[1]Estrutura!C:E,3,FALSE))</f>
        <v>1.1</v>
      </c>
      <c r="N573" s="8"/>
      <c r="O573" s="7">
        <f t="shared" si="32"/>
        <v>24</v>
      </c>
      <c r="P573" s="7">
        <f t="shared" si="33"/>
        <v>7</v>
      </c>
      <c r="Q573" s="7">
        <f t="shared" si="34"/>
        <v>2026</v>
      </c>
      <c r="R573" s="6">
        <f t="shared" si="35"/>
        <v>5712.34</v>
      </c>
      <c r="S573" s="16">
        <v>46228</v>
      </c>
    </row>
    <row r="574" spans="1:19">
      <c r="A574" s="16">
        <v>46228</v>
      </c>
      <c r="B574" s="8" t="s">
        <v>14</v>
      </c>
      <c r="C574" s="7" t="s">
        <v>9</v>
      </c>
      <c r="D574" s="15">
        <v>4745.43</v>
      </c>
      <c r="E574" s="15"/>
      <c r="F574" s="15"/>
      <c r="G574" s="8" t="s">
        <v>11</v>
      </c>
      <c r="H574" s="8"/>
      <c r="I574" s="17"/>
      <c r="J574" s="8" t="s">
        <v>10</v>
      </c>
      <c r="K574" s="8"/>
      <c r="L574" s="7"/>
      <c r="M574" s="7" t="str">
        <f>IF(C574="Caixa","-",VLOOKUP(J574,[1]Estrutura!C:E,3,FALSE))</f>
        <v>1.1</v>
      </c>
      <c r="N574" s="7"/>
      <c r="O574" s="7">
        <f t="shared" si="32"/>
        <v>25</v>
      </c>
      <c r="P574" s="7">
        <f t="shared" si="33"/>
        <v>7</v>
      </c>
      <c r="Q574" s="7">
        <f t="shared" si="34"/>
        <v>2026</v>
      </c>
      <c r="R574" s="6">
        <f t="shared" si="35"/>
        <v>4745.43</v>
      </c>
      <c r="S574" s="16">
        <v>46228</v>
      </c>
    </row>
    <row r="575" spans="1:19">
      <c r="A575" s="12">
        <v>46228</v>
      </c>
      <c r="B575" s="7" t="s">
        <v>14</v>
      </c>
      <c r="C575" s="7" t="s">
        <v>9</v>
      </c>
      <c r="D575" s="11"/>
      <c r="E575" s="11">
        <v>3312.75</v>
      </c>
      <c r="F575" s="11" t="s">
        <v>97</v>
      </c>
      <c r="G575" s="7" t="s">
        <v>632</v>
      </c>
      <c r="H575" s="10"/>
      <c r="I575" s="9"/>
      <c r="J575" s="7" t="s">
        <v>33</v>
      </c>
      <c r="K575" s="7"/>
      <c r="L575" s="8"/>
      <c r="M575" s="8" t="str">
        <f>IF(C575="Caixa","-",VLOOKUP(J575,[1]Estrutura!C:E,3,FALSE))</f>
        <v>2.1</v>
      </c>
      <c r="N575" s="8"/>
      <c r="O575" s="7">
        <f t="shared" si="32"/>
        <v>25</v>
      </c>
      <c r="P575" s="7">
        <f t="shared" si="33"/>
        <v>7</v>
      </c>
      <c r="Q575" s="7">
        <f t="shared" si="34"/>
        <v>2026</v>
      </c>
      <c r="R575" s="6">
        <f t="shared" si="35"/>
        <v>-3312.75</v>
      </c>
      <c r="S575" s="12">
        <v>46228</v>
      </c>
    </row>
    <row r="576" spans="1:19">
      <c r="A576" s="12">
        <v>46228</v>
      </c>
      <c r="B576" s="7" t="s">
        <v>14</v>
      </c>
      <c r="C576" s="7" t="s">
        <v>9</v>
      </c>
      <c r="D576" s="11"/>
      <c r="E576" s="11">
        <v>717.76</v>
      </c>
      <c r="F576" s="11" t="s">
        <v>97</v>
      </c>
      <c r="G576" s="7" t="s">
        <v>631</v>
      </c>
      <c r="H576" s="10"/>
      <c r="I576" s="9"/>
      <c r="J576" s="7" t="s">
        <v>31</v>
      </c>
      <c r="K576" s="7"/>
      <c r="L576" s="7"/>
      <c r="M576" s="7" t="str">
        <f>IF(C576="Caixa","-",VLOOKUP(J576,[1]Estrutura!C:E,3,FALSE))</f>
        <v>2.1</v>
      </c>
      <c r="N576" s="7"/>
      <c r="O576" s="7">
        <f t="shared" si="32"/>
        <v>25</v>
      </c>
      <c r="P576" s="7">
        <f t="shared" si="33"/>
        <v>7</v>
      </c>
      <c r="Q576" s="7">
        <f t="shared" si="34"/>
        <v>2026</v>
      </c>
      <c r="R576" s="6">
        <f t="shared" si="35"/>
        <v>-717.76</v>
      </c>
      <c r="S576" s="16">
        <v>46228</v>
      </c>
    </row>
    <row r="577" spans="1:19">
      <c r="A577" s="16">
        <v>46228</v>
      </c>
      <c r="B577" s="7" t="s">
        <v>14</v>
      </c>
      <c r="C577" s="7" t="s">
        <v>9</v>
      </c>
      <c r="D577" s="11"/>
      <c r="E577" s="15">
        <v>5000</v>
      </c>
      <c r="F577" s="11"/>
      <c r="G577" s="8" t="s">
        <v>61</v>
      </c>
      <c r="H577" s="7"/>
      <c r="I577" s="30"/>
      <c r="J577" s="7" t="s">
        <v>35</v>
      </c>
      <c r="K577" s="7"/>
      <c r="L577" s="8"/>
      <c r="M577" s="8" t="str">
        <f>IF(C577="Caixa","-",VLOOKUP(J577,[1]Estrutura!C:E,3,FALSE))</f>
        <v>4.1</v>
      </c>
      <c r="N577" s="8"/>
      <c r="O577" s="7">
        <f t="shared" si="32"/>
        <v>25</v>
      </c>
      <c r="P577" s="7">
        <f t="shared" si="33"/>
        <v>7</v>
      </c>
      <c r="Q577" s="7">
        <f t="shared" si="34"/>
        <v>2026</v>
      </c>
      <c r="R577" s="6">
        <f t="shared" si="35"/>
        <v>-5000</v>
      </c>
      <c r="S577" s="19">
        <v>46229</v>
      </c>
    </row>
    <row r="578" spans="1:19">
      <c r="A578" s="26">
        <v>46228</v>
      </c>
      <c r="B578" s="8" t="s">
        <v>26</v>
      </c>
      <c r="C578" s="8" t="s">
        <v>6</v>
      </c>
      <c r="D578" s="15"/>
      <c r="E578" s="15">
        <v>1000</v>
      </c>
      <c r="F578" s="11" t="s">
        <v>60</v>
      </c>
      <c r="G578" s="8" t="s">
        <v>57</v>
      </c>
      <c r="H578" s="14"/>
      <c r="I578" s="13"/>
      <c r="J578" s="8" t="s">
        <v>56</v>
      </c>
      <c r="K578" s="8" t="s">
        <v>21</v>
      </c>
      <c r="L578" s="7"/>
      <c r="M578" s="7" t="str">
        <f>IF(C578="Caixa","-",VLOOKUP(J578,[1]Estrutura!C:E,3,FALSE))</f>
        <v>6.1</v>
      </c>
      <c r="N578" s="7"/>
      <c r="O578" s="7">
        <f t="shared" si="32"/>
        <v>25</v>
      </c>
      <c r="P578" s="7">
        <f t="shared" si="33"/>
        <v>7</v>
      </c>
      <c r="Q578" s="7">
        <f t="shared" si="34"/>
        <v>2026</v>
      </c>
      <c r="R578" s="6">
        <f t="shared" si="35"/>
        <v>-1000</v>
      </c>
      <c r="S578" s="16">
        <v>46229</v>
      </c>
    </row>
    <row r="579" spans="1:19">
      <c r="A579" s="26">
        <v>46228</v>
      </c>
      <c r="B579" s="8" t="s">
        <v>26</v>
      </c>
      <c r="C579" s="8" t="s">
        <v>6</v>
      </c>
      <c r="D579" s="15"/>
      <c r="E579" s="15">
        <v>1000</v>
      </c>
      <c r="F579" s="15" t="s">
        <v>59</v>
      </c>
      <c r="G579" s="8" t="s">
        <v>57</v>
      </c>
      <c r="H579" s="14"/>
      <c r="I579" s="13"/>
      <c r="J579" s="8" t="s">
        <v>56</v>
      </c>
      <c r="K579" s="8" t="s">
        <v>21</v>
      </c>
      <c r="L579" s="8"/>
      <c r="M579" s="8" t="str">
        <f>IF(C579="Caixa","-",VLOOKUP(J579,[1]Estrutura!C:E,3,FALSE))</f>
        <v>6.1</v>
      </c>
      <c r="N579" s="8"/>
      <c r="O579" s="7">
        <f t="shared" si="32"/>
        <v>25</v>
      </c>
      <c r="P579" s="7">
        <f t="shared" si="33"/>
        <v>7</v>
      </c>
      <c r="Q579" s="7">
        <f t="shared" si="34"/>
        <v>2026</v>
      </c>
      <c r="R579" s="6">
        <f t="shared" si="35"/>
        <v>-1000</v>
      </c>
      <c r="S579" s="16">
        <v>46230</v>
      </c>
    </row>
    <row r="580" spans="1:19">
      <c r="A580" s="26">
        <v>46228</v>
      </c>
      <c r="B580" s="24" t="s">
        <v>26</v>
      </c>
      <c r="C580" s="24" t="s">
        <v>6</v>
      </c>
      <c r="D580" s="32"/>
      <c r="E580" s="32">
        <v>1000</v>
      </c>
      <c r="F580" s="32" t="s">
        <v>58</v>
      </c>
      <c r="G580" s="24" t="s">
        <v>57</v>
      </c>
      <c r="H580" s="24"/>
      <c r="I580" s="31"/>
      <c r="J580" s="8" t="s">
        <v>56</v>
      </c>
      <c r="K580" s="8" t="s">
        <v>21</v>
      </c>
      <c r="L580" s="7"/>
      <c r="M580" s="7" t="str">
        <f>IF(C580="Caixa","-",VLOOKUP(J580,[1]Estrutura!C:E,3,FALSE))</f>
        <v>6.1</v>
      </c>
      <c r="N580" s="7"/>
      <c r="O580" s="7">
        <f t="shared" si="32"/>
        <v>25</v>
      </c>
      <c r="P580" s="7">
        <f t="shared" si="33"/>
        <v>7</v>
      </c>
      <c r="Q580" s="7">
        <f t="shared" si="34"/>
        <v>2026</v>
      </c>
      <c r="R580" s="6">
        <f t="shared" si="35"/>
        <v>-1000</v>
      </c>
      <c r="S580" s="16">
        <v>46230</v>
      </c>
    </row>
    <row r="581" spans="1:19">
      <c r="A581" s="12">
        <v>46228</v>
      </c>
      <c r="B581" s="8" t="s">
        <v>26</v>
      </c>
      <c r="C581" s="8" t="s">
        <v>6</v>
      </c>
      <c r="D581" s="15"/>
      <c r="E581" s="15">
        <v>4050</v>
      </c>
      <c r="F581" s="15"/>
      <c r="G581" s="7" t="s">
        <v>55</v>
      </c>
      <c r="H581" s="10"/>
      <c r="I581" s="9"/>
      <c r="J581" s="7" t="s">
        <v>54</v>
      </c>
      <c r="K581" s="7" t="s">
        <v>34</v>
      </c>
      <c r="L581" s="8"/>
      <c r="M581" s="8" t="str">
        <f>IF(C581="Caixa","-",VLOOKUP(J581,[1]Estrutura!C:E,3,FALSE))</f>
        <v>4.11</v>
      </c>
      <c r="N581" s="8"/>
      <c r="O581" s="7">
        <f t="shared" si="32"/>
        <v>25</v>
      </c>
      <c r="P581" s="7">
        <f t="shared" si="33"/>
        <v>7</v>
      </c>
      <c r="Q581" s="7">
        <f t="shared" si="34"/>
        <v>2026</v>
      </c>
      <c r="R581" s="6">
        <f t="shared" si="35"/>
        <v>-4050</v>
      </c>
      <c r="S581" s="16">
        <v>46231</v>
      </c>
    </row>
    <row r="582" spans="1:19">
      <c r="A582" s="16">
        <v>46228</v>
      </c>
      <c r="B582" s="7" t="s">
        <v>7</v>
      </c>
      <c r="C582" s="7" t="s">
        <v>9</v>
      </c>
      <c r="D582" s="15">
        <v>1735.42</v>
      </c>
      <c r="E582" s="15"/>
      <c r="F582" s="15"/>
      <c r="G582" s="8" t="s">
        <v>11</v>
      </c>
      <c r="H582" s="8"/>
      <c r="I582" s="17"/>
      <c r="J582" s="8" t="s">
        <v>10</v>
      </c>
      <c r="K582" s="8"/>
      <c r="L582" s="7"/>
      <c r="M582" s="7" t="str">
        <f>IF(C582="Caixa","-",VLOOKUP(J582,[1]Estrutura!C:E,3,FALSE))</f>
        <v>1.1</v>
      </c>
      <c r="N582" s="7"/>
      <c r="O582" s="7">
        <f t="shared" si="32"/>
        <v>25</v>
      </c>
      <c r="P582" s="7">
        <f t="shared" si="33"/>
        <v>7</v>
      </c>
      <c r="Q582" s="7">
        <f t="shared" si="34"/>
        <v>2026</v>
      </c>
      <c r="R582" s="6">
        <f t="shared" si="35"/>
        <v>1735.42</v>
      </c>
      <c r="S582" s="12">
        <v>46231</v>
      </c>
    </row>
    <row r="583" spans="1:19">
      <c r="A583" s="16">
        <v>46228</v>
      </c>
      <c r="B583" s="8" t="s">
        <v>7</v>
      </c>
      <c r="C583" s="8" t="s">
        <v>9</v>
      </c>
      <c r="D583" s="15"/>
      <c r="E583" s="15">
        <v>10559.76</v>
      </c>
      <c r="F583" s="15" t="s">
        <v>97</v>
      </c>
      <c r="G583" s="8" t="s">
        <v>632</v>
      </c>
      <c r="H583" s="14"/>
      <c r="I583" s="13"/>
      <c r="J583" s="8" t="s">
        <v>33</v>
      </c>
      <c r="K583" s="8"/>
      <c r="L583" s="8"/>
      <c r="M583" s="8" t="str">
        <f>IF(C583="Caixa","-",VLOOKUP(J583,[1]Estrutura!C:E,3,FALSE))</f>
        <v>2.1</v>
      </c>
      <c r="N583" s="8"/>
      <c r="O583" s="7">
        <f t="shared" si="32"/>
        <v>25</v>
      </c>
      <c r="P583" s="7">
        <f t="shared" si="33"/>
        <v>7</v>
      </c>
      <c r="Q583" s="7">
        <f t="shared" si="34"/>
        <v>2026</v>
      </c>
      <c r="R583" s="6">
        <f t="shared" si="35"/>
        <v>-10559.76</v>
      </c>
      <c r="S583" s="12">
        <v>46231</v>
      </c>
    </row>
    <row r="584" spans="1:19">
      <c r="A584" s="12">
        <v>46228</v>
      </c>
      <c r="B584" s="7" t="s">
        <v>7</v>
      </c>
      <c r="C584" s="7" t="s">
        <v>9</v>
      </c>
      <c r="D584" s="11"/>
      <c r="E584" s="11">
        <v>2287.9499999999998</v>
      </c>
      <c r="F584" s="11" t="s">
        <v>97</v>
      </c>
      <c r="G584" s="7" t="s">
        <v>631</v>
      </c>
      <c r="H584" s="10"/>
      <c r="I584" s="9"/>
      <c r="J584" s="7" t="s">
        <v>31</v>
      </c>
      <c r="K584" s="7"/>
      <c r="L584" s="7"/>
      <c r="M584" s="7" t="str">
        <f>IF(C584="Caixa","-",VLOOKUP(J584,[1]Estrutura!C:E,3,FALSE))</f>
        <v>2.1</v>
      </c>
      <c r="N584" s="7"/>
      <c r="O584" s="7">
        <f t="shared" si="32"/>
        <v>25</v>
      </c>
      <c r="P584" s="7">
        <f t="shared" si="33"/>
        <v>7</v>
      </c>
      <c r="Q584" s="7">
        <f t="shared" si="34"/>
        <v>2026</v>
      </c>
      <c r="R584" s="6">
        <f t="shared" si="35"/>
        <v>-2287.9499999999998</v>
      </c>
      <c r="S584" s="16">
        <v>46231</v>
      </c>
    </row>
    <row r="585" spans="1:19">
      <c r="A585" s="16">
        <v>46228</v>
      </c>
      <c r="B585" s="8" t="s">
        <v>7</v>
      </c>
      <c r="C585" s="8" t="s">
        <v>9</v>
      </c>
      <c r="D585" s="15"/>
      <c r="E585" s="15">
        <v>33333</v>
      </c>
      <c r="F585" s="15"/>
      <c r="G585" s="8" t="s">
        <v>30</v>
      </c>
      <c r="H585" s="14"/>
      <c r="I585" s="13"/>
      <c r="J585" s="8" t="s">
        <v>29</v>
      </c>
      <c r="K585" s="8"/>
      <c r="L585" s="8"/>
      <c r="M585" s="8" t="str">
        <f>IF(C585="Caixa","-",VLOOKUP(J585,[1]Estrutura!C:E,3,FALSE))</f>
        <v>4.8</v>
      </c>
      <c r="N585" s="8"/>
      <c r="O585" s="7">
        <f t="shared" si="32"/>
        <v>25</v>
      </c>
      <c r="P585" s="7">
        <f t="shared" si="33"/>
        <v>7</v>
      </c>
      <c r="Q585" s="7">
        <f t="shared" si="34"/>
        <v>2026</v>
      </c>
      <c r="R585" s="6">
        <f t="shared" si="35"/>
        <v>-33333</v>
      </c>
      <c r="S585" s="12">
        <v>46231</v>
      </c>
    </row>
    <row r="586" spans="1:19">
      <c r="A586" s="16">
        <v>46228</v>
      </c>
      <c r="B586" s="8" t="s">
        <v>7</v>
      </c>
      <c r="C586" s="8" t="s">
        <v>9</v>
      </c>
      <c r="D586" s="15"/>
      <c r="E586" s="15">
        <v>8000</v>
      </c>
      <c r="F586" s="15"/>
      <c r="G586" s="8" t="s">
        <v>28</v>
      </c>
      <c r="H586" s="8"/>
      <c r="I586" s="13"/>
      <c r="J586" s="8" t="s">
        <v>27</v>
      </c>
      <c r="K586" s="8"/>
      <c r="L586" s="7"/>
      <c r="M586" s="7" t="str">
        <f>IF(C586="Caixa","-",VLOOKUP(J586,[1]Estrutura!C:E,3,FALSE))</f>
        <v>7.3</v>
      </c>
      <c r="N586" s="7"/>
      <c r="O586" s="7">
        <f t="shared" si="32"/>
        <v>25</v>
      </c>
      <c r="P586" s="7">
        <f t="shared" si="33"/>
        <v>7</v>
      </c>
      <c r="Q586" s="7">
        <f t="shared" si="34"/>
        <v>2026</v>
      </c>
      <c r="R586" s="6">
        <f t="shared" si="35"/>
        <v>-8000</v>
      </c>
      <c r="S586" s="16">
        <v>46231</v>
      </c>
    </row>
    <row r="587" spans="1:19">
      <c r="A587" s="19">
        <v>46229</v>
      </c>
      <c r="B587" s="8" t="s">
        <v>26</v>
      </c>
      <c r="C587" s="8" t="s">
        <v>25</v>
      </c>
      <c r="D587" s="15">
        <v>1442</v>
      </c>
      <c r="E587" s="15"/>
      <c r="F587" s="15" t="s">
        <v>109</v>
      </c>
      <c r="G587" s="8" t="s">
        <v>108</v>
      </c>
      <c r="H587" s="14"/>
      <c r="I587" s="13"/>
      <c r="J587" s="8" t="s">
        <v>107</v>
      </c>
      <c r="K587" s="24" t="s">
        <v>21</v>
      </c>
      <c r="L587" s="8"/>
      <c r="M587" s="8" t="str">
        <f>IF(C587="Caixa","-",VLOOKUP(J587,[1]Estrutura!C:E,3,FALSE))</f>
        <v>1.4</v>
      </c>
      <c r="N587" s="8"/>
      <c r="O587" s="7">
        <f t="shared" si="32"/>
        <v>26</v>
      </c>
      <c r="P587" s="7">
        <f t="shared" si="33"/>
        <v>7</v>
      </c>
      <c r="Q587" s="7">
        <f t="shared" si="34"/>
        <v>2026</v>
      </c>
      <c r="R587" s="6">
        <f t="shared" si="35"/>
        <v>1442</v>
      </c>
      <c r="S587" s="12">
        <v>46231</v>
      </c>
    </row>
    <row r="588" spans="1:19">
      <c r="A588" s="16">
        <v>46229</v>
      </c>
      <c r="B588" s="7" t="s">
        <v>7</v>
      </c>
      <c r="C588" s="7" t="s">
        <v>9</v>
      </c>
      <c r="D588" s="15">
        <v>21328.25</v>
      </c>
      <c r="E588" s="15"/>
      <c r="F588" s="15"/>
      <c r="G588" s="8" t="s">
        <v>11</v>
      </c>
      <c r="H588" s="8"/>
      <c r="I588" s="17"/>
      <c r="J588" s="8" t="s">
        <v>10</v>
      </c>
      <c r="K588" s="8"/>
      <c r="L588" s="7"/>
      <c r="M588" s="7" t="str">
        <f>IF(C588="Caixa","-",VLOOKUP(J588,[1]Estrutura!C:E,3,FALSE))</f>
        <v>1.1</v>
      </c>
      <c r="N588" s="7"/>
      <c r="O588" s="7">
        <f t="shared" si="32"/>
        <v>26</v>
      </c>
      <c r="P588" s="7">
        <f t="shared" si="33"/>
        <v>7</v>
      </c>
      <c r="Q588" s="7">
        <f t="shared" si="34"/>
        <v>2026</v>
      </c>
      <c r="R588" s="6">
        <f t="shared" si="35"/>
        <v>21328.25</v>
      </c>
      <c r="S588" s="16">
        <v>46231</v>
      </c>
    </row>
    <row r="589" spans="1:19">
      <c r="A589" s="16">
        <v>46230</v>
      </c>
      <c r="B589" s="8" t="s">
        <v>14</v>
      </c>
      <c r="C589" s="7" t="s">
        <v>9</v>
      </c>
      <c r="D589" s="15">
        <v>5091.26</v>
      </c>
      <c r="E589" s="15"/>
      <c r="F589" s="15"/>
      <c r="G589" s="8" t="s">
        <v>11</v>
      </c>
      <c r="H589" s="8"/>
      <c r="I589" s="17"/>
      <c r="J589" s="8" t="s">
        <v>10</v>
      </c>
      <c r="K589" s="8"/>
      <c r="L589" s="8"/>
      <c r="M589" s="8" t="str">
        <f>IF(C589="Caixa","-",VLOOKUP(J589,[1]Estrutura!C:E,3,FALSE))</f>
        <v>1.1</v>
      </c>
      <c r="N589" s="8"/>
      <c r="O589" s="7">
        <f t="shared" si="32"/>
        <v>27</v>
      </c>
      <c r="P589" s="7">
        <f t="shared" si="33"/>
        <v>7</v>
      </c>
      <c r="Q589" s="7">
        <f t="shared" si="34"/>
        <v>2026</v>
      </c>
      <c r="R589" s="6">
        <f t="shared" si="35"/>
        <v>5091.26</v>
      </c>
      <c r="S589" s="12">
        <v>46231</v>
      </c>
    </row>
    <row r="590" spans="1:19">
      <c r="A590" s="16">
        <v>46230</v>
      </c>
      <c r="B590" s="7" t="s">
        <v>7</v>
      </c>
      <c r="C590" s="7" t="s">
        <v>9</v>
      </c>
      <c r="D590" s="15">
        <v>11946.720000000001</v>
      </c>
      <c r="E590" s="15"/>
      <c r="F590" s="15"/>
      <c r="G590" s="8" t="s">
        <v>11</v>
      </c>
      <c r="H590" s="8"/>
      <c r="I590" s="17"/>
      <c r="J590" s="8" t="s">
        <v>10</v>
      </c>
      <c r="K590" s="8"/>
      <c r="L590" s="7"/>
      <c r="M590" s="7" t="str">
        <f>IF(C590="Caixa","-",VLOOKUP(J590,[1]Estrutura!C:E,3,FALSE))</f>
        <v>1.1</v>
      </c>
      <c r="N590" s="7"/>
      <c r="O590" s="7">
        <f t="shared" ref="O590:O653" si="36">DAY(A590)</f>
        <v>27</v>
      </c>
      <c r="P590" s="7">
        <f t="shared" ref="P590:P653" si="37">MONTH(A590)</f>
        <v>7</v>
      </c>
      <c r="Q590" s="7">
        <f t="shared" ref="Q590:Q653" si="38">YEAR(A590)</f>
        <v>2026</v>
      </c>
      <c r="R590" s="6">
        <f t="shared" ref="R590:R653" si="39">D590-E590</f>
        <v>11946.720000000001</v>
      </c>
      <c r="S590" s="16">
        <v>46231</v>
      </c>
    </row>
    <row r="591" spans="1:19">
      <c r="A591" s="16">
        <v>46231</v>
      </c>
      <c r="B591" s="8" t="s">
        <v>14</v>
      </c>
      <c r="C591" s="7" t="s">
        <v>9</v>
      </c>
      <c r="D591" s="15">
        <v>2854.33</v>
      </c>
      <c r="E591" s="15"/>
      <c r="F591" s="15"/>
      <c r="G591" s="8" t="s">
        <v>11</v>
      </c>
      <c r="H591" s="8"/>
      <c r="I591" s="17"/>
      <c r="J591" s="8" t="s">
        <v>10</v>
      </c>
      <c r="K591" s="8"/>
      <c r="L591" s="8"/>
      <c r="M591" s="8" t="str">
        <f>IF(C591="Caixa","-",VLOOKUP(J591,[1]Estrutura!C:E,3,FALSE))</f>
        <v>1.1</v>
      </c>
      <c r="N591" s="8"/>
      <c r="O591" s="7">
        <f t="shared" si="36"/>
        <v>28</v>
      </c>
      <c r="P591" s="7">
        <f t="shared" si="37"/>
        <v>7</v>
      </c>
      <c r="Q591" s="7">
        <f t="shared" si="38"/>
        <v>2026</v>
      </c>
      <c r="R591" s="6">
        <f t="shared" si="39"/>
        <v>2854.33</v>
      </c>
      <c r="S591" s="16">
        <v>46231</v>
      </c>
    </row>
    <row r="592" spans="1:19">
      <c r="A592" s="12">
        <v>46231</v>
      </c>
      <c r="B592" s="7" t="s">
        <v>14</v>
      </c>
      <c r="C592" s="7" t="s">
        <v>9</v>
      </c>
      <c r="D592" s="11"/>
      <c r="E592" s="11">
        <v>4283.97</v>
      </c>
      <c r="F592" s="11" t="s">
        <v>97</v>
      </c>
      <c r="G592" s="7" t="s">
        <v>624</v>
      </c>
      <c r="H592" s="10"/>
      <c r="I592" s="9"/>
      <c r="J592" s="7" t="s">
        <v>311</v>
      </c>
      <c r="K592" s="7"/>
      <c r="L592" s="7"/>
      <c r="M592" s="7" t="str">
        <f>IF(C592="Caixa","-",VLOOKUP(J592,[1]Estrutura!C:E,3,FALSE))</f>
        <v>2.1</v>
      </c>
      <c r="N592" s="7"/>
      <c r="O592" s="7">
        <f t="shared" si="36"/>
        <v>28</v>
      </c>
      <c r="P592" s="7">
        <f t="shared" si="37"/>
        <v>7</v>
      </c>
      <c r="Q592" s="7">
        <f t="shared" si="38"/>
        <v>2026</v>
      </c>
      <c r="R592" s="6">
        <f t="shared" si="39"/>
        <v>-4283.97</v>
      </c>
      <c r="S592" s="12">
        <v>46231</v>
      </c>
    </row>
    <row r="593" spans="1:19">
      <c r="A593" s="12">
        <v>46231</v>
      </c>
      <c r="B593" s="7" t="s">
        <v>14</v>
      </c>
      <c r="C593" s="7" t="s">
        <v>9</v>
      </c>
      <c r="D593" s="11"/>
      <c r="E593" s="11">
        <v>729.11</v>
      </c>
      <c r="F593" s="11" t="s">
        <v>24</v>
      </c>
      <c r="G593" s="7" t="s">
        <v>127</v>
      </c>
      <c r="H593" s="10"/>
      <c r="I593" s="9"/>
      <c r="J593" s="7" t="s">
        <v>77</v>
      </c>
      <c r="K593" s="7"/>
      <c r="L593" s="8"/>
      <c r="M593" s="8" t="str">
        <f>IF(C593="Caixa","-",VLOOKUP(J593,[1]Estrutura!C:E,3,FALSE))</f>
        <v>4.3</v>
      </c>
      <c r="N593" s="8"/>
      <c r="O593" s="7">
        <f t="shared" si="36"/>
        <v>28</v>
      </c>
      <c r="P593" s="7">
        <f t="shared" si="37"/>
        <v>7</v>
      </c>
      <c r="Q593" s="7">
        <f t="shared" si="38"/>
        <v>2026</v>
      </c>
      <c r="R593" s="6">
        <f t="shared" si="39"/>
        <v>-729.11</v>
      </c>
      <c r="S593" s="12">
        <v>46231</v>
      </c>
    </row>
    <row r="594" spans="1:19">
      <c r="A594" s="16">
        <v>46231</v>
      </c>
      <c r="B594" s="8" t="s">
        <v>14</v>
      </c>
      <c r="C594" s="8" t="s">
        <v>9</v>
      </c>
      <c r="D594" s="15"/>
      <c r="E594" s="15">
        <v>86.08</v>
      </c>
      <c r="F594" s="15" t="s">
        <v>24</v>
      </c>
      <c r="G594" s="8" t="s">
        <v>316</v>
      </c>
      <c r="H594" s="14"/>
      <c r="I594" s="13"/>
      <c r="J594" s="8" t="s">
        <v>77</v>
      </c>
      <c r="K594" s="8"/>
      <c r="L594" s="7"/>
      <c r="M594" s="7" t="str">
        <f>IF(C594="Caixa","-",VLOOKUP(J594,[1]Estrutura!C:E,3,FALSE))</f>
        <v>4.3</v>
      </c>
      <c r="N594" s="7"/>
      <c r="O594" s="7">
        <f t="shared" si="36"/>
        <v>28</v>
      </c>
      <c r="P594" s="7">
        <f t="shared" si="37"/>
        <v>7</v>
      </c>
      <c r="Q594" s="7">
        <f t="shared" si="38"/>
        <v>2026</v>
      </c>
      <c r="R594" s="6">
        <f t="shared" si="39"/>
        <v>-86.08</v>
      </c>
      <c r="S594" s="16">
        <v>46231</v>
      </c>
    </row>
    <row r="595" spans="1:19">
      <c r="A595" s="12">
        <v>46231</v>
      </c>
      <c r="B595" s="7" t="s">
        <v>14</v>
      </c>
      <c r="C595" s="7" t="s">
        <v>9</v>
      </c>
      <c r="D595" s="11"/>
      <c r="E595" s="11">
        <v>38.99</v>
      </c>
      <c r="F595" s="11" t="s">
        <v>630</v>
      </c>
      <c r="G595" s="7" t="s">
        <v>583</v>
      </c>
      <c r="H595" s="10"/>
      <c r="I595" s="9"/>
      <c r="J595" s="7" t="s">
        <v>77</v>
      </c>
      <c r="K595" s="7"/>
      <c r="L595" s="8"/>
      <c r="M595" s="8" t="str">
        <f>IF(C595="Caixa","-",VLOOKUP(J595,[1]Estrutura!C:E,3,FALSE))</f>
        <v>4.3</v>
      </c>
      <c r="N595" s="8"/>
      <c r="O595" s="7">
        <f t="shared" si="36"/>
        <v>28</v>
      </c>
      <c r="P595" s="7">
        <f t="shared" si="37"/>
        <v>7</v>
      </c>
      <c r="Q595" s="7">
        <f t="shared" si="38"/>
        <v>2026</v>
      </c>
      <c r="R595" s="6">
        <f t="shared" si="39"/>
        <v>-38.99</v>
      </c>
      <c r="S595" s="16">
        <v>46232</v>
      </c>
    </row>
    <row r="596" spans="1:19">
      <c r="A596" s="16">
        <v>46231</v>
      </c>
      <c r="B596" s="8" t="s">
        <v>14</v>
      </c>
      <c r="C596" s="8" t="s">
        <v>9</v>
      </c>
      <c r="D596" s="15"/>
      <c r="E596" s="15">
        <v>5219.93</v>
      </c>
      <c r="F596" s="15" t="s">
        <v>97</v>
      </c>
      <c r="G596" s="8" t="s">
        <v>623</v>
      </c>
      <c r="H596" s="14"/>
      <c r="I596" s="13"/>
      <c r="J596" s="8" t="s">
        <v>309</v>
      </c>
      <c r="K596" s="8"/>
      <c r="L596" s="7"/>
      <c r="M596" s="7" t="str">
        <f>IF(C596="Caixa","-",VLOOKUP(J596,[1]Estrutura!C:E,3,FALSE))</f>
        <v>2.1</v>
      </c>
      <c r="N596" s="7"/>
      <c r="O596" s="7">
        <f t="shared" si="36"/>
        <v>28</v>
      </c>
      <c r="P596" s="7">
        <f t="shared" si="37"/>
        <v>7</v>
      </c>
      <c r="Q596" s="7">
        <f t="shared" si="38"/>
        <v>2026</v>
      </c>
      <c r="R596" s="6">
        <f t="shared" si="39"/>
        <v>-5219.93</v>
      </c>
      <c r="S596" s="16">
        <v>46232</v>
      </c>
    </row>
    <row r="597" spans="1:19">
      <c r="A597" s="12">
        <v>46231</v>
      </c>
      <c r="B597" s="7" t="s">
        <v>14</v>
      </c>
      <c r="C597" s="7" t="s">
        <v>9</v>
      </c>
      <c r="D597" s="11"/>
      <c r="E597" s="11">
        <v>1480</v>
      </c>
      <c r="F597" s="15" t="s">
        <v>240</v>
      </c>
      <c r="G597" s="7" t="s">
        <v>629</v>
      </c>
      <c r="H597" s="10"/>
      <c r="I597" s="9"/>
      <c r="J597" s="7" t="s">
        <v>15</v>
      </c>
      <c r="K597" s="7"/>
      <c r="L597" s="8"/>
      <c r="M597" s="8" t="str">
        <f>IF(C597="Caixa","-",VLOOKUP(J597,[1]Estrutura!C:E,3,FALSE))</f>
        <v>4.7</v>
      </c>
      <c r="N597" s="8"/>
      <c r="O597" s="7">
        <f t="shared" si="36"/>
        <v>28</v>
      </c>
      <c r="P597" s="7">
        <f t="shared" si="37"/>
        <v>7</v>
      </c>
      <c r="Q597" s="7">
        <f t="shared" si="38"/>
        <v>2026</v>
      </c>
      <c r="R597" s="6">
        <f t="shared" si="39"/>
        <v>-1480</v>
      </c>
      <c r="S597" s="16">
        <v>46233</v>
      </c>
    </row>
    <row r="598" spans="1:19">
      <c r="A598" s="16">
        <v>46231</v>
      </c>
      <c r="B598" s="8" t="s">
        <v>14</v>
      </c>
      <c r="C598" s="8" t="s">
        <v>9</v>
      </c>
      <c r="D598" s="15"/>
      <c r="E598" s="15">
        <v>352</v>
      </c>
      <c r="F598" s="15" t="s">
        <v>240</v>
      </c>
      <c r="G598" s="8" t="s">
        <v>628</v>
      </c>
      <c r="H598" s="14"/>
      <c r="I598" s="13"/>
      <c r="J598" s="8" t="s">
        <v>15</v>
      </c>
      <c r="K598" s="8"/>
      <c r="L598" s="7"/>
      <c r="M598" s="7" t="str">
        <f>IF(C598="Caixa","-",VLOOKUP(J598,[1]Estrutura!C:E,3,FALSE))</f>
        <v>4.7</v>
      </c>
      <c r="N598" s="7"/>
      <c r="O598" s="7">
        <f t="shared" si="36"/>
        <v>28</v>
      </c>
      <c r="P598" s="7">
        <f t="shared" si="37"/>
        <v>7</v>
      </c>
      <c r="Q598" s="7">
        <f t="shared" si="38"/>
        <v>2026</v>
      </c>
      <c r="R598" s="6">
        <f t="shared" si="39"/>
        <v>-352</v>
      </c>
      <c r="S598" s="16">
        <v>46233</v>
      </c>
    </row>
    <row r="599" spans="1:19">
      <c r="A599" s="12">
        <v>46231</v>
      </c>
      <c r="B599" s="7" t="s">
        <v>26</v>
      </c>
      <c r="C599" s="7" t="s">
        <v>6</v>
      </c>
      <c r="D599" s="11"/>
      <c r="E599" s="11">
        <v>650</v>
      </c>
      <c r="F599" s="11" t="s">
        <v>627</v>
      </c>
      <c r="G599" s="7" t="s">
        <v>626</v>
      </c>
      <c r="H599" s="10">
        <v>1512</v>
      </c>
      <c r="I599" s="9"/>
      <c r="J599" s="7" t="s">
        <v>52</v>
      </c>
      <c r="K599" s="7" t="s">
        <v>40</v>
      </c>
      <c r="L599" s="8"/>
      <c r="M599" s="8" t="str">
        <f>IF(C599="Caixa","-",VLOOKUP(J599,[1]Estrutura!C:E,3,FALSE))</f>
        <v>4.2</v>
      </c>
      <c r="N599" s="8"/>
      <c r="O599" s="7">
        <f t="shared" si="36"/>
        <v>28</v>
      </c>
      <c r="P599" s="7">
        <f t="shared" si="37"/>
        <v>7</v>
      </c>
      <c r="Q599" s="7">
        <f t="shared" si="38"/>
        <v>2026</v>
      </c>
      <c r="R599" s="6">
        <f t="shared" si="39"/>
        <v>-650</v>
      </c>
      <c r="S599" s="16">
        <v>46233</v>
      </c>
    </row>
    <row r="600" spans="1:19">
      <c r="A600" s="16">
        <v>46231</v>
      </c>
      <c r="B600" s="8" t="s">
        <v>26</v>
      </c>
      <c r="C600" s="8" t="s">
        <v>6</v>
      </c>
      <c r="D600" s="15"/>
      <c r="E600" s="15">
        <v>9762</v>
      </c>
      <c r="F600" s="15" t="s">
        <v>69</v>
      </c>
      <c r="G600" s="8" t="s">
        <v>625</v>
      </c>
      <c r="H600" s="14"/>
      <c r="I600" s="13"/>
      <c r="J600" s="21" t="s">
        <v>67</v>
      </c>
      <c r="K600" s="8" t="s">
        <v>21</v>
      </c>
      <c r="L600" s="7"/>
      <c r="M600" s="7" t="str">
        <f>IF(C600="Caixa","-",VLOOKUP(J600,[1]Estrutura!C:E,3,FALSE))</f>
        <v>4.5</v>
      </c>
      <c r="N600" s="7"/>
      <c r="O600" s="7">
        <f t="shared" si="36"/>
        <v>28</v>
      </c>
      <c r="P600" s="7">
        <f t="shared" si="37"/>
        <v>7</v>
      </c>
      <c r="Q600" s="7">
        <f t="shared" si="38"/>
        <v>2026</v>
      </c>
      <c r="R600" s="6">
        <f t="shared" si="39"/>
        <v>-9762</v>
      </c>
      <c r="S600" s="12">
        <v>46234</v>
      </c>
    </row>
    <row r="601" spans="1:19">
      <c r="A601" s="16">
        <v>46231</v>
      </c>
      <c r="B601" s="7" t="s">
        <v>7</v>
      </c>
      <c r="C601" s="7" t="s">
        <v>9</v>
      </c>
      <c r="D601" s="15">
        <v>9884.85</v>
      </c>
      <c r="E601" s="15"/>
      <c r="F601" s="15"/>
      <c r="G601" s="8" t="s">
        <v>11</v>
      </c>
      <c r="H601" s="8"/>
      <c r="I601" s="17"/>
      <c r="J601" s="8" t="s">
        <v>10</v>
      </c>
      <c r="K601" s="8"/>
      <c r="L601" s="8"/>
      <c r="M601" s="8" t="str">
        <f>IF(C601="Caixa","-",VLOOKUP(J601,[1]Estrutura!C:E,3,FALSE))</f>
        <v>1.1</v>
      </c>
      <c r="N601" s="8"/>
      <c r="O601" s="7">
        <f t="shared" si="36"/>
        <v>28</v>
      </c>
      <c r="P601" s="7">
        <f t="shared" si="37"/>
        <v>7</v>
      </c>
      <c r="Q601" s="7">
        <f t="shared" si="38"/>
        <v>2026</v>
      </c>
      <c r="R601" s="6">
        <f t="shared" si="39"/>
        <v>9884.85</v>
      </c>
      <c r="S601" s="12">
        <v>46234</v>
      </c>
    </row>
    <row r="602" spans="1:19">
      <c r="A602" s="12">
        <v>46231</v>
      </c>
      <c r="B602" s="7" t="s">
        <v>7</v>
      </c>
      <c r="C602" s="18" t="s">
        <v>9</v>
      </c>
      <c r="D602" s="11"/>
      <c r="E602" s="11">
        <v>8050.82</v>
      </c>
      <c r="F602" s="11" t="s">
        <v>97</v>
      </c>
      <c r="G602" s="7" t="s">
        <v>624</v>
      </c>
      <c r="H602" s="10"/>
      <c r="I602" s="9"/>
      <c r="J602" s="7" t="s">
        <v>311</v>
      </c>
      <c r="K602" s="7"/>
      <c r="L602" s="7"/>
      <c r="M602" s="7" t="str">
        <f>IF(C602="Caixa","-",VLOOKUP(J602,[1]Estrutura!C:E,3,FALSE))</f>
        <v>2.1</v>
      </c>
      <c r="N602" s="7"/>
      <c r="O602" s="7">
        <f t="shared" si="36"/>
        <v>28</v>
      </c>
      <c r="P602" s="7">
        <f t="shared" si="37"/>
        <v>7</v>
      </c>
      <c r="Q602" s="7">
        <f t="shared" si="38"/>
        <v>2026</v>
      </c>
      <c r="R602" s="6">
        <f t="shared" si="39"/>
        <v>-8050.82</v>
      </c>
      <c r="S602" s="12">
        <v>46234</v>
      </c>
    </row>
    <row r="603" spans="1:19">
      <c r="A603" s="12">
        <v>46231</v>
      </c>
      <c r="B603" s="7" t="s">
        <v>7</v>
      </c>
      <c r="C603" s="7" t="s">
        <v>9</v>
      </c>
      <c r="D603" s="11"/>
      <c r="E603" s="11">
        <v>0</v>
      </c>
      <c r="F603" s="11" t="s">
        <v>97</v>
      </c>
      <c r="G603" s="7" t="s">
        <v>623</v>
      </c>
      <c r="H603" s="10"/>
      <c r="I603" s="9"/>
      <c r="J603" s="7" t="s">
        <v>309</v>
      </c>
      <c r="K603" s="7"/>
      <c r="L603" s="8"/>
      <c r="M603" s="8" t="str">
        <f>IF(C603="Caixa","-",VLOOKUP(J603,[1]Estrutura!C:E,3,FALSE))</f>
        <v>2.1</v>
      </c>
      <c r="N603" s="8"/>
      <c r="O603" s="7">
        <f t="shared" si="36"/>
        <v>28</v>
      </c>
      <c r="P603" s="7">
        <f t="shared" si="37"/>
        <v>7</v>
      </c>
      <c r="Q603" s="7">
        <f t="shared" si="38"/>
        <v>2026</v>
      </c>
      <c r="R603" s="6">
        <f t="shared" si="39"/>
        <v>0</v>
      </c>
      <c r="S603" s="23">
        <v>46234</v>
      </c>
    </row>
    <row r="604" spans="1:19">
      <c r="A604" s="16">
        <v>46231</v>
      </c>
      <c r="B604" s="8" t="s">
        <v>7</v>
      </c>
      <c r="C604" s="8" t="s">
        <v>9</v>
      </c>
      <c r="D604" s="11"/>
      <c r="E604" s="11">
        <v>47373.33</v>
      </c>
      <c r="F604" s="11"/>
      <c r="G604" s="7" t="s">
        <v>20</v>
      </c>
      <c r="H604" s="10"/>
      <c r="I604" s="9"/>
      <c r="J604" s="7" t="s">
        <v>19</v>
      </c>
      <c r="K604" s="7"/>
      <c r="L604" s="7"/>
      <c r="M604" s="7" t="str">
        <f>IF(C604="Caixa","-",VLOOKUP(J604,[1]Estrutura!C:E,3,FALSE))</f>
        <v>8.7</v>
      </c>
      <c r="N604" s="7"/>
      <c r="O604" s="7">
        <f t="shared" si="36"/>
        <v>28</v>
      </c>
      <c r="P604" s="7">
        <f t="shared" si="37"/>
        <v>7</v>
      </c>
      <c r="Q604" s="7">
        <f t="shared" si="38"/>
        <v>2026</v>
      </c>
      <c r="R604" s="6">
        <f t="shared" si="39"/>
        <v>-47373.33</v>
      </c>
      <c r="S604" s="12">
        <v>46235</v>
      </c>
    </row>
    <row r="605" spans="1:19">
      <c r="A605" s="16">
        <v>46232</v>
      </c>
      <c r="B605" s="8" t="s">
        <v>14</v>
      </c>
      <c r="C605" s="7" t="s">
        <v>9</v>
      </c>
      <c r="D605" s="15">
        <v>3050.8199999999997</v>
      </c>
      <c r="E605" s="15"/>
      <c r="F605" s="15"/>
      <c r="G605" s="8" t="s">
        <v>11</v>
      </c>
      <c r="H605" s="8"/>
      <c r="I605" s="17"/>
      <c r="J605" s="8" t="s">
        <v>10</v>
      </c>
      <c r="K605" s="8"/>
      <c r="L605" s="8"/>
      <c r="M605" s="8" t="str">
        <f>IF(C605="Caixa","-",VLOOKUP(J605,[1]Estrutura!C:E,3,FALSE))</f>
        <v>1.1</v>
      </c>
      <c r="N605" s="8"/>
      <c r="O605" s="7">
        <f t="shared" si="36"/>
        <v>29</v>
      </c>
      <c r="P605" s="7">
        <f t="shared" si="37"/>
        <v>7</v>
      </c>
      <c r="Q605" s="7">
        <f t="shared" si="38"/>
        <v>2026</v>
      </c>
      <c r="R605" s="6">
        <f t="shared" si="39"/>
        <v>3050.8199999999997</v>
      </c>
      <c r="S605" s="16">
        <v>46235</v>
      </c>
    </row>
    <row r="606" spans="1:19">
      <c r="A606" s="12">
        <v>46232</v>
      </c>
      <c r="B606" s="8" t="s">
        <v>14</v>
      </c>
      <c r="C606" s="8" t="s">
        <v>9</v>
      </c>
      <c r="D606" s="15"/>
      <c r="E606" s="15">
        <v>3666.6666666666665</v>
      </c>
      <c r="F606" s="11"/>
      <c r="G606" s="8" t="s">
        <v>306</v>
      </c>
      <c r="H606" s="14"/>
      <c r="I606" s="13"/>
      <c r="J606" s="8" t="s">
        <v>305</v>
      </c>
      <c r="K606" s="7"/>
      <c r="L606" s="7"/>
      <c r="M606" s="7" t="str">
        <f>IF(C606="Caixa","-",VLOOKUP(J606,[1]Estrutura!C:E,3,FALSE))</f>
        <v>7.3</v>
      </c>
      <c r="N606" s="7"/>
      <c r="O606" s="7">
        <f t="shared" si="36"/>
        <v>29</v>
      </c>
      <c r="P606" s="7">
        <f t="shared" si="37"/>
        <v>7</v>
      </c>
      <c r="Q606" s="7">
        <f t="shared" si="38"/>
        <v>2026</v>
      </c>
      <c r="R606" s="6">
        <f t="shared" si="39"/>
        <v>-3666.6666666666665</v>
      </c>
      <c r="S606" s="16">
        <v>46235</v>
      </c>
    </row>
    <row r="607" spans="1:19">
      <c r="A607" s="12">
        <v>46232</v>
      </c>
      <c r="B607" s="8" t="s">
        <v>14</v>
      </c>
      <c r="C607" s="8" t="s">
        <v>9</v>
      </c>
      <c r="D607" s="15"/>
      <c r="E607" s="15">
        <v>1800</v>
      </c>
      <c r="F607" s="15"/>
      <c r="G607" s="8" t="s">
        <v>18</v>
      </c>
      <c r="H607" s="14"/>
      <c r="I607" s="13"/>
      <c r="J607" s="8" t="s">
        <v>17</v>
      </c>
      <c r="K607" s="7"/>
      <c r="L607" s="8"/>
      <c r="M607" s="8" t="str">
        <f>IF(C607="Caixa","-",VLOOKUP(J607,[1]Estrutura!C:E,3,FALSE))</f>
        <v>4.4</v>
      </c>
      <c r="N607" s="8"/>
      <c r="O607" s="7">
        <f t="shared" si="36"/>
        <v>29</v>
      </c>
      <c r="P607" s="7">
        <f t="shared" si="37"/>
        <v>7</v>
      </c>
      <c r="Q607" s="7">
        <f t="shared" si="38"/>
        <v>2026</v>
      </c>
      <c r="R607" s="6">
        <f t="shared" si="39"/>
        <v>-1800</v>
      </c>
      <c r="S607" s="12">
        <v>46235</v>
      </c>
    </row>
    <row r="608" spans="1:19">
      <c r="A608" s="16">
        <v>46232</v>
      </c>
      <c r="B608" s="7" t="s">
        <v>7</v>
      </c>
      <c r="C608" s="7" t="s">
        <v>9</v>
      </c>
      <c r="D608" s="15">
        <v>5823.6399999999994</v>
      </c>
      <c r="E608" s="15"/>
      <c r="F608" s="15"/>
      <c r="G608" s="8" t="s">
        <v>11</v>
      </c>
      <c r="H608" s="8"/>
      <c r="I608" s="17"/>
      <c r="J608" s="8" t="s">
        <v>10</v>
      </c>
      <c r="K608" s="8"/>
      <c r="L608" s="7"/>
      <c r="M608" s="7" t="str">
        <f>IF(C608="Caixa","-",VLOOKUP(J608,[1]Estrutura!C:E,3,FALSE))</f>
        <v>1.1</v>
      </c>
      <c r="N608" s="7"/>
      <c r="O608" s="7">
        <f t="shared" si="36"/>
        <v>29</v>
      </c>
      <c r="P608" s="7">
        <f t="shared" si="37"/>
        <v>7</v>
      </c>
      <c r="Q608" s="7">
        <f t="shared" si="38"/>
        <v>2026</v>
      </c>
      <c r="R608" s="6">
        <f t="shared" si="39"/>
        <v>5823.6399999999994</v>
      </c>
      <c r="S608" s="16">
        <v>46235</v>
      </c>
    </row>
    <row r="609" spans="1:19">
      <c r="A609" s="16">
        <v>46233</v>
      </c>
      <c r="B609" s="8" t="s">
        <v>14</v>
      </c>
      <c r="C609" s="7" t="s">
        <v>9</v>
      </c>
      <c r="D609" s="15">
        <v>1569.63</v>
      </c>
      <c r="E609" s="15"/>
      <c r="F609" s="15"/>
      <c r="G609" s="8" t="s">
        <v>11</v>
      </c>
      <c r="H609" s="8"/>
      <c r="I609" s="17"/>
      <c r="J609" s="8" t="s">
        <v>10</v>
      </c>
      <c r="K609" s="8"/>
      <c r="L609" s="8"/>
      <c r="M609" s="8" t="str">
        <f>IF(C609="Caixa","-",VLOOKUP(J609,[1]Estrutura!C:E,3,FALSE))</f>
        <v>1.1</v>
      </c>
      <c r="N609" s="8"/>
      <c r="O609" s="7">
        <f t="shared" si="36"/>
        <v>30</v>
      </c>
      <c r="P609" s="7">
        <f t="shared" si="37"/>
        <v>7</v>
      </c>
      <c r="Q609" s="7">
        <f t="shared" si="38"/>
        <v>2026</v>
      </c>
      <c r="R609" s="6">
        <f t="shared" si="39"/>
        <v>1569.63</v>
      </c>
      <c r="S609" s="12">
        <v>46235</v>
      </c>
    </row>
    <row r="610" spans="1:19">
      <c r="A610" s="16">
        <v>46233</v>
      </c>
      <c r="B610" s="8" t="s">
        <v>14</v>
      </c>
      <c r="C610" s="8" t="s">
        <v>9</v>
      </c>
      <c r="D610" s="15"/>
      <c r="E610" s="15">
        <v>616</v>
      </c>
      <c r="F610" s="15" t="s">
        <v>73</v>
      </c>
      <c r="G610" s="8" t="s">
        <v>622</v>
      </c>
      <c r="H610" s="14"/>
      <c r="I610" s="13"/>
      <c r="J610" s="8" t="s">
        <v>77</v>
      </c>
      <c r="K610" s="8"/>
      <c r="L610" s="7"/>
      <c r="M610" s="7" t="str">
        <f>IF(C610="Caixa","-",VLOOKUP(J610,[1]Estrutura!C:E,3,FALSE))</f>
        <v>4.3</v>
      </c>
      <c r="N610" s="7"/>
      <c r="O610" s="7">
        <f t="shared" si="36"/>
        <v>30</v>
      </c>
      <c r="P610" s="7">
        <f t="shared" si="37"/>
        <v>7</v>
      </c>
      <c r="Q610" s="7">
        <f t="shared" si="38"/>
        <v>2026</v>
      </c>
      <c r="R610" s="6">
        <f t="shared" si="39"/>
        <v>-616</v>
      </c>
      <c r="S610" s="12">
        <v>46235</v>
      </c>
    </row>
    <row r="611" spans="1:19">
      <c r="A611" s="16">
        <v>46233</v>
      </c>
      <c r="B611" s="8" t="s">
        <v>26</v>
      </c>
      <c r="C611" s="8" t="s">
        <v>6</v>
      </c>
      <c r="D611" s="15"/>
      <c r="E611" s="15">
        <v>19000</v>
      </c>
      <c r="F611" s="15" t="s">
        <v>414</v>
      </c>
      <c r="G611" s="8" t="s">
        <v>413</v>
      </c>
      <c r="H611" s="14"/>
      <c r="I611" s="13"/>
      <c r="J611" s="8" t="s">
        <v>116</v>
      </c>
      <c r="K611" s="8" t="s">
        <v>21</v>
      </c>
      <c r="L611" s="8"/>
      <c r="M611" s="8" t="str">
        <f>IF(C611="Caixa","-",VLOOKUP(J611,[1]Estrutura!C:E,3,FALSE))</f>
        <v>4.12</v>
      </c>
      <c r="N611" s="8"/>
      <c r="O611" s="7">
        <f t="shared" si="36"/>
        <v>30</v>
      </c>
      <c r="P611" s="7">
        <f t="shared" si="37"/>
        <v>7</v>
      </c>
      <c r="Q611" s="7">
        <f t="shared" si="38"/>
        <v>2026</v>
      </c>
      <c r="R611" s="6">
        <f t="shared" si="39"/>
        <v>-19000</v>
      </c>
      <c r="S611" s="16">
        <v>46235</v>
      </c>
    </row>
    <row r="612" spans="1:19">
      <c r="A612" s="16">
        <v>46233</v>
      </c>
      <c r="B612" s="7" t="s">
        <v>7</v>
      </c>
      <c r="C612" s="7" t="s">
        <v>9</v>
      </c>
      <c r="D612" s="15">
        <v>10459.359999999999</v>
      </c>
      <c r="E612" s="15"/>
      <c r="F612" s="15"/>
      <c r="G612" s="8" t="s">
        <v>11</v>
      </c>
      <c r="H612" s="8"/>
      <c r="I612" s="17"/>
      <c r="J612" s="8" t="s">
        <v>10</v>
      </c>
      <c r="K612" s="8"/>
      <c r="L612" s="7"/>
      <c r="M612" s="7" t="str">
        <f>IF(C612="Caixa","-",VLOOKUP(J612,[1]Estrutura!C:E,3,FALSE))</f>
        <v>1.1</v>
      </c>
      <c r="N612" s="7"/>
      <c r="O612" s="7">
        <f t="shared" si="36"/>
        <v>30</v>
      </c>
      <c r="P612" s="7">
        <f t="shared" si="37"/>
        <v>7</v>
      </c>
      <c r="Q612" s="7">
        <f t="shared" si="38"/>
        <v>2026</v>
      </c>
      <c r="R612" s="6">
        <f t="shared" si="39"/>
        <v>10459.359999999999</v>
      </c>
      <c r="S612" s="12">
        <v>46235</v>
      </c>
    </row>
    <row r="613" spans="1:19">
      <c r="A613" s="12">
        <v>46234</v>
      </c>
      <c r="B613" s="7" t="s">
        <v>7</v>
      </c>
      <c r="C613" s="7" t="s">
        <v>2</v>
      </c>
      <c r="D613" s="15">
        <v>15892.369999998249</v>
      </c>
      <c r="E613" s="11"/>
      <c r="F613" s="11"/>
      <c r="G613" s="7" t="s">
        <v>1</v>
      </c>
      <c r="H613" s="10"/>
      <c r="I613" s="9"/>
      <c r="J613" s="7" t="s">
        <v>0</v>
      </c>
      <c r="K613" s="7"/>
      <c r="L613" s="8"/>
      <c r="M613" s="8" t="str">
        <f>IF(C613="Caixa","-",VLOOKUP(J613,[1]Estrutura!C:E,3,FALSE))</f>
        <v>5.1</v>
      </c>
      <c r="N613" s="8"/>
      <c r="O613" s="7">
        <f t="shared" si="36"/>
        <v>31</v>
      </c>
      <c r="P613" s="7">
        <f t="shared" si="37"/>
        <v>7</v>
      </c>
      <c r="Q613" s="7">
        <f t="shared" si="38"/>
        <v>2026</v>
      </c>
      <c r="R613" s="6">
        <f t="shared" si="39"/>
        <v>15892.369999998249</v>
      </c>
      <c r="S613" s="16">
        <v>46235</v>
      </c>
    </row>
    <row r="614" spans="1:19">
      <c r="A614" s="12">
        <v>46234</v>
      </c>
      <c r="B614" s="7" t="s">
        <v>7</v>
      </c>
      <c r="C614" s="7" t="s">
        <v>6</v>
      </c>
      <c r="D614" s="11"/>
      <c r="E614" s="11">
        <v>512.15</v>
      </c>
      <c r="F614" s="11"/>
      <c r="G614" s="7" t="s">
        <v>5</v>
      </c>
      <c r="H614" s="10"/>
      <c r="I614" s="9"/>
      <c r="J614" s="7" t="s">
        <v>4</v>
      </c>
      <c r="K614" s="7"/>
      <c r="L614" s="7"/>
      <c r="M614" s="7" t="str">
        <f>IF(C614="Caixa","-",VLOOKUP(J614,[1]Estrutura!C:E,3,FALSE))</f>
        <v>5.2</v>
      </c>
      <c r="N614" s="7"/>
      <c r="O614" s="7">
        <f t="shared" si="36"/>
        <v>31</v>
      </c>
      <c r="P614" s="7">
        <f t="shared" si="37"/>
        <v>7</v>
      </c>
      <c r="Q614" s="7">
        <f t="shared" si="38"/>
        <v>2026</v>
      </c>
      <c r="R614" s="6">
        <f t="shared" si="39"/>
        <v>-512.15</v>
      </c>
      <c r="S614" s="16">
        <v>46235</v>
      </c>
    </row>
    <row r="615" spans="1:19">
      <c r="A615" s="12">
        <v>46234</v>
      </c>
      <c r="B615" s="8" t="s">
        <v>7</v>
      </c>
      <c r="C615" s="8" t="s">
        <v>6</v>
      </c>
      <c r="D615" s="15"/>
      <c r="E615" s="15">
        <v>486.42</v>
      </c>
      <c r="F615" s="15"/>
      <c r="G615" s="8" t="s">
        <v>5</v>
      </c>
      <c r="H615" s="14"/>
      <c r="I615" s="13"/>
      <c r="J615" s="8" t="s">
        <v>4</v>
      </c>
      <c r="K615" s="7"/>
      <c r="L615" s="8"/>
      <c r="M615" s="8" t="str">
        <f>IF(C615="Caixa","-",VLOOKUP(J615,[1]Estrutura!C:E,3,FALSE))</f>
        <v>5.2</v>
      </c>
      <c r="N615" s="8"/>
      <c r="O615" s="7">
        <f t="shared" si="36"/>
        <v>31</v>
      </c>
      <c r="P615" s="7">
        <f t="shared" si="37"/>
        <v>7</v>
      </c>
      <c r="Q615" s="7">
        <f t="shared" si="38"/>
        <v>2026</v>
      </c>
      <c r="R615" s="6">
        <f t="shared" si="39"/>
        <v>-486.42</v>
      </c>
      <c r="S615" s="12">
        <v>46235</v>
      </c>
    </row>
    <row r="616" spans="1:19">
      <c r="A616" s="23">
        <v>46234</v>
      </c>
      <c r="B616" s="7" t="s">
        <v>3</v>
      </c>
      <c r="C616" s="7" t="s">
        <v>2</v>
      </c>
      <c r="D616" s="11">
        <v>7181.359999999986</v>
      </c>
      <c r="E616" s="11"/>
      <c r="F616" s="11"/>
      <c r="G616" s="7" t="s">
        <v>1</v>
      </c>
      <c r="H616" s="10"/>
      <c r="I616" s="22"/>
      <c r="J616" s="7" t="s">
        <v>0</v>
      </c>
      <c r="K616" s="18"/>
      <c r="L616" s="7"/>
      <c r="M616" s="7" t="str">
        <f>IF(C616="Caixa","-",VLOOKUP(J616,[1]Estrutura!C:E,3,FALSE))</f>
        <v>5.1</v>
      </c>
      <c r="N616" s="7"/>
      <c r="O616" s="7">
        <f t="shared" si="36"/>
        <v>31</v>
      </c>
      <c r="P616" s="7">
        <f t="shared" si="37"/>
        <v>7</v>
      </c>
      <c r="Q616" s="7">
        <f t="shared" si="38"/>
        <v>2026</v>
      </c>
      <c r="R616" s="6">
        <f t="shared" si="39"/>
        <v>7181.359999999986</v>
      </c>
      <c r="S616" s="16">
        <v>46235</v>
      </c>
    </row>
    <row r="617" spans="1:19">
      <c r="A617" s="12">
        <v>46235</v>
      </c>
      <c r="B617" s="8" t="s">
        <v>122</v>
      </c>
      <c r="C617" s="7" t="s">
        <v>9</v>
      </c>
      <c r="D617" s="11"/>
      <c r="E617" s="11">
        <v>97.69</v>
      </c>
      <c r="F617" s="11" t="s">
        <v>228</v>
      </c>
      <c r="G617" s="7" t="s">
        <v>621</v>
      </c>
      <c r="H617" s="10"/>
      <c r="I617" s="9"/>
      <c r="J617" s="7" t="s">
        <v>144</v>
      </c>
      <c r="K617" s="7"/>
      <c r="L617" s="8"/>
      <c r="M617" s="8" t="str">
        <f>IF(C617="Caixa","-",VLOOKUP(J617,[1]Estrutura!C:E,3,FALSE))</f>
        <v>4.2</v>
      </c>
      <c r="N617" s="8"/>
      <c r="O617" s="7">
        <f t="shared" si="36"/>
        <v>1</v>
      </c>
      <c r="P617" s="7">
        <f t="shared" si="37"/>
        <v>8</v>
      </c>
      <c r="Q617" s="7">
        <f t="shared" si="38"/>
        <v>2026</v>
      </c>
      <c r="R617" s="6">
        <f t="shared" si="39"/>
        <v>-97.69</v>
      </c>
      <c r="S617" s="16">
        <v>46235</v>
      </c>
    </row>
    <row r="618" spans="1:19">
      <c r="A618" s="16">
        <v>46235</v>
      </c>
      <c r="B618" s="8" t="s">
        <v>122</v>
      </c>
      <c r="C618" s="8" t="s">
        <v>9</v>
      </c>
      <c r="D618" s="15"/>
      <c r="E618" s="15">
        <v>2.76</v>
      </c>
      <c r="F618" s="15" t="s">
        <v>228</v>
      </c>
      <c r="G618" s="8" t="s">
        <v>232</v>
      </c>
      <c r="H618" s="14"/>
      <c r="I618" s="13"/>
      <c r="J618" s="8" t="s">
        <v>144</v>
      </c>
      <c r="K618" s="8"/>
      <c r="L618" s="7"/>
      <c r="M618" s="7" t="str">
        <f>IF(C618="Caixa","-",VLOOKUP(J618,[1]Estrutura!C:E,3,FALSE))</f>
        <v>4.2</v>
      </c>
      <c r="N618" s="7"/>
      <c r="O618" s="7">
        <f t="shared" si="36"/>
        <v>1</v>
      </c>
      <c r="P618" s="7">
        <f t="shared" si="37"/>
        <v>8</v>
      </c>
      <c r="Q618" s="7">
        <f t="shared" si="38"/>
        <v>2026</v>
      </c>
      <c r="R618" s="6">
        <f t="shared" si="39"/>
        <v>-2.76</v>
      </c>
      <c r="S618" s="12">
        <v>46235</v>
      </c>
    </row>
    <row r="619" spans="1:19">
      <c r="A619" s="16">
        <v>46235</v>
      </c>
      <c r="B619" s="8" t="s">
        <v>122</v>
      </c>
      <c r="C619" s="8" t="s">
        <v>6</v>
      </c>
      <c r="D619" s="15"/>
      <c r="E619" s="15">
        <v>-162.72</v>
      </c>
      <c r="F619" s="15" t="s">
        <v>184</v>
      </c>
      <c r="G619" s="8" t="s">
        <v>287</v>
      </c>
      <c r="H619" s="14"/>
      <c r="I619" s="13"/>
      <c r="J619" s="8" t="s">
        <v>144</v>
      </c>
      <c r="K619" s="8"/>
      <c r="L619" s="8"/>
      <c r="M619" s="8" t="str">
        <f>IF(C619="Caixa","-",VLOOKUP(J619,[1]Estrutura!C:E,3,FALSE))</f>
        <v>4.2</v>
      </c>
      <c r="N619" s="8"/>
      <c r="O619" s="7">
        <f t="shared" si="36"/>
        <v>1</v>
      </c>
      <c r="P619" s="7">
        <f t="shared" si="37"/>
        <v>8</v>
      </c>
      <c r="Q619" s="7">
        <f t="shared" si="38"/>
        <v>2026</v>
      </c>
      <c r="R619" s="6">
        <f t="shared" si="39"/>
        <v>162.72</v>
      </c>
      <c r="S619" s="12">
        <v>46235</v>
      </c>
    </row>
    <row r="620" spans="1:19">
      <c r="A620" s="12">
        <v>46235</v>
      </c>
      <c r="B620" s="7" t="s">
        <v>122</v>
      </c>
      <c r="C620" s="7" t="s">
        <v>6</v>
      </c>
      <c r="D620" s="11"/>
      <c r="E620" s="11">
        <v>675.48</v>
      </c>
      <c r="F620" s="15" t="s">
        <v>184</v>
      </c>
      <c r="G620" s="7" t="s">
        <v>286</v>
      </c>
      <c r="H620" s="10"/>
      <c r="I620" s="9"/>
      <c r="J620" s="7" t="s">
        <v>144</v>
      </c>
      <c r="K620" s="7"/>
      <c r="L620" s="7"/>
      <c r="M620" s="7" t="str">
        <f>IF(C620="Caixa","-",VLOOKUP(J620,[1]Estrutura!C:E,3,FALSE))</f>
        <v>4.2</v>
      </c>
      <c r="N620" s="7"/>
      <c r="O620" s="7">
        <f t="shared" si="36"/>
        <v>1</v>
      </c>
      <c r="P620" s="7">
        <f t="shared" si="37"/>
        <v>8</v>
      </c>
      <c r="Q620" s="7">
        <f t="shared" si="38"/>
        <v>2026</v>
      </c>
      <c r="R620" s="6">
        <f t="shared" si="39"/>
        <v>-675.48</v>
      </c>
      <c r="S620" s="16">
        <v>46235</v>
      </c>
    </row>
    <row r="621" spans="1:19">
      <c r="A621" s="16">
        <v>46235</v>
      </c>
      <c r="B621" s="8" t="s">
        <v>122</v>
      </c>
      <c r="C621" s="8" t="s">
        <v>6</v>
      </c>
      <c r="D621" s="15"/>
      <c r="E621" s="15">
        <v>194.67</v>
      </c>
      <c r="F621" s="15" t="s">
        <v>184</v>
      </c>
      <c r="G621" s="8" t="s">
        <v>188</v>
      </c>
      <c r="H621" s="14"/>
      <c r="I621" s="13"/>
      <c r="J621" s="8" t="s">
        <v>144</v>
      </c>
      <c r="K621" s="8"/>
      <c r="L621" s="8"/>
      <c r="M621" s="8" t="str">
        <f>IF(C621="Caixa","-",VLOOKUP(J621,[1]Estrutura!C:E,3,FALSE))</f>
        <v>4.2</v>
      </c>
      <c r="N621" s="8"/>
      <c r="O621" s="7">
        <f t="shared" si="36"/>
        <v>1</v>
      </c>
      <c r="P621" s="7">
        <f t="shared" si="37"/>
        <v>8</v>
      </c>
      <c r="Q621" s="7">
        <f t="shared" si="38"/>
        <v>2026</v>
      </c>
      <c r="R621" s="6">
        <f t="shared" si="39"/>
        <v>-194.67</v>
      </c>
      <c r="S621" s="12">
        <v>46235</v>
      </c>
    </row>
    <row r="622" spans="1:19">
      <c r="A622" s="12">
        <v>46235</v>
      </c>
      <c r="B622" s="8" t="s">
        <v>122</v>
      </c>
      <c r="C622" s="7" t="s">
        <v>9</v>
      </c>
      <c r="D622" s="11"/>
      <c r="E622" s="15">
        <v>3458.51</v>
      </c>
      <c r="F622" s="11" t="s">
        <v>228</v>
      </c>
      <c r="G622" s="7" t="s">
        <v>231</v>
      </c>
      <c r="H622" s="10"/>
      <c r="I622" s="9"/>
      <c r="J622" s="7" t="s">
        <v>144</v>
      </c>
      <c r="K622" s="7"/>
      <c r="L622" s="7"/>
      <c r="M622" s="7" t="str">
        <f>IF(C622="Caixa","-",VLOOKUP(J622,[1]Estrutura!C:E,3,FALSE))</f>
        <v>4.2</v>
      </c>
      <c r="N622" s="7"/>
      <c r="O622" s="7">
        <f t="shared" si="36"/>
        <v>1</v>
      </c>
      <c r="P622" s="7">
        <f t="shared" si="37"/>
        <v>8</v>
      </c>
      <c r="Q622" s="7">
        <f t="shared" si="38"/>
        <v>2026</v>
      </c>
      <c r="R622" s="6">
        <f t="shared" si="39"/>
        <v>-3458.51</v>
      </c>
      <c r="S622" s="16">
        <v>46235</v>
      </c>
    </row>
    <row r="623" spans="1:19">
      <c r="A623" s="12">
        <v>46235</v>
      </c>
      <c r="B623" s="7" t="s">
        <v>122</v>
      </c>
      <c r="C623" s="7" t="s">
        <v>6</v>
      </c>
      <c r="D623" s="11"/>
      <c r="E623" s="11">
        <v>5072.82</v>
      </c>
      <c r="F623" s="15" t="s">
        <v>184</v>
      </c>
      <c r="G623" s="7" t="s">
        <v>620</v>
      </c>
      <c r="H623" s="10"/>
      <c r="I623" s="9"/>
      <c r="J623" s="7" t="s">
        <v>144</v>
      </c>
      <c r="K623" s="7"/>
      <c r="L623" s="8"/>
      <c r="M623" s="8" t="str">
        <f>IF(C623="Caixa","-",VLOOKUP(J623,[1]Estrutura!C:E,3,FALSE))</f>
        <v>4.2</v>
      </c>
      <c r="N623" s="8"/>
      <c r="O623" s="7">
        <f t="shared" si="36"/>
        <v>1</v>
      </c>
      <c r="P623" s="7">
        <f t="shared" si="37"/>
        <v>8</v>
      </c>
      <c r="Q623" s="7">
        <f t="shared" si="38"/>
        <v>2026</v>
      </c>
      <c r="R623" s="6">
        <f t="shared" si="39"/>
        <v>-5072.82</v>
      </c>
      <c r="S623" s="12">
        <v>46235</v>
      </c>
    </row>
    <row r="624" spans="1:19">
      <c r="A624" s="16">
        <v>46235</v>
      </c>
      <c r="B624" s="8" t="s">
        <v>122</v>
      </c>
      <c r="C624" s="8" t="s">
        <v>6</v>
      </c>
      <c r="D624" s="15"/>
      <c r="E624" s="15">
        <v>212.52</v>
      </c>
      <c r="F624" s="15" t="s">
        <v>184</v>
      </c>
      <c r="G624" s="8" t="s">
        <v>186</v>
      </c>
      <c r="H624" s="14"/>
      <c r="I624" s="13"/>
      <c r="J624" s="8" t="s">
        <v>144</v>
      </c>
      <c r="K624" s="8"/>
      <c r="L624" s="7"/>
      <c r="M624" s="7" t="str">
        <f>IF(C624="Caixa","-",VLOOKUP(J624,[1]Estrutura!C:E,3,FALSE))</f>
        <v>4.2</v>
      </c>
      <c r="N624" s="7"/>
      <c r="O624" s="7">
        <f t="shared" si="36"/>
        <v>1</v>
      </c>
      <c r="P624" s="7">
        <f t="shared" si="37"/>
        <v>8</v>
      </c>
      <c r="Q624" s="7">
        <f t="shared" si="38"/>
        <v>2026</v>
      </c>
      <c r="R624" s="6">
        <f t="shared" si="39"/>
        <v>-212.52</v>
      </c>
      <c r="S624" s="12">
        <v>46235</v>
      </c>
    </row>
    <row r="625" spans="1:19">
      <c r="A625" s="12">
        <v>46235</v>
      </c>
      <c r="B625" s="7" t="s">
        <v>122</v>
      </c>
      <c r="C625" s="7" t="s">
        <v>6</v>
      </c>
      <c r="D625" s="11"/>
      <c r="E625" s="11">
        <v>212.52</v>
      </c>
      <c r="F625" s="15" t="s">
        <v>184</v>
      </c>
      <c r="G625" s="7" t="s">
        <v>186</v>
      </c>
      <c r="H625" s="10"/>
      <c r="I625" s="9"/>
      <c r="J625" s="7" t="s">
        <v>144</v>
      </c>
      <c r="K625" s="7"/>
      <c r="L625" s="8"/>
      <c r="M625" s="8" t="str">
        <f>IF(C625="Caixa","-",VLOOKUP(J625,[1]Estrutura!C:E,3,FALSE))</f>
        <v>4.2</v>
      </c>
      <c r="N625" s="8"/>
      <c r="O625" s="7">
        <f t="shared" si="36"/>
        <v>1</v>
      </c>
      <c r="P625" s="7">
        <f t="shared" si="37"/>
        <v>8</v>
      </c>
      <c r="Q625" s="7">
        <f t="shared" si="38"/>
        <v>2026</v>
      </c>
      <c r="R625" s="6">
        <f t="shared" si="39"/>
        <v>-212.52</v>
      </c>
      <c r="S625" s="16">
        <v>46235</v>
      </c>
    </row>
    <row r="626" spans="1:19">
      <c r="A626" s="16">
        <v>46235</v>
      </c>
      <c r="B626" s="8" t="s">
        <v>122</v>
      </c>
      <c r="C626" s="8" t="s">
        <v>6</v>
      </c>
      <c r="D626" s="15"/>
      <c r="E626" s="15">
        <v>253.64</v>
      </c>
      <c r="F626" s="15" t="s">
        <v>184</v>
      </c>
      <c r="G626" s="8" t="s">
        <v>185</v>
      </c>
      <c r="H626" s="14"/>
      <c r="I626" s="13"/>
      <c r="J626" s="8" t="s">
        <v>144</v>
      </c>
      <c r="K626" s="8"/>
      <c r="L626" s="7"/>
      <c r="M626" s="7" t="str">
        <f>IF(C626="Caixa","-",VLOOKUP(J626,[1]Estrutura!C:E,3,FALSE))</f>
        <v>4.2</v>
      </c>
      <c r="N626" s="7"/>
      <c r="O626" s="7">
        <f t="shared" si="36"/>
        <v>1</v>
      </c>
      <c r="P626" s="7">
        <f t="shared" si="37"/>
        <v>8</v>
      </c>
      <c r="Q626" s="7">
        <f t="shared" si="38"/>
        <v>2026</v>
      </c>
      <c r="R626" s="6">
        <f t="shared" si="39"/>
        <v>-253.64</v>
      </c>
      <c r="S626" s="12">
        <v>46235</v>
      </c>
    </row>
    <row r="627" spans="1:19">
      <c r="A627" s="16">
        <v>46235</v>
      </c>
      <c r="B627" s="8" t="s">
        <v>122</v>
      </c>
      <c r="C627" s="8" t="s">
        <v>9</v>
      </c>
      <c r="D627" s="15"/>
      <c r="E627" s="15">
        <v>172.93</v>
      </c>
      <c r="F627" s="15" t="s">
        <v>228</v>
      </c>
      <c r="G627" s="8" t="s">
        <v>230</v>
      </c>
      <c r="H627" s="14"/>
      <c r="I627" s="13"/>
      <c r="J627" s="8" t="s">
        <v>144</v>
      </c>
      <c r="K627" s="8"/>
      <c r="L627" s="8"/>
      <c r="M627" s="8" t="str">
        <f>IF(C627="Caixa","-",VLOOKUP(J627,[1]Estrutura!C:E,3,FALSE))</f>
        <v>4.2</v>
      </c>
      <c r="N627" s="8"/>
      <c r="O627" s="7">
        <f t="shared" si="36"/>
        <v>1</v>
      </c>
      <c r="P627" s="7">
        <f t="shared" si="37"/>
        <v>8</v>
      </c>
      <c r="Q627" s="7">
        <f t="shared" si="38"/>
        <v>2026</v>
      </c>
      <c r="R627" s="6">
        <f t="shared" si="39"/>
        <v>-172.93</v>
      </c>
      <c r="S627" s="16">
        <v>46235</v>
      </c>
    </row>
    <row r="628" spans="1:19">
      <c r="A628" s="12">
        <v>46235</v>
      </c>
      <c r="B628" s="8" t="s">
        <v>122</v>
      </c>
      <c r="C628" s="7" t="s">
        <v>9</v>
      </c>
      <c r="D628" s="11"/>
      <c r="E628" s="11">
        <v>416.43</v>
      </c>
      <c r="F628" s="11" t="s">
        <v>228</v>
      </c>
      <c r="G628" s="7" t="s">
        <v>229</v>
      </c>
      <c r="H628" s="10"/>
      <c r="I628" s="9"/>
      <c r="J628" s="7" t="s">
        <v>144</v>
      </c>
      <c r="K628" s="7"/>
      <c r="L628" s="7"/>
      <c r="M628" s="7" t="str">
        <f>IF(C628="Caixa","-",VLOOKUP(J628,[1]Estrutura!C:E,3,FALSE))</f>
        <v>4.2</v>
      </c>
      <c r="N628" s="7"/>
      <c r="O628" s="7">
        <f t="shared" si="36"/>
        <v>1</v>
      </c>
      <c r="P628" s="7">
        <f t="shared" si="37"/>
        <v>8</v>
      </c>
      <c r="Q628" s="7">
        <f t="shared" si="38"/>
        <v>2026</v>
      </c>
      <c r="R628" s="6">
        <f t="shared" si="39"/>
        <v>-416.43</v>
      </c>
      <c r="S628" s="12">
        <v>46235</v>
      </c>
    </row>
    <row r="629" spans="1:19">
      <c r="A629" s="16">
        <v>46235</v>
      </c>
      <c r="B629" s="8" t="s">
        <v>122</v>
      </c>
      <c r="C629" s="8" t="s">
        <v>9</v>
      </c>
      <c r="D629" s="15"/>
      <c r="E629" s="15">
        <v>274.76</v>
      </c>
      <c r="F629" s="15" t="s">
        <v>228</v>
      </c>
      <c r="G629" s="8" t="s">
        <v>227</v>
      </c>
      <c r="H629" s="14"/>
      <c r="I629" s="13"/>
      <c r="J629" s="8" t="s">
        <v>144</v>
      </c>
      <c r="K629" s="8"/>
      <c r="L629" s="8"/>
      <c r="M629" s="8" t="str">
        <f>IF(C629="Caixa","-",VLOOKUP(J629,[1]Estrutura!C:E,3,FALSE))</f>
        <v>4.2</v>
      </c>
      <c r="N629" s="8"/>
      <c r="O629" s="7">
        <f t="shared" si="36"/>
        <v>1</v>
      </c>
      <c r="P629" s="7">
        <f t="shared" si="37"/>
        <v>8</v>
      </c>
      <c r="Q629" s="7">
        <f t="shared" si="38"/>
        <v>2026</v>
      </c>
      <c r="R629" s="6">
        <f t="shared" si="39"/>
        <v>-274.76</v>
      </c>
      <c r="S629" s="16">
        <v>46235</v>
      </c>
    </row>
    <row r="630" spans="1:19">
      <c r="A630" s="16">
        <v>46235</v>
      </c>
      <c r="B630" s="8" t="s">
        <v>14</v>
      </c>
      <c r="C630" s="8" t="s">
        <v>9</v>
      </c>
      <c r="D630" s="15"/>
      <c r="E630" s="15">
        <v>4953</v>
      </c>
      <c r="F630" s="15" t="s">
        <v>146</v>
      </c>
      <c r="G630" s="8" t="s">
        <v>619</v>
      </c>
      <c r="H630" s="14"/>
      <c r="I630" s="13"/>
      <c r="J630" s="8" t="s">
        <v>144</v>
      </c>
      <c r="K630" s="8"/>
      <c r="L630" s="7"/>
      <c r="M630" s="7" t="str">
        <f>IF(C630="Caixa","-",VLOOKUP(J630,[1]Estrutura!C:E,3,FALSE))</f>
        <v>4.2</v>
      </c>
      <c r="N630" s="7"/>
      <c r="O630" s="7">
        <f t="shared" si="36"/>
        <v>1</v>
      </c>
      <c r="P630" s="7">
        <f t="shared" si="37"/>
        <v>8</v>
      </c>
      <c r="Q630" s="7">
        <f t="shared" si="38"/>
        <v>2026</v>
      </c>
      <c r="R630" s="6">
        <f t="shared" si="39"/>
        <v>-4953</v>
      </c>
      <c r="S630" s="12">
        <v>46235</v>
      </c>
    </row>
    <row r="631" spans="1:19">
      <c r="A631" s="12">
        <v>46235</v>
      </c>
      <c r="B631" s="7" t="s">
        <v>14</v>
      </c>
      <c r="C631" s="7" t="s">
        <v>9</v>
      </c>
      <c r="D631" s="11"/>
      <c r="E631" s="15">
        <v>4953</v>
      </c>
      <c r="F631" s="15" t="s">
        <v>146</v>
      </c>
      <c r="G631" s="7" t="s">
        <v>619</v>
      </c>
      <c r="H631" s="10"/>
      <c r="I631" s="9"/>
      <c r="J631" s="7" t="s">
        <v>144</v>
      </c>
      <c r="K631" s="7"/>
      <c r="L631" s="8"/>
      <c r="M631" s="8" t="str">
        <f>IF(C631="Caixa","-",VLOOKUP(J631,[1]Estrutura!C:E,3,FALSE))</f>
        <v>4.2</v>
      </c>
      <c r="N631" s="8"/>
      <c r="O631" s="7">
        <f t="shared" si="36"/>
        <v>1</v>
      </c>
      <c r="P631" s="7">
        <f t="shared" si="37"/>
        <v>8</v>
      </c>
      <c r="Q631" s="7">
        <f t="shared" si="38"/>
        <v>2026</v>
      </c>
      <c r="R631" s="6">
        <f t="shared" si="39"/>
        <v>-4953</v>
      </c>
      <c r="S631" s="16">
        <v>46235</v>
      </c>
    </row>
    <row r="632" spans="1:19">
      <c r="A632" s="12">
        <v>46235</v>
      </c>
      <c r="B632" s="7" t="s">
        <v>14</v>
      </c>
      <c r="C632" s="7" t="s">
        <v>9</v>
      </c>
      <c r="D632" s="11"/>
      <c r="E632" s="11">
        <v>100</v>
      </c>
      <c r="F632" s="15" t="s">
        <v>146</v>
      </c>
      <c r="G632" s="8" t="s">
        <v>504</v>
      </c>
      <c r="H632" s="14"/>
      <c r="I632" s="9"/>
      <c r="J632" s="7" t="s">
        <v>144</v>
      </c>
      <c r="K632" s="7"/>
      <c r="L632" s="7"/>
      <c r="M632" s="7" t="str">
        <f>IF(C632="Caixa","-",VLOOKUP(J632,[1]Estrutura!C:E,3,FALSE))</f>
        <v>4.2</v>
      </c>
      <c r="N632" s="7"/>
      <c r="O632" s="7">
        <f t="shared" si="36"/>
        <v>1</v>
      </c>
      <c r="P632" s="7">
        <f t="shared" si="37"/>
        <v>8</v>
      </c>
      <c r="Q632" s="7">
        <f t="shared" si="38"/>
        <v>2026</v>
      </c>
      <c r="R632" s="6">
        <f t="shared" si="39"/>
        <v>-100</v>
      </c>
      <c r="S632" s="12">
        <v>46235</v>
      </c>
    </row>
    <row r="633" spans="1:19">
      <c r="A633" s="16">
        <v>46235</v>
      </c>
      <c r="B633" s="24" t="s">
        <v>14</v>
      </c>
      <c r="C633" s="8" t="s">
        <v>9</v>
      </c>
      <c r="D633" s="15"/>
      <c r="E633" s="15">
        <v>100</v>
      </c>
      <c r="F633" s="15" t="s">
        <v>146</v>
      </c>
      <c r="G633" s="8" t="s">
        <v>618</v>
      </c>
      <c r="H633" s="14"/>
      <c r="I633" s="13"/>
      <c r="J633" s="8" t="s">
        <v>144</v>
      </c>
      <c r="K633" s="8"/>
      <c r="L633" s="8"/>
      <c r="M633" s="8" t="str">
        <f>IF(C633="Caixa","-",VLOOKUP(J633,[1]Estrutura!C:E,3,FALSE))</f>
        <v>4.2</v>
      </c>
      <c r="N633" s="8"/>
      <c r="O633" s="7">
        <f t="shared" si="36"/>
        <v>1</v>
      </c>
      <c r="P633" s="7">
        <f t="shared" si="37"/>
        <v>8</v>
      </c>
      <c r="Q633" s="7">
        <f t="shared" si="38"/>
        <v>2026</v>
      </c>
      <c r="R633" s="6">
        <f t="shared" si="39"/>
        <v>-100</v>
      </c>
      <c r="S633" s="16">
        <v>46235</v>
      </c>
    </row>
    <row r="634" spans="1:19">
      <c r="A634" s="12">
        <v>46235</v>
      </c>
      <c r="B634" s="7" t="s">
        <v>14</v>
      </c>
      <c r="C634" s="7" t="s">
        <v>9</v>
      </c>
      <c r="D634" s="11"/>
      <c r="E634" s="11">
        <v>100</v>
      </c>
      <c r="F634" s="15" t="s">
        <v>146</v>
      </c>
      <c r="G634" s="7" t="s">
        <v>618</v>
      </c>
      <c r="H634" s="10"/>
      <c r="I634" s="9"/>
      <c r="J634" s="7" t="s">
        <v>144</v>
      </c>
      <c r="K634" s="7"/>
      <c r="L634" s="7"/>
      <c r="M634" s="7" t="str">
        <f>IF(C634="Caixa","-",VLOOKUP(J634,[1]Estrutura!C:E,3,FALSE))</f>
        <v>4.2</v>
      </c>
      <c r="N634" s="7"/>
      <c r="O634" s="7">
        <f t="shared" si="36"/>
        <v>1</v>
      </c>
      <c r="P634" s="7">
        <f t="shared" si="37"/>
        <v>8</v>
      </c>
      <c r="Q634" s="7">
        <f t="shared" si="38"/>
        <v>2026</v>
      </c>
      <c r="R634" s="6">
        <f t="shared" si="39"/>
        <v>-100</v>
      </c>
      <c r="S634" s="12">
        <v>46235</v>
      </c>
    </row>
    <row r="635" spans="1:19">
      <c r="A635" s="16">
        <v>46235</v>
      </c>
      <c r="B635" s="8" t="s">
        <v>14</v>
      </c>
      <c r="C635" s="8" t="s">
        <v>9</v>
      </c>
      <c r="D635" s="15"/>
      <c r="E635" s="11">
        <v>100</v>
      </c>
      <c r="F635" s="15" t="s">
        <v>146</v>
      </c>
      <c r="G635" s="7" t="s">
        <v>213</v>
      </c>
      <c r="H635" s="10"/>
      <c r="I635" s="13"/>
      <c r="J635" s="8" t="s">
        <v>144</v>
      </c>
      <c r="K635" s="8"/>
      <c r="L635" s="8"/>
      <c r="M635" s="8" t="str">
        <f>IF(C635="Caixa","-",VLOOKUP(J635,[1]Estrutura!C:E,3,FALSE))</f>
        <v>4.2</v>
      </c>
      <c r="N635" s="8"/>
      <c r="O635" s="7">
        <f t="shared" si="36"/>
        <v>1</v>
      </c>
      <c r="P635" s="7">
        <f t="shared" si="37"/>
        <v>8</v>
      </c>
      <c r="Q635" s="7">
        <f t="shared" si="38"/>
        <v>2026</v>
      </c>
      <c r="R635" s="6">
        <f t="shared" si="39"/>
        <v>-100</v>
      </c>
      <c r="S635" s="16">
        <v>46235</v>
      </c>
    </row>
    <row r="636" spans="1:19">
      <c r="A636" s="12">
        <v>46235</v>
      </c>
      <c r="B636" s="7" t="s">
        <v>14</v>
      </c>
      <c r="C636" s="7" t="s">
        <v>9</v>
      </c>
      <c r="D636" s="11"/>
      <c r="E636" s="11">
        <v>35838.239999999998</v>
      </c>
      <c r="F636" s="11" t="s">
        <v>212</v>
      </c>
      <c r="G636" s="7" t="s">
        <v>617</v>
      </c>
      <c r="H636" s="10"/>
      <c r="I636" s="9"/>
      <c r="J636" s="21" t="s">
        <v>210</v>
      </c>
      <c r="K636" s="7"/>
      <c r="L636" s="7"/>
      <c r="M636" s="7" t="str">
        <f>IF(C636="Caixa","-",VLOOKUP(J636,[1]Estrutura!C:E,3,FALSE))</f>
        <v>4.12</v>
      </c>
      <c r="N636" s="7"/>
      <c r="O636" s="7">
        <f t="shared" si="36"/>
        <v>1</v>
      </c>
      <c r="P636" s="7">
        <f t="shared" si="37"/>
        <v>8</v>
      </c>
      <c r="Q636" s="7">
        <f t="shared" si="38"/>
        <v>2026</v>
      </c>
      <c r="R636" s="6">
        <f t="shared" si="39"/>
        <v>-35838.239999999998</v>
      </c>
      <c r="S636" s="12">
        <v>46235</v>
      </c>
    </row>
    <row r="637" spans="1:19">
      <c r="A637" s="12">
        <v>46235</v>
      </c>
      <c r="B637" s="7" t="s">
        <v>14</v>
      </c>
      <c r="C637" s="7" t="s">
        <v>9</v>
      </c>
      <c r="D637" s="11"/>
      <c r="E637" s="11">
        <v>170.56</v>
      </c>
      <c r="F637" s="11" t="s">
        <v>125</v>
      </c>
      <c r="G637" s="7" t="s">
        <v>392</v>
      </c>
      <c r="H637" s="10"/>
      <c r="I637" s="9"/>
      <c r="J637" s="8" t="s">
        <v>99</v>
      </c>
      <c r="K637" s="7"/>
      <c r="L637" s="8"/>
      <c r="M637" s="8" t="str">
        <f>IF(C637="Caixa","-",VLOOKUP(J637,[1]Estrutura!C:E,3,FALSE))</f>
        <v>4.3</v>
      </c>
      <c r="N637" s="8"/>
      <c r="O637" s="7">
        <f t="shared" si="36"/>
        <v>1</v>
      </c>
      <c r="P637" s="7">
        <f t="shared" si="37"/>
        <v>8</v>
      </c>
      <c r="Q637" s="7">
        <f t="shared" si="38"/>
        <v>2026</v>
      </c>
      <c r="R637" s="6">
        <f t="shared" si="39"/>
        <v>-170.56</v>
      </c>
      <c r="S637" s="16">
        <v>46235</v>
      </c>
    </row>
    <row r="638" spans="1:19">
      <c r="A638" s="16">
        <v>46235</v>
      </c>
      <c r="B638" s="8" t="s">
        <v>14</v>
      </c>
      <c r="C638" s="8" t="s">
        <v>9</v>
      </c>
      <c r="D638" s="15"/>
      <c r="E638" s="15">
        <v>1356.3</v>
      </c>
      <c r="F638" s="15" t="s">
        <v>178</v>
      </c>
      <c r="G638" s="8" t="s">
        <v>616</v>
      </c>
      <c r="H638" s="14"/>
      <c r="I638" s="13"/>
      <c r="J638" s="8" t="s">
        <v>178</v>
      </c>
      <c r="K638" s="8"/>
      <c r="L638" s="7"/>
      <c r="M638" s="7" t="str">
        <f>IF(C638="Caixa","-",VLOOKUP(J638,[1]Estrutura!C:E,3,FALSE))</f>
        <v>4.1</v>
      </c>
      <c r="N638" s="7"/>
      <c r="O638" s="7">
        <f t="shared" si="36"/>
        <v>1</v>
      </c>
      <c r="P638" s="7">
        <f t="shared" si="37"/>
        <v>8</v>
      </c>
      <c r="Q638" s="7">
        <f t="shared" si="38"/>
        <v>2026</v>
      </c>
      <c r="R638" s="6">
        <f t="shared" si="39"/>
        <v>-1356.3</v>
      </c>
      <c r="S638" s="12">
        <v>46235</v>
      </c>
    </row>
    <row r="639" spans="1:19">
      <c r="A639" s="12">
        <v>46235</v>
      </c>
      <c r="B639" s="7" t="s">
        <v>14</v>
      </c>
      <c r="C639" s="7" t="s">
        <v>9</v>
      </c>
      <c r="D639" s="11"/>
      <c r="E639" s="11">
        <v>950</v>
      </c>
      <c r="F639" s="11" t="s">
        <v>226</v>
      </c>
      <c r="G639" s="7" t="s">
        <v>615</v>
      </c>
      <c r="H639" s="10"/>
      <c r="I639" s="9"/>
      <c r="J639" s="7" t="s">
        <v>17</v>
      </c>
      <c r="K639" s="7"/>
      <c r="L639" s="8"/>
      <c r="M639" s="8" t="str">
        <f>IF(C639="Caixa","-",VLOOKUP(J639,[1]Estrutura!C:E,3,FALSE))</f>
        <v>4.4</v>
      </c>
      <c r="N639" s="8"/>
      <c r="O639" s="7">
        <f t="shared" si="36"/>
        <v>1</v>
      </c>
      <c r="P639" s="7">
        <f t="shared" si="37"/>
        <v>8</v>
      </c>
      <c r="Q639" s="7">
        <f t="shared" si="38"/>
        <v>2026</v>
      </c>
      <c r="R639" s="6">
        <f t="shared" si="39"/>
        <v>-950</v>
      </c>
      <c r="S639" s="16">
        <v>46235</v>
      </c>
    </row>
    <row r="640" spans="1:19">
      <c r="A640" s="16">
        <v>46235</v>
      </c>
      <c r="B640" s="8" t="s">
        <v>26</v>
      </c>
      <c r="C640" s="8" t="s">
        <v>6</v>
      </c>
      <c r="D640" s="15"/>
      <c r="E640" s="15">
        <v>1800</v>
      </c>
      <c r="F640" s="15" t="s">
        <v>223</v>
      </c>
      <c r="G640" s="8" t="s">
        <v>224</v>
      </c>
      <c r="H640" s="14"/>
      <c r="I640" s="13"/>
      <c r="J640" s="8" t="s">
        <v>201</v>
      </c>
      <c r="K640" s="8" t="s">
        <v>21</v>
      </c>
      <c r="L640" s="7"/>
      <c r="M640" s="7" t="str">
        <f>IF(C640="Caixa","-",VLOOKUP(J640,[1]Estrutura!C:E,3,FALSE))</f>
        <v>4.4</v>
      </c>
      <c r="N640" s="7"/>
      <c r="O640" s="7">
        <f t="shared" si="36"/>
        <v>1</v>
      </c>
      <c r="P640" s="7">
        <f t="shared" si="37"/>
        <v>8</v>
      </c>
      <c r="Q640" s="7">
        <f t="shared" si="38"/>
        <v>2026</v>
      </c>
      <c r="R640" s="6">
        <f t="shared" si="39"/>
        <v>-1800</v>
      </c>
      <c r="S640" s="12">
        <v>46235</v>
      </c>
    </row>
    <row r="641" spans="1:19">
      <c r="A641" s="12">
        <v>46235</v>
      </c>
      <c r="B641" s="7" t="s">
        <v>26</v>
      </c>
      <c r="C641" s="7" t="s">
        <v>6</v>
      </c>
      <c r="D641" s="11"/>
      <c r="E641" s="11">
        <v>1800</v>
      </c>
      <c r="F641" s="11" t="s">
        <v>223</v>
      </c>
      <c r="G641" s="7" t="s">
        <v>224</v>
      </c>
      <c r="H641" s="10"/>
      <c r="I641" s="9"/>
      <c r="J641" s="7" t="s">
        <v>201</v>
      </c>
      <c r="K641" s="7" t="s">
        <v>21</v>
      </c>
      <c r="L641" s="8"/>
      <c r="M641" s="8" t="str">
        <f>IF(C641="Caixa","-",VLOOKUP(J641,[1]Estrutura!C:E,3,FALSE))</f>
        <v>4.4</v>
      </c>
      <c r="N641" s="8"/>
      <c r="O641" s="7">
        <f t="shared" si="36"/>
        <v>1</v>
      </c>
      <c r="P641" s="7">
        <f t="shared" si="37"/>
        <v>8</v>
      </c>
      <c r="Q641" s="7">
        <f t="shared" si="38"/>
        <v>2026</v>
      </c>
      <c r="R641" s="6">
        <f t="shared" si="39"/>
        <v>-1800</v>
      </c>
      <c r="S641" s="16">
        <v>46235</v>
      </c>
    </row>
    <row r="642" spans="1:19">
      <c r="A642" s="16">
        <v>46235</v>
      </c>
      <c r="B642" s="8" t="s">
        <v>26</v>
      </c>
      <c r="C642" s="8" t="s">
        <v>6</v>
      </c>
      <c r="D642" s="15"/>
      <c r="E642" s="15">
        <v>283.32</v>
      </c>
      <c r="F642" s="15" t="s">
        <v>219</v>
      </c>
      <c r="G642" s="8" t="s">
        <v>221</v>
      </c>
      <c r="H642" s="14"/>
      <c r="I642" s="13"/>
      <c r="J642" s="8" t="s">
        <v>144</v>
      </c>
      <c r="K642" s="8" t="s">
        <v>21</v>
      </c>
      <c r="L642" s="7"/>
      <c r="M642" s="7" t="str">
        <f>IF(C642="Caixa","-",VLOOKUP(J642,[1]Estrutura!C:E,3,FALSE))</f>
        <v>4.2</v>
      </c>
      <c r="N642" s="7"/>
      <c r="O642" s="7">
        <f t="shared" si="36"/>
        <v>1</v>
      </c>
      <c r="P642" s="7">
        <f t="shared" si="37"/>
        <v>8</v>
      </c>
      <c r="Q642" s="7">
        <f t="shared" si="38"/>
        <v>2026</v>
      </c>
      <c r="R642" s="6">
        <f t="shared" si="39"/>
        <v>-283.32</v>
      </c>
      <c r="S642" s="12">
        <v>46236</v>
      </c>
    </row>
    <row r="643" spans="1:19">
      <c r="A643" s="12">
        <v>46235</v>
      </c>
      <c r="B643" s="7" t="s">
        <v>26</v>
      </c>
      <c r="C643" s="7" t="s">
        <v>6</v>
      </c>
      <c r="D643" s="11"/>
      <c r="E643" s="15">
        <v>7515.24</v>
      </c>
      <c r="F643" s="11" t="s">
        <v>219</v>
      </c>
      <c r="G643" s="7" t="s">
        <v>614</v>
      </c>
      <c r="H643" s="10"/>
      <c r="I643" s="9"/>
      <c r="J643" s="7" t="s">
        <v>144</v>
      </c>
      <c r="K643" s="7" t="s">
        <v>21</v>
      </c>
      <c r="L643" s="8"/>
      <c r="M643" s="8" t="str">
        <f>IF(C643="Caixa","-",VLOOKUP(J643,[1]Estrutura!C:E,3,FALSE))</f>
        <v>4.2</v>
      </c>
      <c r="N643" s="8"/>
      <c r="O643" s="7">
        <f t="shared" si="36"/>
        <v>1</v>
      </c>
      <c r="P643" s="7">
        <f t="shared" si="37"/>
        <v>8</v>
      </c>
      <c r="Q643" s="7">
        <f t="shared" si="38"/>
        <v>2026</v>
      </c>
      <c r="R643" s="6">
        <f t="shared" si="39"/>
        <v>-7515.24</v>
      </c>
      <c r="S643" s="16">
        <v>46236</v>
      </c>
    </row>
    <row r="644" spans="1:19">
      <c r="A644" s="16">
        <v>46235</v>
      </c>
      <c r="B644" s="8" t="s">
        <v>26</v>
      </c>
      <c r="C644" s="8" t="s">
        <v>6</v>
      </c>
      <c r="D644" s="15"/>
      <c r="E644" s="15">
        <v>681.34</v>
      </c>
      <c r="F644" s="15" t="s">
        <v>219</v>
      </c>
      <c r="G644" s="8" t="s">
        <v>218</v>
      </c>
      <c r="H644" s="14"/>
      <c r="I644" s="13"/>
      <c r="J644" s="8" t="s">
        <v>144</v>
      </c>
      <c r="K644" s="8" t="s">
        <v>21</v>
      </c>
      <c r="L644" s="7"/>
      <c r="M644" s="7" t="str">
        <f>IF(C644="Caixa","-",VLOOKUP(J644,[1]Estrutura!C:E,3,FALSE))</f>
        <v>4.2</v>
      </c>
      <c r="N644" s="7"/>
      <c r="O644" s="7">
        <f t="shared" si="36"/>
        <v>1</v>
      </c>
      <c r="P644" s="7">
        <f t="shared" si="37"/>
        <v>8</v>
      </c>
      <c r="Q644" s="7">
        <f t="shared" si="38"/>
        <v>2026</v>
      </c>
      <c r="R644" s="6">
        <f t="shared" si="39"/>
        <v>-681.34</v>
      </c>
      <c r="S644" s="16">
        <v>46236</v>
      </c>
    </row>
    <row r="645" spans="1:19">
      <c r="A645" s="12">
        <v>46235</v>
      </c>
      <c r="B645" s="7" t="s">
        <v>26</v>
      </c>
      <c r="C645" s="7" t="s">
        <v>6</v>
      </c>
      <c r="D645" s="11"/>
      <c r="E645" s="11">
        <v>1500</v>
      </c>
      <c r="F645" s="11" t="s">
        <v>613</v>
      </c>
      <c r="G645" s="7" t="s">
        <v>612</v>
      </c>
      <c r="H645" s="10"/>
      <c r="I645" s="9"/>
      <c r="J645" s="7" t="s">
        <v>116</v>
      </c>
      <c r="K645" s="7" t="s">
        <v>21</v>
      </c>
      <c r="L645" s="8"/>
      <c r="M645" s="8" t="str">
        <f>IF(C645="Caixa","-",VLOOKUP(J645,[1]Estrutura!C:E,3,FALSE))</f>
        <v>4.12</v>
      </c>
      <c r="N645" s="8"/>
      <c r="O645" s="7">
        <f t="shared" si="36"/>
        <v>1</v>
      </c>
      <c r="P645" s="7">
        <f t="shared" si="37"/>
        <v>8</v>
      </c>
      <c r="Q645" s="7">
        <f t="shared" si="38"/>
        <v>2026</v>
      </c>
      <c r="R645" s="6">
        <f t="shared" si="39"/>
        <v>-1500</v>
      </c>
      <c r="S645" s="12">
        <v>46236</v>
      </c>
    </row>
    <row r="646" spans="1:19">
      <c r="A646" s="16">
        <v>46235</v>
      </c>
      <c r="B646" s="8" t="s">
        <v>26</v>
      </c>
      <c r="C646" s="8" t="s">
        <v>6</v>
      </c>
      <c r="D646" s="15"/>
      <c r="E646" s="15">
        <v>1000</v>
      </c>
      <c r="F646" s="15" t="s">
        <v>199</v>
      </c>
      <c r="G646" s="8" t="s">
        <v>57</v>
      </c>
      <c r="H646" s="14"/>
      <c r="I646" s="13"/>
      <c r="J646" s="8" t="s">
        <v>56</v>
      </c>
      <c r="K646" s="7" t="s">
        <v>21</v>
      </c>
      <c r="L646" s="7"/>
      <c r="M646" s="7" t="str">
        <f>IF(C646="Caixa","-",VLOOKUP(J646,[1]Estrutura!C:E,3,FALSE))</f>
        <v>6.1</v>
      </c>
      <c r="N646" s="7"/>
      <c r="O646" s="7">
        <f t="shared" si="36"/>
        <v>1</v>
      </c>
      <c r="P646" s="7">
        <f t="shared" si="37"/>
        <v>8</v>
      </c>
      <c r="Q646" s="7">
        <f t="shared" si="38"/>
        <v>2026</v>
      </c>
      <c r="R646" s="6">
        <f t="shared" si="39"/>
        <v>-1000</v>
      </c>
      <c r="S646" s="16">
        <v>46237</v>
      </c>
    </row>
    <row r="647" spans="1:19">
      <c r="A647" s="12">
        <v>46235</v>
      </c>
      <c r="B647" s="7" t="s">
        <v>26</v>
      </c>
      <c r="C647" s="7" t="s">
        <v>6</v>
      </c>
      <c r="D647" s="11"/>
      <c r="E647" s="11">
        <v>146.69999999999999</v>
      </c>
      <c r="F647" s="11" t="s">
        <v>101</v>
      </c>
      <c r="G647" s="7" t="s">
        <v>611</v>
      </c>
      <c r="H647" s="10"/>
      <c r="I647" s="9"/>
      <c r="J647" s="8" t="s">
        <v>99</v>
      </c>
      <c r="K647" s="7" t="s">
        <v>34</v>
      </c>
      <c r="L647" s="8"/>
      <c r="M647" s="8" t="str">
        <f>IF(C647="Caixa","-",VLOOKUP(J647,[1]Estrutura!C:E,3,FALSE))</f>
        <v>4.3</v>
      </c>
      <c r="N647" s="8"/>
      <c r="O647" s="7">
        <f t="shared" si="36"/>
        <v>1</v>
      </c>
      <c r="P647" s="7">
        <f t="shared" si="37"/>
        <v>8</v>
      </c>
      <c r="Q647" s="7">
        <f t="shared" si="38"/>
        <v>2026</v>
      </c>
      <c r="R647" s="6">
        <f t="shared" si="39"/>
        <v>-146.69999999999999</v>
      </c>
      <c r="S647" s="16">
        <v>46237</v>
      </c>
    </row>
    <row r="648" spans="1:19">
      <c r="A648" s="16">
        <v>46235</v>
      </c>
      <c r="B648" s="8" t="s">
        <v>26</v>
      </c>
      <c r="C648" s="8" t="s">
        <v>6</v>
      </c>
      <c r="D648" s="15"/>
      <c r="E648" s="15">
        <v>18000</v>
      </c>
      <c r="F648" s="15" t="s">
        <v>610</v>
      </c>
      <c r="G648" s="8" t="s">
        <v>609</v>
      </c>
      <c r="H648" s="14"/>
      <c r="I648" s="13"/>
      <c r="J648" s="8" t="s">
        <v>17</v>
      </c>
      <c r="K648" s="8" t="s">
        <v>34</v>
      </c>
      <c r="L648" s="7"/>
      <c r="M648" s="7" t="str">
        <f>IF(C648="Caixa","-",VLOOKUP(J648,[1]Estrutura!C:E,3,FALSE))</f>
        <v>4.4</v>
      </c>
      <c r="N648" s="7"/>
      <c r="O648" s="7">
        <f t="shared" si="36"/>
        <v>1</v>
      </c>
      <c r="P648" s="7">
        <f t="shared" si="37"/>
        <v>8</v>
      </c>
      <c r="Q648" s="7">
        <f t="shared" si="38"/>
        <v>2026</v>
      </c>
      <c r="R648" s="6">
        <f t="shared" si="39"/>
        <v>-18000</v>
      </c>
      <c r="S648" s="12">
        <v>46238</v>
      </c>
    </row>
    <row r="649" spans="1:19">
      <c r="A649" s="12">
        <v>46235</v>
      </c>
      <c r="B649" s="7" t="s">
        <v>26</v>
      </c>
      <c r="C649" s="7" t="s">
        <v>6</v>
      </c>
      <c r="D649" s="11"/>
      <c r="E649" s="11">
        <v>959.4</v>
      </c>
      <c r="F649" s="11" t="s">
        <v>132</v>
      </c>
      <c r="G649" s="7" t="s">
        <v>608</v>
      </c>
      <c r="H649" s="10"/>
      <c r="I649" s="9"/>
      <c r="J649" s="7" t="s">
        <v>17</v>
      </c>
      <c r="K649" s="7" t="s">
        <v>136</v>
      </c>
      <c r="L649" s="8"/>
      <c r="M649" s="8" t="str">
        <f>IF(C649="Caixa","-",VLOOKUP(J649,[1]Estrutura!C:E,3,FALSE))</f>
        <v>4.4</v>
      </c>
      <c r="N649" s="8"/>
      <c r="O649" s="7">
        <f t="shared" si="36"/>
        <v>1</v>
      </c>
      <c r="P649" s="7">
        <f t="shared" si="37"/>
        <v>8</v>
      </c>
      <c r="Q649" s="7">
        <f t="shared" si="38"/>
        <v>2026</v>
      </c>
      <c r="R649" s="6">
        <f t="shared" si="39"/>
        <v>-959.4</v>
      </c>
      <c r="S649" s="16">
        <v>46238</v>
      </c>
    </row>
    <row r="650" spans="1:19">
      <c r="A650" s="16">
        <v>46235</v>
      </c>
      <c r="B650" s="8" t="s">
        <v>26</v>
      </c>
      <c r="C650" s="8" t="s">
        <v>6</v>
      </c>
      <c r="D650" s="15"/>
      <c r="E650" s="15">
        <v>146</v>
      </c>
      <c r="F650" s="15" t="s">
        <v>132</v>
      </c>
      <c r="G650" s="8" t="s">
        <v>607</v>
      </c>
      <c r="H650" s="14"/>
      <c r="I650" s="13"/>
      <c r="J650" s="8" t="s">
        <v>17</v>
      </c>
      <c r="K650" s="8" t="s">
        <v>40</v>
      </c>
      <c r="L650" s="7"/>
      <c r="M650" s="7" t="str">
        <f>IF(C650="Caixa","-",VLOOKUP(J650,[1]Estrutura!C:E,3,FALSE))</f>
        <v>4.4</v>
      </c>
      <c r="N650" s="7"/>
      <c r="O650" s="7">
        <f t="shared" si="36"/>
        <v>1</v>
      </c>
      <c r="P650" s="7">
        <f t="shared" si="37"/>
        <v>8</v>
      </c>
      <c r="Q650" s="7">
        <f t="shared" si="38"/>
        <v>2026</v>
      </c>
      <c r="R650" s="6">
        <f t="shared" si="39"/>
        <v>-146</v>
      </c>
      <c r="S650" s="12">
        <v>46238</v>
      </c>
    </row>
    <row r="651" spans="1:19">
      <c r="A651" s="12">
        <v>46235</v>
      </c>
      <c r="B651" s="7" t="s">
        <v>26</v>
      </c>
      <c r="C651" s="7" t="s">
        <v>6</v>
      </c>
      <c r="D651" s="11"/>
      <c r="E651" s="11">
        <v>149</v>
      </c>
      <c r="F651" s="11" t="s">
        <v>132</v>
      </c>
      <c r="G651" s="7" t="s">
        <v>606</v>
      </c>
      <c r="H651" s="10"/>
      <c r="I651" s="9"/>
      <c r="J651" s="7" t="s">
        <v>17</v>
      </c>
      <c r="K651" s="7" t="s">
        <v>40</v>
      </c>
      <c r="L651" s="8"/>
      <c r="M651" s="8" t="str">
        <f>IF(C651="Caixa","-",VLOOKUP(J651,[1]Estrutura!C:E,3,FALSE))</f>
        <v>4.4</v>
      </c>
      <c r="N651" s="8"/>
      <c r="O651" s="7">
        <f t="shared" si="36"/>
        <v>1</v>
      </c>
      <c r="P651" s="7">
        <f t="shared" si="37"/>
        <v>8</v>
      </c>
      <c r="Q651" s="7">
        <f t="shared" si="38"/>
        <v>2026</v>
      </c>
      <c r="R651" s="6">
        <f t="shared" si="39"/>
        <v>-149</v>
      </c>
      <c r="S651" s="16">
        <v>46238</v>
      </c>
    </row>
    <row r="652" spans="1:19">
      <c r="A652" s="16">
        <v>46235</v>
      </c>
      <c r="B652" s="8" t="s">
        <v>26</v>
      </c>
      <c r="C652" s="8" t="s">
        <v>6</v>
      </c>
      <c r="D652" s="15"/>
      <c r="E652" s="15">
        <v>130</v>
      </c>
      <c r="F652" s="15" t="s">
        <v>132</v>
      </c>
      <c r="G652" s="8" t="s">
        <v>605</v>
      </c>
      <c r="H652" s="14"/>
      <c r="I652" s="13"/>
      <c r="J652" s="8" t="s">
        <v>17</v>
      </c>
      <c r="K652" s="8" t="s">
        <v>136</v>
      </c>
      <c r="L652" s="7"/>
      <c r="M652" s="7" t="str">
        <f>IF(C652="Caixa","-",VLOOKUP(J652,[1]Estrutura!C:E,3,FALSE))</f>
        <v>4.4</v>
      </c>
      <c r="N652" s="7"/>
      <c r="O652" s="7">
        <f t="shared" si="36"/>
        <v>1</v>
      </c>
      <c r="P652" s="7">
        <f t="shared" si="37"/>
        <v>8</v>
      </c>
      <c r="Q652" s="7">
        <f t="shared" si="38"/>
        <v>2026</v>
      </c>
      <c r="R652" s="6">
        <f t="shared" si="39"/>
        <v>-130</v>
      </c>
      <c r="S652" s="16">
        <v>46238</v>
      </c>
    </row>
    <row r="653" spans="1:19">
      <c r="A653" s="12">
        <v>46235</v>
      </c>
      <c r="B653" s="7" t="s">
        <v>26</v>
      </c>
      <c r="C653" s="7" t="s">
        <v>6</v>
      </c>
      <c r="D653" s="11"/>
      <c r="E653" s="11">
        <v>141.22</v>
      </c>
      <c r="F653" s="11" t="s">
        <v>132</v>
      </c>
      <c r="G653" s="7" t="s">
        <v>604</v>
      </c>
      <c r="H653" s="10"/>
      <c r="I653" s="9"/>
      <c r="J653" s="7" t="s">
        <v>17</v>
      </c>
      <c r="K653" s="7" t="s">
        <v>136</v>
      </c>
      <c r="L653" s="8"/>
      <c r="M653" s="8" t="str">
        <f>IF(C653="Caixa","-",VLOOKUP(J653,[1]Estrutura!C:E,3,FALSE))</f>
        <v>4.4</v>
      </c>
      <c r="N653" s="8"/>
      <c r="O653" s="7">
        <f t="shared" si="36"/>
        <v>1</v>
      </c>
      <c r="P653" s="7">
        <f t="shared" si="37"/>
        <v>8</v>
      </c>
      <c r="Q653" s="7">
        <f t="shared" si="38"/>
        <v>2026</v>
      </c>
      <c r="R653" s="6">
        <f t="shared" si="39"/>
        <v>-141.22</v>
      </c>
      <c r="S653" s="12">
        <v>46239</v>
      </c>
    </row>
    <row r="654" spans="1:19">
      <c r="A654" s="16">
        <v>46235</v>
      </c>
      <c r="B654" s="24" t="s">
        <v>7</v>
      </c>
      <c r="C654" s="24" t="s">
        <v>9</v>
      </c>
      <c r="D654" s="15"/>
      <c r="E654" s="15">
        <v>100.06</v>
      </c>
      <c r="F654" s="15" t="s">
        <v>198</v>
      </c>
      <c r="G654" s="8" t="s">
        <v>290</v>
      </c>
      <c r="H654" s="14"/>
      <c r="I654" s="13"/>
      <c r="J654" s="8" t="s">
        <v>196</v>
      </c>
      <c r="K654" s="8"/>
      <c r="L654" s="7"/>
      <c r="M654" s="7" t="str">
        <f>IF(C654="Caixa","-",VLOOKUP(J654,[1]Estrutura!C:E,3,FALSE))</f>
        <v>4.3</v>
      </c>
      <c r="N654" s="7"/>
      <c r="O654" s="7">
        <f t="shared" ref="O654:O717" si="40">DAY(A654)</f>
        <v>1</v>
      </c>
      <c r="P654" s="7">
        <f t="shared" ref="P654:P717" si="41">MONTH(A654)</f>
        <v>8</v>
      </c>
      <c r="Q654" s="7">
        <f t="shared" ref="Q654:Q717" si="42">YEAR(A654)</f>
        <v>2026</v>
      </c>
      <c r="R654" s="6">
        <f t="shared" ref="R654:R717" si="43">D654-E654</f>
        <v>-100.06</v>
      </c>
      <c r="S654" s="16">
        <v>46239</v>
      </c>
    </row>
    <row r="655" spans="1:19">
      <c r="A655" s="12">
        <v>46236</v>
      </c>
      <c r="B655" s="7" t="s">
        <v>122</v>
      </c>
      <c r="C655" s="7" t="s">
        <v>6</v>
      </c>
      <c r="D655" s="11">
        <v>30000</v>
      </c>
      <c r="E655" s="11"/>
      <c r="F655" s="11" t="s">
        <v>148</v>
      </c>
      <c r="G655" s="7" t="s">
        <v>129</v>
      </c>
      <c r="H655" s="10"/>
      <c r="I655" s="9"/>
      <c r="J655" s="7" t="s">
        <v>128</v>
      </c>
      <c r="K655" s="7"/>
      <c r="L655" s="8"/>
      <c r="M655" s="8" t="str">
        <f>IF(C655="Caixa","-",VLOOKUP(J655,[1]Estrutura!C:E,3,FALSE))</f>
        <v>9.1</v>
      </c>
      <c r="N655" s="8"/>
      <c r="O655" s="7">
        <f t="shared" si="40"/>
        <v>2</v>
      </c>
      <c r="P655" s="7">
        <f t="shared" si="41"/>
        <v>8</v>
      </c>
      <c r="Q655" s="7">
        <f t="shared" si="42"/>
        <v>2026</v>
      </c>
      <c r="R655" s="6">
        <f t="shared" si="43"/>
        <v>30000</v>
      </c>
      <c r="S655" s="12">
        <v>46239</v>
      </c>
    </row>
    <row r="656" spans="1:19">
      <c r="A656" s="16">
        <v>46236</v>
      </c>
      <c r="B656" s="8" t="s">
        <v>14</v>
      </c>
      <c r="C656" s="7" t="s">
        <v>9</v>
      </c>
      <c r="D656" s="15">
        <v>3450</v>
      </c>
      <c r="E656" s="15"/>
      <c r="F656" s="15"/>
      <c r="G656" s="8" t="s">
        <v>11</v>
      </c>
      <c r="H656" s="8"/>
      <c r="I656" s="17"/>
      <c r="J656" s="8" t="s">
        <v>10</v>
      </c>
      <c r="K656" s="8"/>
      <c r="L656" s="7"/>
      <c r="M656" s="7" t="str">
        <f>IF(C656="Caixa","-",VLOOKUP(J656,[1]Estrutura!C:E,3,FALSE))</f>
        <v>1.1</v>
      </c>
      <c r="N656" s="7"/>
      <c r="O656" s="7">
        <f t="shared" si="40"/>
        <v>2</v>
      </c>
      <c r="P656" s="7">
        <f t="shared" si="41"/>
        <v>8</v>
      </c>
      <c r="Q656" s="7">
        <f t="shared" si="42"/>
        <v>2026</v>
      </c>
      <c r="R656" s="6">
        <f t="shared" si="43"/>
        <v>3450</v>
      </c>
      <c r="S656" s="16">
        <v>46239</v>
      </c>
    </row>
    <row r="657" spans="1:19">
      <c r="A657" s="16">
        <v>46236</v>
      </c>
      <c r="B657" s="7" t="s">
        <v>7</v>
      </c>
      <c r="C657" s="7" t="s">
        <v>9</v>
      </c>
      <c r="D657" s="15">
        <v>1194.29</v>
      </c>
      <c r="E657" s="15"/>
      <c r="F657" s="15"/>
      <c r="G657" s="8" t="s">
        <v>11</v>
      </c>
      <c r="H657" s="8"/>
      <c r="I657" s="17"/>
      <c r="J657" s="8" t="s">
        <v>10</v>
      </c>
      <c r="K657" s="8"/>
      <c r="L657" s="8"/>
      <c r="M657" s="8" t="str">
        <f>IF(C657="Caixa","-",VLOOKUP(J657,[1]Estrutura!C:E,3,FALSE))</f>
        <v>1.1</v>
      </c>
      <c r="N657" s="8"/>
      <c r="O657" s="7">
        <f t="shared" si="40"/>
        <v>2</v>
      </c>
      <c r="P657" s="7">
        <f t="shared" si="41"/>
        <v>8</v>
      </c>
      <c r="Q657" s="7">
        <f t="shared" si="42"/>
        <v>2026</v>
      </c>
      <c r="R657" s="6">
        <f t="shared" si="43"/>
        <v>1194.29</v>
      </c>
      <c r="S657" s="12">
        <v>46239</v>
      </c>
    </row>
    <row r="658" spans="1:19">
      <c r="A658" s="12">
        <v>46236</v>
      </c>
      <c r="B658" s="8" t="s">
        <v>7</v>
      </c>
      <c r="C658" s="8" t="s">
        <v>9</v>
      </c>
      <c r="D658" s="15"/>
      <c r="E658" s="15">
        <v>30000</v>
      </c>
      <c r="F658" s="15" t="s">
        <v>130</v>
      </c>
      <c r="G658" s="8" t="s">
        <v>129</v>
      </c>
      <c r="H658" s="14"/>
      <c r="I658" s="13"/>
      <c r="J658" s="8" t="s">
        <v>128</v>
      </c>
      <c r="K658" s="8"/>
      <c r="L658" s="7"/>
      <c r="M658" s="7" t="str">
        <f>IF(C658="Caixa","-",VLOOKUP(J658,[1]Estrutura!C:E,3,FALSE))</f>
        <v>9.1</v>
      </c>
      <c r="N658" s="7"/>
      <c r="O658" s="7">
        <f t="shared" si="40"/>
        <v>2</v>
      </c>
      <c r="P658" s="7">
        <f t="shared" si="41"/>
        <v>8</v>
      </c>
      <c r="Q658" s="7">
        <f t="shared" si="42"/>
        <v>2026</v>
      </c>
      <c r="R658" s="6">
        <f t="shared" si="43"/>
        <v>-30000</v>
      </c>
      <c r="S658" s="16">
        <v>46239</v>
      </c>
    </row>
    <row r="659" spans="1:19">
      <c r="A659" s="16">
        <v>46237</v>
      </c>
      <c r="B659" s="8" t="s">
        <v>14</v>
      </c>
      <c r="C659" s="7" t="s">
        <v>9</v>
      </c>
      <c r="D659" s="15">
        <v>1593.26</v>
      </c>
      <c r="E659" s="15"/>
      <c r="F659" s="15"/>
      <c r="G659" s="8" t="s">
        <v>11</v>
      </c>
      <c r="H659" s="8"/>
      <c r="I659" s="17"/>
      <c r="J659" s="8" t="s">
        <v>10</v>
      </c>
      <c r="K659" s="8"/>
      <c r="L659" s="8"/>
      <c r="M659" s="8" t="str">
        <f>IF(C659="Caixa","-",VLOOKUP(J659,[1]Estrutura!C:E,3,FALSE))</f>
        <v>1.1</v>
      </c>
      <c r="N659" s="8"/>
      <c r="O659" s="7">
        <f t="shared" si="40"/>
        <v>3</v>
      </c>
      <c r="P659" s="7">
        <f t="shared" si="41"/>
        <v>8</v>
      </c>
      <c r="Q659" s="7">
        <f t="shared" si="42"/>
        <v>2026</v>
      </c>
      <c r="R659" s="6">
        <f t="shared" si="43"/>
        <v>1593.26</v>
      </c>
      <c r="S659" s="12">
        <v>46239</v>
      </c>
    </row>
    <row r="660" spans="1:19">
      <c r="A660" s="16">
        <v>46237</v>
      </c>
      <c r="B660" s="7" t="s">
        <v>7</v>
      </c>
      <c r="C660" s="7" t="s">
        <v>9</v>
      </c>
      <c r="D660" s="15">
        <v>1142.57</v>
      </c>
      <c r="E660" s="15"/>
      <c r="F660" s="15"/>
      <c r="G660" s="8" t="s">
        <v>11</v>
      </c>
      <c r="H660" s="8"/>
      <c r="I660" s="17"/>
      <c r="J660" s="8" t="s">
        <v>10</v>
      </c>
      <c r="K660" s="8"/>
      <c r="L660" s="7"/>
      <c r="M660" s="7" t="str">
        <f>IF(C660="Caixa","-",VLOOKUP(J660,[1]Estrutura!C:E,3,FALSE))</f>
        <v>1.1</v>
      </c>
      <c r="N660" s="7"/>
      <c r="O660" s="7">
        <f t="shared" si="40"/>
        <v>3</v>
      </c>
      <c r="P660" s="7">
        <f t="shared" si="41"/>
        <v>8</v>
      </c>
      <c r="Q660" s="7">
        <f t="shared" si="42"/>
        <v>2026</v>
      </c>
      <c r="R660" s="6">
        <f t="shared" si="43"/>
        <v>1142.57</v>
      </c>
      <c r="S660" s="16">
        <v>46239</v>
      </c>
    </row>
    <row r="661" spans="1:19">
      <c r="A661" s="12">
        <v>46238</v>
      </c>
      <c r="B661" s="7" t="s">
        <v>14</v>
      </c>
      <c r="C661" s="7" t="s">
        <v>9</v>
      </c>
      <c r="D661" s="11">
        <v>150000</v>
      </c>
      <c r="E661" s="11"/>
      <c r="F661" s="11" t="s">
        <v>148</v>
      </c>
      <c r="G661" s="8" t="s">
        <v>129</v>
      </c>
      <c r="H661" s="10"/>
      <c r="I661" s="9"/>
      <c r="J661" s="7" t="s">
        <v>128</v>
      </c>
      <c r="K661" s="7"/>
      <c r="L661" s="8"/>
      <c r="M661" s="8" t="str">
        <f>IF(C661="Caixa","-",VLOOKUP(J661,[1]Estrutura!C:E,3,FALSE))</f>
        <v>9.1</v>
      </c>
      <c r="N661" s="8"/>
      <c r="O661" s="7">
        <f t="shared" si="40"/>
        <v>4</v>
      </c>
      <c r="P661" s="7">
        <f t="shared" si="41"/>
        <v>8</v>
      </c>
      <c r="Q661" s="7">
        <f t="shared" si="42"/>
        <v>2026</v>
      </c>
      <c r="R661" s="6">
        <f t="shared" si="43"/>
        <v>150000</v>
      </c>
      <c r="S661" s="12">
        <v>46239</v>
      </c>
    </row>
    <row r="662" spans="1:19">
      <c r="A662" s="16">
        <v>46238</v>
      </c>
      <c r="B662" s="8" t="s">
        <v>14</v>
      </c>
      <c r="C662" s="8" t="s">
        <v>9</v>
      </c>
      <c r="D662" s="15"/>
      <c r="E662" s="15">
        <v>660.7</v>
      </c>
      <c r="F662" s="15" t="s">
        <v>138</v>
      </c>
      <c r="G662" s="8" t="s">
        <v>603</v>
      </c>
      <c r="H662" s="14"/>
      <c r="I662" s="13"/>
      <c r="J662" s="8" t="s">
        <v>17</v>
      </c>
      <c r="K662" s="8"/>
      <c r="L662" s="7"/>
      <c r="M662" s="7" t="str">
        <f>IF(C662="Caixa","-",VLOOKUP(J662,[1]Estrutura!C:E,3,FALSE))</f>
        <v>4.4</v>
      </c>
      <c r="N662" s="7"/>
      <c r="O662" s="7">
        <f t="shared" si="40"/>
        <v>4</v>
      </c>
      <c r="P662" s="7">
        <f t="shared" si="41"/>
        <v>8</v>
      </c>
      <c r="Q662" s="7">
        <f t="shared" si="42"/>
        <v>2026</v>
      </c>
      <c r="R662" s="6">
        <f t="shared" si="43"/>
        <v>-660.7</v>
      </c>
      <c r="S662" s="16">
        <v>46239</v>
      </c>
    </row>
    <row r="663" spans="1:19">
      <c r="A663" s="12">
        <v>46238</v>
      </c>
      <c r="B663" s="7" t="s">
        <v>14</v>
      </c>
      <c r="C663" s="7" t="s">
        <v>9</v>
      </c>
      <c r="D663" s="11"/>
      <c r="E663" s="11">
        <v>100000</v>
      </c>
      <c r="F663" s="11" t="s">
        <v>138</v>
      </c>
      <c r="G663" s="8" t="s">
        <v>129</v>
      </c>
      <c r="H663" s="10"/>
      <c r="I663" s="9"/>
      <c r="J663" s="7" t="s">
        <v>128</v>
      </c>
      <c r="K663" s="7"/>
      <c r="L663" s="8"/>
      <c r="M663" s="8" t="str">
        <f>IF(C663="Caixa","-",VLOOKUP(J663,[1]Estrutura!C:E,3,FALSE))</f>
        <v>9.1</v>
      </c>
      <c r="N663" s="8"/>
      <c r="O663" s="7">
        <f t="shared" si="40"/>
        <v>4</v>
      </c>
      <c r="P663" s="7">
        <f t="shared" si="41"/>
        <v>8</v>
      </c>
      <c r="Q663" s="7">
        <f t="shared" si="42"/>
        <v>2026</v>
      </c>
      <c r="R663" s="6">
        <f t="shared" si="43"/>
        <v>-100000</v>
      </c>
      <c r="S663" s="12">
        <v>46239</v>
      </c>
    </row>
    <row r="664" spans="1:19">
      <c r="A664" s="16">
        <v>46238</v>
      </c>
      <c r="B664" s="8" t="s">
        <v>26</v>
      </c>
      <c r="C664" s="8" t="s">
        <v>25</v>
      </c>
      <c r="D664" s="15"/>
      <c r="E664" s="15">
        <v>86.8</v>
      </c>
      <c r="F664" s="15"/>
      <c r="G664" s="8" t="s">
        <v>200</v>
      </c>
      <c r="H664" s="14"/>
      <c r="I664" s="13"/>
      <c r="J664" s="8" t="s">
        <v>4</v>
      </c>
      <c r="K664" s="8" t="s">
        <v>21</v>
      </c>
      <c r="L664" s="7"/>
      <c r="M664" s="7" t="str">
        <f>IF(C664="Caixa","-",VLOOKUP(J664,[1]Estrutura!C:E,3,FALSE))</f>
        <v>5.2</v>
      </c>
      <c r="N664" s="7"/>
      <c r="O664" s="7">
        <f t="shared" si="40"/>
        <v>4</v>
      </c>
      <c r="P664" s="7">
        <f t="shared" si="41"/>
        <v>8</v>
      </c>
      <c r="Q664" s="7">
        <f t="shared" si="42"/>
        <v>2026</v>
      </c>
      <c r="R664" s="6">
        <f t="shared" si="43"/>
        <v>-86.8</v>
      </c>
      <c r="S664" s="16">
        <v>46239</v>
      </c>
    </row>
    <row r="665" spans="1:19">
      <c r="A665" s="16">
        <v>46238</v>
      </c>
      <c r="B665" s="8" t="s">
        <v>7</v>
      </c>
      <c r="C665" s="8" t="s">
        <v>9</v>
      </c>
      <c r="D665" s="15"/>
      <c r="E665" s="11">
        <v>150000</v>
      </c>
      <c r="F665" s="15" t="s">
        <v>157</v>
      </c>
      <c r="G665" s="8" t="s">
        <v>129</v>
      </c>
      <c r="H665" s="14"/>
      <c r="I665" s="13"/>
      <c r="J665" s="8" t="s">
        <v>128</v>
      </c>
      <c r="K665" s="8"/>
      <c r="L665" s="8"/>
      <c r="M665" s="8" t="str">
        <f>IF(C665="Caixa","-",VLOOKUP(J665,[1]Estrutura!C:E,3,FALSE))</f>
        <v>9.1</v>
      </c>
      <c r="N665" s="8"/>
      <c r="O665" s="7">
        <f t="shared" si="40"/>
        <v>4</v>
      </c>
      <c r="P665" s="7">
        <f t="shared" si="41"/>
        <v>8</v>
      </c>
      <c r="Q665" s="7">
        <f t="shared" si="42"/>
        <v>2026</v>
      </c>
      <c r="R665" s="6">
        <f t="shared" si="43"/>
        <v>-150000</v>
      </c>
      <c r="S665" s="16">
        <v>46239</v>
      </c>
    </row>
    <row r="666" spans="1:19">
      <c r="A666" s="12">
        <v>46239</v>
      </c>
      <c r="B666" s="7" t="s">
        <v>14</v>
      </c>
      <c r="C666" s="7" t="s">
        <v>9</v>
      </c>
      <c r="D666" s="11">
        <v>978.6</v>
      </c>
      <c r="E666" s="11"/>
      <c r="F666" s="11" t="s">
        <v>157</v>
      </c>
      <c r="G666" s="7" t="s">
        <v>575</v>
      </c>
      <c r="H666" s="10"/>
      <c r="I666" s="9"/>
      <c r="J666" s="7" t="s">
        <v>178</v>
      </c>
      <c r="K666" s="7"/>
      <c r="L666" s="7"/>
      <c r="M666" s="7" t="str">
        <f>IF(C666="Caixa","-",VLOOKUP(J666,[1]Estrutura!C:E,3,FALSE))</f>
        <v>4.1</v>
      </c>
      <c r="N666" s="7"/>
      <c r="O666" s="7">
        <f t="shared" si="40"/>
        <v>5</v>
      </c>
      <c r="P666" s="7">
        <f t="shared" si="41"/>
        <v>8</v>
      </c>
      <c r="Q666" s="7">
        <f t="shared" si="42"/>
        <v>2026</v>
      </c>
      <c r="R666" s="6">
        <f t="shared" si="43"/>
        <v>978.6</v>
      </c>
      <c r="S666" s="16">
        <v>46239</v>
      </c>
    </row>
    <row r="667" spans="1:19">
      <c r="A667" s="16">
        <v>46239</v>
      </c>
      <c r="B667" s="8" t="s">
        <v>14</v>
      </c>
      <c r="C667" s="7" t="s">
        <v>9</v>
      </c>
      <c r="D667" s="15">
        <v>4953</v>
      </c>
      <c r="E667" s="15"/>
      <c r="F667" s="15"/>
      <c r="G667" s="8" t="s">
        <v>11</v>
      </c>
      <c r="H667" s="8"/>
      <c r="I667" s="17"/>
      <c r="J667" s="8" t="s">
        <v>10</v>
      </c>
      <c r="K667" s="8"/>
      <c r="L667" s="8"/>
      <c r="M667" s="8" t="str">
        <f>IF(C667="Caixa","-",VLOOKUP(J667,[1]Estrutura!C:E,3,FALSE))</f>
        <v>1.1</v>
      </c>
      <c r="N667" s="8"/>
      <c r="O667" s="7">
        <f t="shared" si="40"/>
        <v>5</v>
      </c>
      <c r="P667" s="7">
        <f t="shared" si="41"/>
        <v>8</v>
      </c>
      <c r="Q667" s="7">
        <f t="shared" si="42"/>
        <v>2026</v>
      </c>
      <c r="R667" s="6">
        <f t="shared" si="43"/>
        <v>4953</v>
      </c>
      <c r="S667" s="12">
        <v>46240</v>
      </c>
    </row>
    <row r="668" spans="1:19">
      <c r="A668" s="12">
        <v>46239</v>
      </c>
      <c r="B668" s="7" t="s">
        <v>14</v>
      </c>
      <c r="C668" s="7" t="s">
        <v>9</v>
      </c>
      <c r="D668" s="11"/>
      <c r="E668" s="11">
        <v>373.47</v>
      </c>
      <c r="F668" s="11" t="s">
        <v>125</v>
      </c>
      <c r="G668" s="7" t="s">
        <v>284</v>
      </c>
      <c r="H668" s="10"/>
      <c r="I668" s="9"/>
      <c r="J668" s="8" t="s">
        <v>99</v>
      </c>
      <c r="K668" s="7"/>
      <c r="L668" s="7"/>
      <c r="M668" s="7" t="str">
        <f>IF(C668="Caixa","-",VLOOKUP(J668,[1]Estrutura!C:E,3,FALSE))</f>
        <v>4.3</v>
      </c>
      <c r="N668" s="7"/>
      <c r="O668" s="7">
        <f t="shared" si="40"/>
        <v>5</v>
      </c>
      <c r="P668" s="7">
        <f t="shared" si="41"/>
        <v>8</v>
      </c>
      <c r="Q668" s="7">
        <f t="shared" si="42"/>
        <v>2026</v>
      </c>
      <c r="R668" s="6">
        <f t="shared" si="43"/>
        <v>-373.47</v>
      </c>
      <c r="S668" s="19">
        <v>46240</v>
      </c>
    </row>
    <row r="669" spans="1:19">
      <c r="A669" s="16">
        <v>46239</v>
      </c>
      <c r="B669" s="8" t="s">
        <v>14</v>
      </c>
      <c r="C669" s="8" t="s">
        <v>9</v>
      </c>
      <c r="D669" s="15"/>
      <c r="E669" s="15">
        <v>978.6</v>
      </c>
      <c r="F669" s="15" t="s">
        <v>178</v>
      </c>
      <c r="G669" s="8" t="s">
        <v>602</v>
      </c>
      <c r="H669" s="14"/>
      <c r="I669" s="13"/>
      <c r="J669" s="8" t="s">
        <v>178</v>
      </c>
      <c r="K669" s="8"/>
      <c r="L669" s="8"/>
      <c r="M669" s="8" t="str">
        <f>IF(C669="Caixa","-",VLOOKUP(J669,[1]Estrutura!C:E,3,FALSE))</f>
        <v>4.1</v>
      </c>
      <c r="N669" s="8"/>
      <c r="O669" s="7">
        <f t="shared" si="40"/>
        <v>5</v>
      </c>
      <c r="P669" s="7">
        <f t="shared" si="41"/>
        <v>8</v>
      </c>
      <c r="Q669" s="7">
        <f t="shared" si="42"/>
        <v>2026</v>
      </c>
      <c r="R669" s="6">
        <f t="shared" si="43"/>
        <v>-978.6</v>
      </c>
      <c r="S669" s="23">
        <v>46241</v>
      </c>
    </row>
    <row r="670" spans="1:19">
      <c r="A670" s="12">
        <v>46239</v>
      </c>
      <c r="B670" s="7" t="s">
        <v>14</v>
      </c>
      <c r="C670" s="7" t="s">
        <v>9</v>
      </c>
      <c r="D670" s="11"/>
      <c r="E670" s="11">
        <v>394.55</v>
      </c>
      <c r="F670" s="11" t="s">
        <v>24</v>
      </c>
      <c r="G670" s="7" t="s">
        <v>501</v>
      </c>
      <c r="H670" s="10"/>
      <c r="I670" s="9"/>
      <c r="J670" s="7" t="s">
        <v>77</v>
      </c>
      <c r="K670" s="7"/>
      <c r="L670" s="7"/>
      <c r="M670" s="7" t="str">
        <f>IF(C670="Caixa","-",VLOOKUP(J670,[1]Estrutura!C:E,3,FALSE))</f>
        <v>4.3</v>
      </c>
      <c r="N670" s="7"/>
      <c r="O670" s="7">
        <f t="shared" si="40"/>
        <v>5</v>
      </c>
      <c r="P670" s="7">
        <f t="shared" si="41"/>
        <v>8</v>
      </c>
      <c r="Q670" s="7">
        <f t="shared" si="42"/>
        <v>2026</v>
      </c>
      <c r="R670" s="6">
        <f t="shared" si="43"/>
        <v>-394.55</v>
      </c>
      <c r="S670" s="16">
        <v>46241</v>
      </c>
    </row>
    <row r="671" spans="1:19">
      <c r="A671" s="16">
        <v>46239</v>
      </c>
      <c r="B671" s="8" t="s">
        <v>14</v>
      </c>
      <c r="C671" s="8" t="s">
        <v>9</v>
      </c>
      <c r="D671" s="15"/>
      <c r="E671" s="15">
        <v>204.44</v>
      </c>
      <c r="F671" s="15" t="s">
        <v>194</v>
      </c>
      <c r="G671" s="8" t="s">
        <v>601</v>
      </c>
      <c r="H671" s="14"/>
      <c r="I671" s="13"/>
      <c r="J671" s="21" t="s">
        <v>67</v>
      </c>
      <c r="K671" s="8"/>
      <c r="L671" s="8"/>
      <c r="M671" s="8" t="str">
        <f>IF(C671="Caixa","-",VLOOKUP(J671,[1]Estrutura!C:E,3,FALSE))</f>
        <v>4.5</v>
      </c>
      <c r="N671" s="8"/>
      <c r="O671" s="7">
        <f t="shared" si="40"/>
        <v>5</v>
      </c>
      <c r="P671" s="7">
        <f t="shared" si="41"/>
        <v>8</v>
      </c>
      <c r="Q671" s="7">
        <f t="shared" si="42"/>
        <v>2026</v>
      </c>
      <c r="R671" s="6">
        <f t="shared" si="43"/>
        <v>-204.44</v>
      </c>
      <c r="S671" s="16">
        <v>46242</v>
      </c>
    </row>
    <row r="672" spans="1:19">
      <c r="A672" s="12">
        <v>46239</v>
      </c>
      <c r="B672" s="7" t="s">
        <v>26</v>
      </c>
      <c r="C672" s="7" t="s">
        <v>25</v>
      </c>
      <c r="D672" s="38">
        <v>1518</v>
      </c>
      <c r="E672" s="11"/>
      <c r="F672" s="11" t="s">
        <v>95</v>
      </c>
      <c r="G672" s="7" t="s">
        <v>205</v>
      </c>
      <c r="H672" s="10"/>
      <c r="I672" s="9"/>
      <c r="J672" s="7" t="s">
        <v>107</v>
      </c>
      <c r="K672" s="7" t="s">
        <v>21</v>
      </c>
      <c r="L672" s="7"/>
      <c r="M672" s="7" t="str">
        <f>IF(C672="Caixa","-",VLOOKUP(J672,[1]Estrutura!C:E,3,FALSE))</f>
        <v>1.4</v>
      </c>
      <c r="N672" s="7"/>
      <c r="O672" s="7">
        <f t="shared" si="40"/>
        <v>5</v>
      </c>
      <c r="P672" s="7">
        <f t="shared" si="41"/>
        <v>8</v>
      </c>
      <c r="Q672" s="7">
        <f t="shared" si="42"/>
        <v>2026</v>
      </c>
      <c r="R672" s="6">
        <f t="shared" si="43"/>
        <v>1518</v>
      </c>
      <c r="S672" s="12">
        <v>46242</v>
      </c>
    </row>
    <row r="673" spans="1:19">
      <c r="A673" s="12">
        <v>46239</v>
      </c>
      <c r="B673" s="7" t="s">
        <v>26</v>
      </c>
      <c r="C673" s="7" t="s">
        <v>25</v>
      </c>
      <c r="D673" s="33">
        <v>6920.56</v>
      </c>
      <c r="E673" s="11"/>
      <c r="F673" s="11" t="s">
        <v>95</v>
      </c>
      <c r="G673" s="49" t="s">
        <v>204</v>
      </c>
      <c r="H673" s="10"/>
      <c r="I673" s="9"/>
      <c r="J673" s="7" t="s">
        <v>107</v>
      </c>
      <c r="K673" s="7" t="s">
        <v>21</v>
      </c>
      <c r="L673" s="8"/>
      <c r="M673" s="8" t="str">
        <f>IF(C673="Caixa","-",VLOOKUP(J673,[1]Estrutura!C:E,3,FALSE))</f>
        <v>1.4</v>
      </c>
      <c r="N673" s="8"/>
      <c r="O673" s="7">
        <f t="shared" si="40"/>
        <v>5</v>
      </c>
      <c r="P673" s="7">
        <f t="shared" si="41"/>
        <v>8</v>
      </c>
      <c r="Q673" s="7">
        <f t="shared" si="42"/>
        <v>2026</v>
      </c>
      <c r="R673" s="6">
        <f t="shared" si="43"/>
        <v>6920.56</v>
      </c>
      <c r="S673" s="16">
        <v>46242</v>
      </c>
    </row>
    <row r="674" spans="1:19">
      <c r="A674" s="16">
        <v>46239</v>
      </c>
      <c r="B674" s="8" t="s">
        <v>26</v>
      </c>
      <c r="C674" s="8" t="s">
        <v>6</v>
      </c>
      <c r="D674" s="15"/>
      <c r="E674" s="15">
        <v>950</v>
      </c>
      <c r="F674" s="15" t="s">
        <v>494</v>
      </c>
      <c r="G674" s="8" t="s">
        <v>600</v>
      </c>
      <c r="H674" s="14"/>
      <c r="I674" s="13"/>
      <c r="J674" s="8" t="s">
        <v>17</v>
      </c>
      <c r="K674" s="8" t="s">
        <v>40</v>
      </c>
      <c r="L674" s="7"/>
      <c r="M674" s="7" t="str">
        <f>IF(C674="Caixa","-",VLOOKUP(J674,[1]Estrutura!C:E,3,FALSE))</f>
        <v>4.4</v>
      </c>
      <c r="N674" s="7"/>
      <c r="O674" s="7">
        <f t="shared" si="40"/>
        <v>5</v>
      </c>
      <c r="P674" s="7">
        <f t="shared" si="41"/>
        <v>8</v>
      </c>
      <c r="Q674" s="7">
        <f t="shared" si="42"/>
        <v>2026</v>
      </c>
      <c r="R674" s="6">
        <f t="shared" si="43"/>
        <v>-950</v>
      </c>
      <c r="S674" s="19">
        <v>46242</v>
      </c>
    </row>
    <row r="675" spans="1:19">
      <c r="A675" s="12">
        <v>46239</v>
      </c>
      <c r="B675" s="7" t="s">
        <v>26</v>
      </c>
      <c r="C675" s="7" t="s">
        <v>25</v>
      </c>
      <c r="D675" s="11"/>
      <c r="E675" s="11">
        <v>5000</v>
      </c>
      <c r="F675" s="11" t="s">
        <v>76</v>
      </c>
      <c r="G675" s="7" t="s">
        <v>307</v>
      </c>
      <c r="H675" s="10">
        <v>9928</v>
      </c>
      <c r="I675" s="9"/>
      <c r="J675" s="7" t="s">
        <v>17</v>
      </c>
      <c r="K675" s="7" t="s">
        <v>21</v>
      </c>
      <c r="L675" s="8"/>
      <c r="M675" s="8" t="str">
        <f>IF(C675="Caixa","-",VLOOKUP(J675,[1]Estrutura!C:E,3,FALSE))</f>
        <v>4.4</v>
      </c>
      <c r="N675" s="8"/>
      <c r="O675" s="7">
        <f t="shared" si="40"/>
        <v>5</v>
      </c>
      <c r="P675" s="7">
        <f t="shared" si="41"/>
        <v>8</v>
      </c>
      <c r="Q675" s="7">
        <f t="shared" si="42"/>
        <v>2026</v>
      </c>
      <c r="R675" s="6">
        <f t="shared" si="43"/>
        <v>-5000</v>
      </c>
      <c r="S675" s="16">
        <v>46244</v>
      </c>
    </row>
    <row r="676" spans="1:19">
      <c r="A676" s="16">
        <v>46239</v>
      </c>
      <c r="B676" s="24" t="s">
        <v>26</v>
      </c>
      <c r="C676" s="24" t="s">
        <v>6</v>
      </c>
      <c r="D676" s="15"/>
      <c r="E676" s="15">
        <v>3732</v>
      </c>
      <c r="F676" s="15" t="s">
        <v>582</v>
      </c>
      <c r="G676" s="8" t="s">
        <v>581</v>
      </c>
      <c r="H676" s="14"/>
      <c r="I676" s="13"/>
      <c r="J676" s="8" t="s">
        <v>52</v>
      </c>
      <c r="K676" s="8" t="s">
        <v>34</v>
      </c>
      <c r="L676" s="7"/>
      <c r="M676" s="7" t="str">
        <f>IF(C676="Caixa","-",VLOOKUP(J676,[1]Estrutura!C:E,3,FALSE))</f>
        <v>4.2</v>
      </c>
      <c r="N676" s="7"/>
      <c r="O676" s="7">
        <f t="shared" si="40"/>
        <v>5</v>
      </c>
      <c r="P676" s="7">
        <f t="shared" si="41"/>
        <v>8</v>
      </c>
      <c r="Q676" s="7">
        <f t="shared" si="42"/>
        <v>2026</v>
      </c>
      <c r="R676" s="6">
        <f t="shared" si="43"/>
        <v>-3732</v>
      </c>
      <c r="S676" s="12">
        <v>46244</v>
      </c>
    </row>
    <row r="677" spans="1:19">
      <c r="A677" s="16">
        <v>46239</v>
      </c>
      <c r="B677" s="7" t="s">
        <v>7</v>
      </c>
      <c r="C677" s="7" t="s">
        <v>9</v>
      </c>
      <c r="D677" s="15">
        <v>1386.9</v>
      </c>
      <c r="E677" s="15"/>
      <c r="F677" s="15"/>
      <c r="G677" s="8" t="s">
        <v>11</v>
      </c>
      <c r="H677" s="8"/>
      <c r="I677" s="17"/>
      <c r="J677" s="8" t="s">
        <v>10</v>
      </c>
      <c r="K677" s="8"/>
      <c r="L677" s="8"/>
      <c r="M677" s="8" t="str">
        <f>IF(C677="Caixa","-",VLOOKUP(J677,[1]Estrutura!C:E,3,FALSE))</f>
        <v>1.1</v>
      </c>
      <c r="N677" s="8"/>
      <c r="O677" s="7">
        <f t="shared" si="40"/>
        <v>5</v>
      </c>
      <c r="P677" s="7">
        <f t="shared" si="41"/>
        <v>8</v>
      </c>
      <c r="Q677" s="7">
        <f t="shared" si="42"/>
        <v>2026</v>
      </c>
      <c r="R677" s="6">
        <f t="shared" si="43"/>
        <v>1386.9</v>
      </c>
      <c r="S677" s="16">
        <v>46244</v>
      </c>
    </row>
    <row r="678" spans="1:19">
      <c r="A678" s="16">
        <v>46239</v>
      </c>
      <c r="B678" s="8" t="s">
        <v>7</v>
      </c>
      <c r="C678" s="8" t="s">
        <v>9</v>
      </c>
      <c r="D678" s="15"/>
      <c r="E678" s="15">
        <v>946.67</v>
      </c>
      <c r="F678" s="15" t="s">
        <v>280</v>
      </c>
      <c r="G678" s="8" t="s">
        <v>279</v>
      </c>
      <c r="H678" s="14"/>
      <c r="I678" s="13"/>
      <c r="J678" s="8" t="s">
        <v>27</v>
      </c>
      <c r="K678" s="8"/>
      <c r="L678" s="7"/>
      <c r="M678" s="7" t="str">
        <f>IF(C678="Caixa","-",VLOOKUP(J678,[1]Estrutura!C:E,3,FALSE))</f>
        <v>7.3</v>
      </c>
      <c r="N678" s="7"/>
      <c r="O678" s="7">
        <f t="shared" si="40"/>
        <v>5</v>
      </c>
      <c r="P678" s="7">
        <f t="shared" si="41"/>
        <v>8</v>
      </c>
      <c r="Q678" s="7">
        <f t="shared" si="42"/>
        <v>2026</v>
      </c>
      <c r="R678" s="6">
        <f t="shared" si="43"/>
        <v>-946.67</v>
      </c>
      <c r="S678" s="16">
        <v>46244</v>
      </c>
    </row>
    <row r="679" spans="1:19">
      <c r="A679" s="12">
        <v>46240</v>
      </c>
      <c r="B679" s="7" t="s">
        <v>14</v>
      </c>
      <c r="C679" s="7" t="s">
        <v>9</v>
      </c>
      <c r="D679" s="11">
        <v>9751.4500000000007</v>
      </c>
      <c r="E679" s="11"/>
      <c r="F679" s="11" t="s">
        <v>181</v>
      </c>
      <c r="G679" s="7" t="s">
        <v>180</v>
      </c>
      <c r="H679" s="10"/>
      <c r="I679" s="9"/>
      <c r="J679" s="7" t="s">
        <v>179</v>
      </c>
      <c r="K679" s="7"/>
      <c r="L679" s="8"/>
      <c r="M679" s="8" t="str">
        <f>IF(C679="Caixa","-",VLOOKUP(J679,[1]Estrutura!C:E,3,FALSE))</f>
        <v>1.2</v>
      </c>
      <c r="N679" s="8"/>
      <c r="O679" s="7">
        <f t="shared" si="40"/>
        <v>6</v>
      </c>
      <c r="P679" s="7">
        <f t="shared" si="41"/>
        <v>8</v>
      </c>
      <c r="Q679" s="7">
        <f t="shared" si="42"/>
        <v>2026</v>
      </c>
      <c r="R679" s="6">
        <f t="shared" si="43"/>
        <v>9751.4500000000007</v>
      </c>
      <c r="S679" s="16">
        <v>46245</v>
      </c>
    </row>
    <row r="680" spans="1:19">
      <c r="A680" s="19">
        <v>46240</v>
      </c>
      <c r="B680" s="7" t="s">
        <v>7</v>
      </c>
      <c r="C680" s="7" t="s">
        <v>9</v>
      </c>
      <c r="D680" s="15">
        <v>5732.3399999999992</v>
      </c>
      <c r="E680" s="15"/>
      <c r="F680" s="15"/>
      <c r="G680" s="8" t="s">
        <v>11</v>
      </c>
      <c r="H680" s="8"/>
      <c r="I680" s="17"/>
      <c r="J680" s="8" t="s">
        <v>10</v>
      </c>
      <c r="K680" s="8"/>
      <c r="L680" s="7"/>
      <c r="M680" s="7" t="str">
        <f>IF(C680="Caixa","-",VLOOKUP(J680,[1]Estrutura!C:E,3,FALSE))</f>
        <v>1.1</v>
      </c>
      <c r="N680" s="7"/>
      <c r="O680" s="7">
        <f t="shared" si="40"/>
        <v>6</v>
      </c>
      <c r="P680" s="7">
        <f t="shared" si="41"/>
        <v>8</v>
      </c>
      <c r="Q680" s="7">
        <f t="shared" si="42"/>
        <v>2026</v>
      </c>
      <c r="R680" s="6">
        <f t="shared" si="43"/>
        <v>5732.3399999999992</v>
      </c>
      <c r="S680" s="16">
        <v>46245</v>
      </c>
    </row>
    <row r="681" spans="1:19">
      <c r="A681" s="23">
        <v>46241</v>
      </c>
      <c r="B681" s="18" t="s">
        <v>14</v>
      </c>
      <c r="C681" s="18" t="s">
        <v>9</v>
      </c>
      <c r="D681" s="11"/>
      <c r="E681" s="11">
        <v>726.58</v>
      </c>
      <c r="F681" s="11"/>
      <c r="G681" s="18" t="s">
        <v>599</v>
      </c>
      <c r="H681" s="10"/>
      <c r="I681" s="22"/>
      <c r="J681" s="7" t="s">
        <v>95</v>
      </c>
      <c r="K681" s="18"/>
      <c r="L681" s="8"/>
      <c r="M681" s="8" t="str">
        <f>IF(C681="Caixa","-",VLOOKUP(J681,[1]Estrutura!C:E,3,FALSE))</f>
        <v>4.1</v>
      </c>
      <c r="N681" s="8"/>
      <c r="O681" s="7">
        <f t="shared" si="40"/>
        <v>7</v>
      </c>
      <c r="P681" s="7">
        <f t="shared" si="41"/>
        <v>8</v>
      </c>
      <c r="Q681" s="7">
        <f t="shared" si="42"/>
        <v>2026</v>
      </c>
      <c r="R681" s="6">
        <f t="shared" si="43"/>
        <v>-726.58</v>
      </c>
      <c r="S681" s="12">
        <v>46245</v>
      </c>
    </row>
    <row r="682" spans="1:19">
      <c r="A682" s="16">
        <v>46241</v>
      </c>
      <c r="B682" s="7" t="s">
        <v>7</v>
      </c>
      <c r="C682" s="7" t="s">
        <v>9</v>
      </c>
      <c r="D682" s="15">
        <v>1248.33</v>
      </c>
      <c r="E682" s="15"/>
      <c r="F682" s="15"/>
      <c r="G682" s="8" t="s">
        <v>11</v>
      </c>
      <c r="H682" s="8"/>
      <c r="I682" s="17"/>
      <c r="J682" s="8" t="s">
        <v>10</v>
      </c>
      <c r="K682" s="8"/>
      <c r="L682" s="7"/>
      <c r="M682" s="7" t="str">
        <f>IF(C682="Caixa","-",VLOOKUP(J682,[1]Estrutura!C:E,3,FALSE))</f>
        <v>1.1</v>
      </c>
      <c r="N682" s="7"/>
      <c r="O682" s="7">
        <f t="shared" si="40"/>
        <v>7</v>
      </c>
      <c r="P682" s="7">
        <f t="shared" si="41"/>
        <v>8</v>
      </c>
      <c r="Q682" s="7">
        <f t="shared" si="42"/>
        <v>2026</v>
      </c>
      <c r="R682" s="6">
        <f t="shared" si="43"/>
        <v>1248.33</v>
      </c>
      <c r="S682" s="12">
        <v>46245</v>
      </c>
    </row>
    <row r="683" spans="1:19">
      <c r="A683" s="16">
        <v>46242</v>
      </c>
      <c r="B683" s="8" t="s">
        <v>14</v>
      </c>
      <c r="C683" s="7" t="s">
        <v>9</v>
      </c>
      <c r="D683" s="15">
        <v>1273.52</v>
      </c>
      <c r="E683" s="15"/>
      <c r="F683" s="15"/>
      <c r="G683" s="8" t="s">
        <v>11</v>
      </c>
      <c r="H683" s="8"/>
      <c r="I683" s="17"/>
      <c r="J683" s="8" t="s">
        <v>10</v>
      </c>
      <c r="K683" s="8"/>
      <c r="L683" s="8"/>
      <c r="M683" s="8" t="str">
        <f>IF(C683="Caixa","-",VLOOKUP(J683,[1]Estrutura!C:E,3,FALSE))</f>
        <v>1.1</v>
      </c>
      <c r="N683" s="8"/>
      <c r="O683" s="7">
        <f t="shared" si="40"/>
        <v>8</v>
      </c>
      <c r="P683" s="7">
        <f t="shared" si="41"/>
        <v>8</v>
      </c>
      <c r="Q683" s="7">
        <f t="shared" si="42"/>
        <v>2026</v>
      </c>
      <c r="R683" s="6">
        <f t="shared" si="43"/>
        <v>1273.52</v>
      </c>
      <c r="S683" s="16">
        <v>46245</v>
      </c>
    </row>
    <row r="684" spans="1:19">
      <c r="A684" s="12">
        <v>46242</v>
      </c>
      <c r="B684" s="7" t="s">
        <v>14</v>
      </c>
      <c r="C684" s="7" t="s">
        <v>25</v>
      </c>
      <c r="D684" s="11"/>
      <c r="E684" s="11">
        <v>394.55</v>
      </c>
      <c r="F684" s="11" t="s">
        <v>24</v>
      </c>
      <c r="G684" s="7" t="s">
        <v>501</v>
      </c>
      <c r="H684" s="10"/>
      <c r="I684" s="9"/>
      <c r="J684" s="7" t="s">
        <v>77</v>
      </c>
      <c r="K684" s="7"/>
      <c r="L684" s="7"/>
      <c r="M684" s="7" t="str">
        <f>IF(C684="Caixa","-",VLOOKUP(J684,[1]Estrutura!C:E,3,FALSE))</f>
        <v>4.3</v>
      </c>
      <c r="N684" s="7"/>
      <c r="O684" s="7">
        <f t="shared" si="40"/>
        <v>8</v>
      </c>
      <c r="P684" s="7">
        <f t="shared" si="41"/>
        <v>8</v>
      </c>
      <c r="Q684" s="7">
        <f t="shared" si="42"/>
        <v>2026</v>
      </c>
      <c r="R684" s="6">
        <f t="shared" si="43"/>
        <v>-394.55</v>
      </c>
      <c r="S684" s="12">
        <v>46245</v>
      </c>
    </row>
    <row r="685" spans="1:19">
      <c r="A685" s="16">
        <v>46242</v>
      </c>
      <c r="B685" s="8" t="s">
        <v>26</v>
      </c>
      <c r="C685" s="8" t="s">
        <v>25</v>
      </c>
      <c r="D685" s="15"/>
      <c r="E685" s="15">
        <v>633.30999999999995</v>
      </c>
      <c r="F685" s="15" t="s">
        <v>101</v>
      </c>
      <c r="G685" s="8" t="s">
        <v>488</v>
      </c>
      <c r="H685" s="14"/>
      <c r="I685" s="13"/>
      <c r="J685" s="8" t="s">
        <v>99</v>
      </c>
      <c r="K685" s="8" t="s">
        <v>34</v>
      </c>
      <c r="L685" s="8"/>
      <c r="M685" s="8" t="str">
        <f>IF(C685="Caixa","-",VLOOKUP(J685,[1]Estrutura!C:E,3,FALSE))</f>
        <v>4.3</v>
      </c>
      <c r="N685" s="8"/>
      <c r="O685" s="7">
        <f t="shared" si="40"/>
        <v>8</v>
      </c>
      <c r="P685" s="7">
        <f t="shared" si="41"/>
        <v>8</v>
      </c>
      <c r="Q685" s="7">
        <f t="shared" si="42"/>
        <v>2026</v>
      </c>
      <c r="R685" s="6">
        <f t="shared" si="43"/>
        <v>-633.30999999999995</v>
      </c>
      <c r="S685" s="16">
        <v>46245</v>
      </c>
    </row>
    <row r="686" spans="1:19">
      <c r="A686" s="19">
        <v>46242</v>
      </c>
      <c r="B686" s="7" t="s">
        <v>7</v>
      </c>
      <c r="C686" s="7" t="s">
        <v>9</v>
      </c>
      <c r="D686" s="15">
        <v>911.88</v>
      </c>
      <c r="E686" s="15"/>
      <c r="F686" s="15"/>
      <c r="G686" s="8" t="s">
        <v>11</v>
      </c>
      <c r="H686" s="8"/>
      <c r="I686" s="17"/>
      <c r="J686" s="8" t="s">
        <v>10</v>
      </c>
      <c r="K686" s="8"/>
      <c r="L686" s="7"/>
      <c r="M686" s="7" t="str">
        <f>IF(C686="Caixa","-",VLOOKUP(J686,[1]Estrutura!C:E,3,FALSE))</f>
        <v>1.1</v>
      </c>
      <c r="N686" s="7"/>
      <c r="O686" s="7">
        <f t="shared" si="40"/>
        <v>8</v>
      </c>
      <c r="P686" s="7">
        <f t="shared" si="41"/>
        <v>8</v>
      </c>
      <c r="Q686" s="7">
        <f t="shared" si="42"/>
        <v>2026</v>
      </c>
      <c r="R686" s="6">
        <f t="shared" si="43"/>
        <v>911.88</v>
      </c>
      <c r="S686" s="12">
        <v>46245</v>
      </c>
    </row>
    <row r="687" spans="1:19">
      <c r="A687" s="16">
        <v>46244</v>
      </c>
      <c r="B687" s="8" t="s">
        <v>14</v>
      </c>
      <c r="C687" s="7" t="s">
        <v>9</v>
      </c>
      <c r="D687" s="15">
        <v>7478.2</v>
      </c>
      <c r="E687" s="15"/>
      <c r="F687" s="15"/>
      <c r="G687" s="8" t="s">
        <v>11</v>
      </c>
      <c r="H687" s="8"/>
      <c r="I687" s="17"/>
      <c r="J687" s="8" t="s">
        <v>10</v>
      </c>
      <c r="K687" s="8"/>
      <c r="L687" s="8"/>
      <c r="M687" s="8" t="str">
        <f>IF(C687="Caixa","-",VLOOKUP(J687,[1]Estrutura!C:E,3,FALSE))</f>
        <v>1.1</v>
      </c>
      <c r="N687" s="8"/>
      <c r="O687" s="7">
        <f t="shared" si="40"/>
        <v>10</v>
      </c>
      <c r="P687" s="7">
        <f t="shared" si="41"/>
        <v>8</v>
      </c>
      <c r="Q687" s="7">
        <f t="shared" si="42"/>
        <v>2026</v>
      </c>
      <c r="R687" s="6">
        <f t="shared" si="43"/>
        <v>7478.2</v>
      </c>
      <c r="S687" s="16">
        <v>46245</v>
      </c>
    </row>
    <row r="688" spans="1:19">
      <c r="A688" s="12">
        <v>46244</v>
      </c>
      <c r="B688" s="7" t="s">
        <v>14</v>
      </c>
      <c r="C688" s="7" t="s">
        <v>9</v>
      </c>
      <c r="D688" s="11"/>
      <c r="E688" s="11">
        <v>410</v>
      </c>
      <c r="F688" s="11" t="s">
        <v>177</v>
      </c>
      <c r="G688" s="7" t="s">
        <v>176</v>
      </c>
      <c r="H688" s="10"/>
      <c r="I688" s="9"/>
      <c r="J688" s="7" t="s">
        <v>22</v>
      </c>
      <c r="K688" s="7"/>
      <c r="L688" s="7"/>
      <c r="M688" s="7" t="str">
        <f>IF(C688="Caixa","-",VLOOKUP(J688,[1]Estrutura!C:E,3,FALSE))</f>
        <v>4.3</v>
      </c>
      <c r="N688" s="7"/>
      <c r="O688" s="7">
        <f t="shared" si="40"/>
        <v>10</v>
      </c>
      <c r="P688" s="7">
        <f t="shared" si="41"/>
        <v>8</v>
      </c>
      <c r="Q688" s="7">
        <f t="shared" si="42"/>
        <v>2026</v>
      </c>
      <c r="R688" s="6">
        <f t="shared" si="43"/>
        <v>-410</v>
      </c>
      <c r="S688" s="12">
        <v>46245</v>
      </c>
    </row>
    <row r="689" spans="1:19">
      <c r="A689" s="16">
        <v>46244</v>
      </c>
      <c r="B689" s="8" t="s">
        <v>26</v>
      </c>
      <c r="C689" s="8" t="s">
        <v>6</v>
      </c>
      <c r="D689" s="15"/>
      <c r="E689" s="15">
        <v>313.29000000000002</v>
      </c>
      <c r="F689" s="15" t="s">
        <v>161</v>
      </c>
      <c r="G689" s="8" t="s">
        <v>160</v>
      </c>
      <c r="H689" s="14"/>
      <c r="I689" s="13"/>
      <c r="J689" s="7" t="s">
        <v>35</v>
      </c>
      <c r="K689" s="8" t="s">
        <v>21</v>
      </c>
      <c r="L689" s="8"/>
      <c r="M689" s="8" t="str">
        <f>IF(C689="Caixa","-",VLOOKUP(J689,[1]Estrutura!C:E,3,FALSE))</f>
        <v>4.1</v>
      </c>
      <c r="N689" s="8"/>
      <c r="O689" s="7">
        <f t="shared" si="40"/>
        <v>10</v>
      </c>
      <c r="P689" s="7">
        <f t="shared" si="41"/>
        <v>8</v>
      </c>
      <c r="Q689" s="7">
        <f t="shared" si="42"/>
        <v>2026</v>
      </c>
      <c r="R689" s="6">
        <f t="shared" si="43"/>
        <v>-313.29000000000002</v>
      </c>
      <c r="S689" s="16">
        <v>46245</v>
      </c>
    </row>
    <row r="690" spans="1:19">
      <c r="A690" s="16">
        <v>46244</v>
      </c>
      <c r="B690" s="7" t="s">
        <v>7</v>
      </c>
      <c r="C690" s="7" t="s">
        <v>9</v>
      </c>
      <c r="D690" s="15">
        <v>11926.24</v>
      </c>
      <c r="E690" s="15"/>
      <c r="F690" s="15"/>
      <c r="G690" s="8" t="s">
        <v>11</v>
      </c>
      <c r="H690" s="8"/>
      <c r="I690" s="17"/>
      <c r="J690" s="8" t="s">
        <v>10</v>
      </c>
      <c r="K690" s="8"/>
      <c r="L690" s="7"/>
      <c r="M690" s="7" t="str">
        <f>IF(C690="Caixa","-",VLOOKUP(J690,[1]Estrutura!C:E,3,FALSE))</f>
        <v>1.1</v>
      </c>
      <c r="N690" s="7"/>
      <c r="O690" s="7">
        <f t="shared" si="40"/>
        <v>10</v>
      </c>
      <c r="P690" s="7">
        <f t="shared" si="41"/>
        <v>8</v>
      </c>
      <c r="Q690" s="7">
        <f t="shared" si="42"/>
        <v>2026</v>
      </c>
      <c r="R690" s="6">
        <f t="shared" si="43"/>
        <v>11926.24</v>
      </c>
      <c r="S690" s="12">
        <v>46245</v>
      </c>
    </row>
    <row r="691" spans="1:19">
      <c r="A691" s="16">
        <v>46245</v>
      </c>
      <c r="B691" s="8" t="s">
        <v>14</v>
      </c>
      <c r="C691" s="7" t="s">
        <v>9</v>
      </c>
      <c r="D691" s="15">
        <v>4430.58</v>
      </c>
      <c r="E691" s="15"/>
      <c r="F691" s="15"/>
      <c r="G691" s="8" t="s">
        <v>11</v>
      </c>
      <c r="H691" s="8"/>
      <c r="I691" s="17"/>
      <c r="J691" s="8" t="s">
        <v>10</v>
      </c>
      <c r="K691" s="8"/>
      <c r="L691" s="8"/>
      <c r="M691" s="8" t="str">
        <f>IF(C691="Caixa","-",VLOOKUP(J691,[1]Estrutura!C:E,3,FALSE))</f>
        <v>1.1</v>
      </c>
      <c r="N691" s="8"/>
      <c r="O691" s="7">
        <f t="shared" si="40"/>
        <v>11</v>
      </c>
      <c r="P691" s="7">
        <f t="shared" si="41"/>
        <v>8</v>
      </c>
      <c r="Q691" s="7">
        <f t="shared" si="42"/>
        <v>2026</v>
      </c>
      <c r="R691" s="6">
        <f t="shared" si="43"/>
        <v>4430.58</v>
      </c>
      <c r="S691" s="16">
        <v>46245</v>
      </c>
    </row>
    <row r="692" spans="1:19">
      <c r="A692" s="16">
        <v>46245</v>
      </c>
      <c r="B692" s="8" t="s">
        <v>14</v>
      </c>
      <c r="C692" s="8" t="s">
        <v>9</v>
      </c>
      <c r="D692" s="15"/>
      <c r="E692" s="15">
        <v>1060.9000000000001</v>
      </c>
      <c r="F692" s="15" t="s">
        <v>171</v>
      </c>
      <c r="G692" s="8" t="s">
        <v>598</v>
      </c>
      <c r="H692" s="14"/>
      <c r="I692" s="13"/>
      <c r="J692" s="8" t="s">
        <v>150</v>
      </c>
      <c r="K692" s="8"/>
      <c r="L692" s="7"/>
      <c r="M692" s="7" t="str">
        <f>IF(C692="Caixa","-",VLOOKUP(J692,[1]Estrutura!C:E,3,FALSE))</f>
        <v>4.4</v>
      </c>
      <c r="N692" s="7"/>
      <c r="O692" s="7">
        <f t="shared" si="40"/>
        <v>11</v>
      </c>
      <c r="P692" s="7">
        <f t="shared" si="41"/>
        <v>8</v>
      </c>
      <c r="Q692" s="7">
        <f t="shared" si="42"/>
        <v>2026</v>
      </c>
      <c r="R692" s="6">
        <f t="shared" si="43"/>
        <v>-1060.9000000000001</v>
      </c>
      <c r="S692" s="12">
        <v>46245</v>
      </c>
    </row>
    <row r="693" spans="1:19">
      <c r="A693" s="12">
        <v>46245</v>
      </c>
      <c r="B693" s="7" t="s">
        <v>14</v>
      </c>
      <c r="C693" s="7" t="s">
        <v>9</v>
      </c>
      <c r="D693" s="11"/>
      <c r="E693" s="11">
        <v>9385</v>
      </c>
      <c r="F693" s="11" t="s">
        <v>597</v>
      </c>
      <c r="G693" s="11" t="s">
        <v>596</v>
      </c>
      <c r="H693" s="7"/>
      <c r="I693" s="9"/>
      <c r="J693" s="7" t="s">
        <v>335</v>
      </c>
      <c r="K693" s="7"/>
      <c r="L693" s="8"/>
      <c r="M693" s="8" t="str">
        <f>IF(C693="Caixa","-",VLOOKUP(J693,[1]Estrutura!C:E,3,FALSE))</f>
        <v>4.5</v>
      </c>
      <c r="N693" s="8"/>
      <c r="O693" s="7">
        <f t="shared" si="40"/>
        <v>11</v>
      </c>
      <c r="P693" s="7">
        <f t="shared" si="41"/>
        <v>8</v>
      </c>
      <c r="Q693" s="7">
        <f t="shared" si="42"/>
        <v>2026</v>
      </c>
      <c r="R693" s="6">
        <f t="shared" si="43"/>
        <v>-9385</v>
      </c>
      <c r="S693" s="16">
        <v>46245</v>
      </c>
    </row>
    <row r="694" spans="1:19">
      <c r="A694" s="12">
        <v>46245</v>
      </c>
      <c r="B694" s="7" t="s">
        <v>14</v>
      </c>
      <c r="C694" s="7" t="s">
        <v>25</v>
      </c>
      <c r="D694" s="11"/>
      <c r="E694" s="11">
        <v>2036.12</v>
      </c>
      <c r="F694" s="11" t="s">
        <v>157</v>
      </c>
      <c r="G694" s="11" t="s">
        <v>156</v>
      </c>
      <c r="H694" s="7">
        <v>4155</v>
      </c>
      <c r="I694" s="9"/>
      <c r="J694" s="7" t="s">
        <v>17</v>
      </c>
      <c r="K694" s="7"/>
      <c r="L694" s="7"/>
      <c r="M694" s="7" t="str">
        <f>IF(C694="Caixa","-",VLOOKUP(J694,[1]Estrutura!C:E,3,FALSE))</f>
        <v>4.4</v>
      </c>
      <c r="N694" s="7"/>
      <c r="O694" s="7">
        <f t="shared" si="40"/>
        <v>11</v>
      </c>
      <c r="P694" s="7">
        <f t="shared" si="41"/>
        <v>8</v>
      </c>
      <c r="Q694" s="7">
        <f t="shared" si="42"/>
        <v>2026</v>
      </c>
      <c r="R694" s="6">
        <f t="shared" si="43"/>
        <v>-2036.12</v>
      </c>
      <c r="S694" s="12">
        <v>46245</v>
      </c>
    </row>
    <row r="695" spans="1:19">
      <c r="A695" s="16">
        <v>46245</v>
      </c>
      <c r="B695" s="8" t="s">
        <v>14</v>
      </c>
      <c r="C695" s="8" t="s">
        <v>9</v>
      </c>
      <c r="D695" s="15"/>
      <c r="E695" s="15">
        <v>109.24</v>
      </c>
      <c r="F695" s="15" t="s">
        <v>168</v>
      </c>
      <c r="G695" s="15" t="s">
        <v>583</v>
      </c>
      <c r="H695" s="8"/>
      <c r="I695" s="13"/>
      <c r="J695" s="8" t="s">
        <v>77</v>
      </c>
      <c r="K695" s="8"/>
      <c r="L695" s="8"/>
      <c r="M695" s="8" t="str">
        <f>IF(C695="Caixa","-",VLOOKUP(J695,[1]Estrutura!C:E,3,FALSE))</f>
        <v>4.3</v>
      </c>
      <c r="N695" s="8"/>
      <c r="O695" s="7">
        <f t="shared" si="40"/>
        <v>11</v>
      </c>
      <c r="P695" s="7">
        <f t="shared" si="41"/>
        <v>8</v>
      </c>
      <c r="Q695" s="7">
        <f t="shared" si="42"/>
        <v>2026</v>
      </c>
      <c r="R695" s="6">
        <f t="shared" si="43"/>
        <v>-109.24</v>
      </c>
      <c r="S695" s="16">
        <v>46245</v>
      </c>
    </row>
    <row r="696" spans="1:19">
      <c r="A696" s="12">
        <v>46245</v>
      </c>
      <c r="B696" s="7" t="s">
        <v>14</v>
      </c>
      <c r="C696" s="7" t="s">
        <v>9</v>
      </c>
      <c r="D696" s="11"/>
      <c r="E696" s="11">
        <v>4.38</v>
      </c>
      <c r="F696" s="11" t="s">
        <v>595</v>
      </c>
      <c r="G696" s="7" t="s">
        <v>594</v>
      </c>
      <c r="H696" s="10"/>
      <c r="I696" s="9"/>
      <c r="J696" s="7" t="s">
        <v>273</v>
      </c>
      <c r="K696" s="7"/>
      <c r="L696" s="7"/>
      <c r="M696" s="7" t="str">
        <f>IF(C696="Caixa","-",VLOOKUP(J696,[1]Estrutura!C:E,3,FALSE))</f>
        <v>4.9</v>
      </c>
      <c r="N696" s="7"/>
      <c r="O696" s="7">
        <f t="shared" si="40"/>
        <v>11</v>
      </c>
      <c r="P696" s="7">
        <f t="shared" si="41"/>
        <v>8</v>
      </c>
      <c r="Q696" s="7">
        <f t="shared" si="42"/>
        <v>2026</v>
      </c>
      <c r="R696" s="6">
        <f t="shared" si="43"/>
        <v>-4.38</v>
      </c>
      <c r="S696" s="12">
        <v>46245</v>
      </c>
    </row>
    <row r="697" spans="1:19">
      <c r="A697" s="16">
        <v>46245</v>
      </c>
      <c r="B697" s="8" t="s">
        <v>14</v>
      </c>
      <c r="C697" s="8" t="s">
        <v>9</v>
      </c>
      <c r="D697" s="15"/>
      <c r="E697" s="11">
        <v>1134.42</v>
      </c>
      <c r="F697" s="15" t="s">
        <v>159</v>
      </c>
      <c r="G697" s="8" t="s">
        <v>158</v>
      </c>
      <c r="H697" s="8"/>
      <c r="I697" s="13"/>
      <c r="J697" s="8" t="s">
        <v>29</v>
      </c>
      <c r="K697" s="8"/>
      <c r="L697" s="8"/>
      <c r="M697" s="8" t="str">
        <f>IF(C697="Caixa","-",VLOOKUP(J697,[1]Estrutura!C:E,3,FALSE))</f>
        <v>4.8</v>
      </c>
      <c r="N697" s="8"/>
      <c r="O697" s="7">
        <f t="shared" si="40"/>
        <v>11</v>
      </c>
      <c r="P697" s="7">
        <f t="shared" si="41"/>
        <v>8</v>
      </c>
      <c r="Q697" s="7">
        <f t="shared" si="42"/>
        <v>2026</v>
      </c>
      <c r="R697" s="6">
        <f t="shared" si="43"/>
        <v>-1134.42</v>
      </c>
      <c r="S697" s="16">
        <v>46245</v>
      </c>
    </row>
    <row r="698" spans="1:19">
      <c r="A698" s="12">
        <v>46245</v>
      </c>
      <c r="B698" s="7" t="s">
        <v>14</v>
      </c>
      <c r="C698" s="7" t="s">
        <v>9</v>
      </c>
      <c r="D698" s="11"/>
      <c r="E698" s="11">
        <v>1265.19</v>
      </c>
      <c r="F698" s="11" t="s">
        <v>271</v>
      </c>
      <c r="G698" s="11" t="s">
        <v>593</v>
      </c>
      <c r="H698" s="7"/>
      <c r="I698" s="9"/>
      <c r="J698" s="7" t="s">
        <v>269</v>
      </c>
      <c r="K698" s="7"/>
      <c r="L698" s="7"/>
      <c r="M698" s="7" t="str">
        <f>IF(C698="Caixa","-",VLOOKUP(J698,[1]Estrutura!C:E,3,FALSE))</f>
        <v>4.7</v>
      </c>
      <c r="N698" s="7"/>
      <c r="O698" s="7">
        <f t="shared" si="40"/>
        <v>11</v>
      </c>
      <c r="P698" s="7">
        <f t="shared" si="41"/>
        <v>8</v>
      </c>
      <c r="Q698" s="7">
        <f t="shared" si="42"/>
        <v>2026</v>
      </c>
      <c r="R698" s="6">
        <f t="shared" si="43"/>
        <v>-1265.19</v>
      </c>
      <c r="S698" s="16">
        <v>46245</v>
      </c>
    </row>
    <row r="699" spans="1:19">
      <c r="A699" s="16">
        <v>46245</v>
      </c>
      <c r="B699" s="8" t="s">
        <v>14</v>
      </c>
      <c r="C699" s="8" t="s">
        <v>9</v>
      </c>
      <c r="D699" s="15"/>
      <c r="E699" s="15">
        <v>778.8</v>
      </c>
      <c r="F699" s="15" t="s">
        <v>592</v>
      </c>
      <c r="G699" s="15" t="s">
        <v>591</v>
      </c>
      <c r="H699" s="8"/>
      <c r="I699" s="13"/>
      <c r="J699" s="8" t="s">
        <v>83</v>
      </c>
      <c r="K699" s="8"/>
      <c r="L699" s="8"/>
      <c r="M699" s="8" t="str">
        <f>IF(C699="Caixa","-",VLOOKUP(J699,[1]Estrutura!C:E,3,FALSE))</f>
        <v>4.1</v>
      </c>
      <c r="N699" s="8"/>
      <c r="O699" s="7">
        <f t="shared" si="40"/>
        <v>11</v>
      </c>
      <c r="P699" s="7">
        <f t="shared" si="41"/>
        <v>8</v>
      </c>
      <c r="Q699" s="7">
        <f t="shared" si="42"/>
        <v>2026</v>
      </c>
      <c r="R699" s="6">
        <f t="shared" si="43"/>
        <v>-778.8</v>
      </c>
      <c r="S699" s="12">
        <v>46245</v>
      </c>
    </row>
    <row r="700" spans="1:19">
      <c r="A700" s="12">
        <v>46245</v>
      </c>
      <c r="B700" s="7" t="s">
        <v>14</v>
      </c>
      <c r="C700" s="7" t="s">
        <v>9</v>
      </c>
      <c r="D700" s="11"/>
      <c r="E700" s="11">
        <v>410</v>
      </c>
      <c r="F700" s="11" t="s">
        <v>475</v>
      </c>
      <c r="G700" s="11" t="s">
        <v>590</v>
      </c>
      <c r="H700" s="7"/>
      <c r="I700" s="9"/>
      <c r="J700" s="7" t="s">
        <v>22</v>
      </c>
      <c r="K700" s="7"/>
      <c r="L700" s="7"/>
      <c r="M700" s="7" t="str">
        <f>IF(C700="Caixa","-",VLOOKUP(J700,[1]Estrutura!C:E,3,FALSE))</f>
        <v>4.3</v>
      </c>
      <c r="N700" s="7"/>
      <c r="O700" s="7">
        <f t="shared" si="40"/>
        <v>11</v>
      </c>
      <c r="P700" s="7">
        <f t="shared" si="41"/>
        <v>8</v>
      </c>
      <c r="Q700" s="7">
        <f t="shared" si="42"/>
        <v>2026</v>
      </c>
      <c r="R700" s="6">
        <f t="shared" si="43"/>
        <v>-410</v>
      </c>
      <c r="S700" s="16">
        <v>46245</v>
      </c>
    </row>
    <row r="701" spans="1:19">
      <c r="A701" s="16">
        <v>46245</v>
      </c>
      <c r="B701" s="8" t="s">
        <v>26</v>
      </c>
      <c r="C701" s="8" t="s">
        <v>6</v>
      </c>
      <c r="D701" s="15"/>
      <c r="E701" s="15">
        <v>11.86</v>
      </c>
      <c r="F701" s="15" t="s">
        <v>155</v>
      </c>
      <c r="G701" s="15" t="s">
        <v>589</v>
      </c>
      <c r="H701" s="14"/>
      <c r="I701" s="13"/>
      <c r="J701" s="8" t="s">
        <v>153</v>
      </c>
      <c r="K701" s="8" t="s">
        <v>21</v>
      </c>
      <c r="L701" s="8"/>
      <c r="M701" s="8" t="str">
        <f>IF(C701="Caixa","-",VLOOKUP(J701,[1]Estrutura!C:E,3,FALSE))</f>
        <v>4.3</v>
      </c>
      <c r="N701" s="8"/>
      <c r="O701" s="7">
        <f t="shared" si="40"/>
        <v>11</v>
      </c>
      <c r="P701" s="7">
        <f t="shared" si="41"/>
        <v>8</v>
      </c>
      <c r="Q701" s="7">
        <f t="shared" si="42"/>
        <v>2026</v>
      </c>
      <c r="R701" s="6">
        <f t="shared" si="43"/>
        <v>-11.86</v>
      </c>
      <c r="S701" s="12">
        <v>46245</v>
      </c>
    </row>
    <row r="702" spans="1:19">
      <c r="A702" s="12">
        <v>46245</v>
      </c>
      <c r="B702" s="7" t="s">
        <v>26</v>
      </c>
      <c r="C702" s="7" t="s">
        <v>6</v>
      </c>
      <c r="D702" s="11"/>
      <c r="E702" s="15">
        <v>31670</v>
      </c>
      <c r="F702" s="11" t="s">
        <v>165</v>
      </c>
      <c r="G702" s="8" t="s">
        <v>164</v>
      </c>
      <c r="H702" s="10"/>
      <c r="I702" s="9"/>
      <c r="J702" s="7" t="s">
        <v>17</v>
      </c>
      <c r="K702" s="7" t="s">
        <v>21</v>
      </c>
      <c r="L702" s="7"/>
      <c r="M702" s="7" t="str">
        <f>IF(C702="Caixa","-",VLOOKUP(J702,[1]Estrutura!C:E,3,FALSE))</f>
        <v>4.4</v>
      </c>
      <c r="N702" s="7"/>
      <c r="O702" s="7">
        <f t="shared" si="40"/>
        <v>11</v>
      </c>
      <c r="P702" s="7">
        <f t="shared" si="41"/>
        <v>8</v>
      </c>
      <c r="Q702" s="7">
        <f t="shared" si="42"/>
        <v>2026</v>
      </c>
      <c r="R702" s="6">
        <f t="shared" si="43"/>
        <v>-31670</v>
      </c>
      <c r="S702" s="16">
        <v>46245</v>
      </c>
    </row>
    <row r="703" spans="1:19">
      <c r="A703" s="16">
        <v>46245</v>
      </c>
      <c r="B703" s="8" t="s">
        <v>26</v>
      </c>
      <c r="C703" s="8" t="s">
        <v>6</v>
      </c>
      <c r="D703" s="15"/>
      <c r="E703" s="15">
        <v>350</v>
      </c>
      <c r="F703" s="15" t="s">
        <v>132</v>
      </c>
      <c r="G703" s="15" t="s">
        <v>588</v>
      </c>
      <c r="H703" s="14"/>
      <c r="I703" s="13"/>
      <c r="J703" s="8" t="s">
        <v>17</v>
      </c>
      <c r="K703" s="8" t="s">
        <v>21</v>
      </c>
      <c r="L703" s="8"/>
      <c r="M703" s="8" t="str">
        <f>IF(C703="Caixa","-",VLOOKUP(J703,[1]Estrutura!C:E,3,FALSE))</f>
        <v>4.4</v>
      </c>
      <c r="N703" s="8"/>
      <c r="O703" s="7">
        <f t="shared" si="40"/>
        <v>11</v>
      </c>
      <c r="P703" s="7">
        <f t="shared" si="41"/>
        <v>8</v>
      </c>
      <c r="Q703" s="7">
        <f t="shared" si="42"/>
        <v>2026</v>
      </c>
      <c r="R703" s="6">
        <f t="shared" si="43"/>
        <v>-350</v>
      </c>
      <c r="S703" s="12">
        <v>46245</v>
      </c>
    </row>
    <row r="704" spans="1:19">
      <c r="A704" s="12">
        <v>46245</v>
      </c>
      <c r="B704" s="7" t="s">
        <v>26</v>
      </c>
      <c r="C704" s="7" t="s">
        <v>6</v>
      </c>
      <c r="D704" s="11"/>
      <c r="E704" s="11">
        <v>300</v>
      </c>
      <c r="F704" s="11" t="s">
        <v>132</v>
      </c>
      <c r="G704" s="11" t="s">
        <v>587</v>
      </c>
      <c r="H704" s="10"/>
      <c r="I704" s="9"/>
      <c r="J704" s="7" t="s">
        <v>17</v>
      </c>
      <c r="K704" s="7" t="s">
        <v>21</v>
      </c>
      <c r="L704" s="7"/>
      <c r="M704" s="7" t="str">
        <f>IF(C704="Caixa","-",VLOOKUP(J704,[1]Estrutura!C:E,3,FALSE))</f>
        <v>4.4</v>
      </c>
      <c r="N704" s="7"/>
      <c r="O704" s="7">
        <f t="shared" si="40"/>
        <v>11</v>
      </c>
      <c r="P704" s="7">
        <f t="shared" si="41"/>
        <v>8</v>
      </c>
      <c r="Q704" s="7">
        <f t="shared" si="42"/>
        <v>2026</v>
      </c>
      <c r="R704" s="6">
        <f t="shared" si="43"/>
        <v>-300</v>
      </c>
      <c r="S704" s="16">
        <v>46246</v>
      </c>
    </row>
    <row r="705" spans="1:19">
      <c r="A705" s="16">
        <v>46245</v>
      </c>
      <c r="B705" s="8" t="s">
        <v>26</v>
      </c>
      <c r="C705" s="8" t="s">
        <v>6</v>
      </c>
      <c r="D705" s="15"/>
      <c r="E705" s="15">
        <v>260</v>
      </c>
      <c r="F705" s="15" t="s">
        <v>132</v>
      </c>
      <c r="G705" s="15" t="s">
        <v>586</v>
      </c>
      <c r="H705" s="14"/>
      <c r="I705" s="13"/>
      <c r="J705" s="8" t="s">
        <v>17</v>
      </c>
      <c r="K705" s="8" t="s">
        <v>21</v>
      </c>
      <c r="L705" s="8"/>
      <c r="M705" s="8" t="str">
        <f>IF(C705="Caixa","-",VLOOKUP(J705,[1]Estrutura!C:E,3,FALSE))</f>
        <v>4.4</v>
      </c>
      <c r="N705" s="8"/>
      <c r="O705" s="7">
        <f t="shared" si="40"/>
        <v>11</v>
      </c>
      <c r="P705" s="7">
        <f t="shared" si="41"/>
        <v>8</v>
      </c>
      <c r="Q705" s="7">
        <f t="shared" si="42"/>
        <v>2026</v>
      </c>
      <c r="R705" s="6">
        <f t="shared" si="43"/>
        <v>-260</v>
      </c>
      <c r="S705" s="12">
        <v>46246</v>
      </c>
    </row>
    <row r="706" spans="1:19">
      <c r="A706" s="12">
        <v>46245</v>
      </c>
      <c r="B706" s="7" t="s">
        <v>26</v>
      </c>
      <c r="C706" s="7" t="s">
        <v>6</v>
      </c>
      <c r="D706" s="11"/>
      <c r="E706" s="11">
        <v>726.58</v>
      </c>
      <c r="F706" s="15" t="s">
        <v>32</v>
      </c>
      <c r="G706" s="11" t="s">
        <v>585</v>
      </c>
      <c r="H706" s="10"/>
      <c r="I706" s="9"/>
      <c r="J706" s="7" t="s">
        <v>95</v>
      </c>
      <c r="K706" s="7" t="s">
        <v>21</v>
      </c>
      <c r="L706" s="7"/>
      <c r="M706" s="7" t="str">
        <f>IF(C706="Caixa","-",VLOOKUP(J706,[1]Estrutura!C:E,3,FALSE))</f>
        <v>4.1</v>
      </c>
      <c r="N706" s="7"/>
      <c r="O706" s="7">
        <f t="shared" si="40"/>
        <v>11</v>
      </c>
      <c r="P706" s="7">
        <f t="shared" si="41"/>
        <v>8</v>
      </c>
      <c r="Q706" s="7">
        <f t="shared" si="42"/>
        <v>2026</v>
      </c>
      <c r="R706" s="6">
        <f t="shared" si="43"/>
        <v>-726.58</v>
      </c>
      <c r="S706" s="12">
        <v>46246</v>
      </c>
    </row>
    <row r="707" spans="1:19">
      <c r="A707" s="16">
        <v>46245</v>
      </c>
      <c r="B707" s="8" t="s">
        <v>26</v>
      </c>
      <c r="C707" s="8" t="s">
        <v>6</v>
      </c>
      <c r="D707" s="15"/>
      <c r="E707" s="15">
        <v>311.99</v>
      </c>
      <c r="F707" s="15" t="s">
        <v>24</v>
      </c>
      <c r="G707" s="8" t="s">
        <v>584</v>
      </c>
      <c r="H707" s="14"/>
      <c r="I707" s="13"/>
      <c r="J707" s="8" t="s">
        <v>77</v>
      </c>
      <c r="K707" s="8" t="s">
        <v>21</v>
      </c>
      <c r="L707" s="8"/>
      <c r="M707" s="8" t="str">
        <f>IF(C707="Caixa","-",VLOOKUP(J707,[1]Estrutura!C:E,3,FALSE))</f>
        <v>4.3</v>
      </c>
      <c r="N707" s="8"/>
      <c r="O707" s="7">
        <f t="shared" si="40"/>
        <v>11</v>
      </c>
      <c r="P707" s="7">
        <f t="shared" si="41"/>
        <v>8</v>
      </c>
      <c r="Q707" s="7">
        <f t="shared" si="42"/>
        <v>2026</v>
      </c>
      <c r="R707" s="6">
        <f t="shared" si="43"/>
        <v>-311.99</v>
      </c>
      <c r="S707" s="16">
        <v>46246</v>
      </c>
    </row>
    <row r="708" spans="1:19">
      <c r="A708" s="12">
        <v>46245</v>
      </c>
      <c r="B708" s="7" t="s">
        <v>26</v>
      </c>
      <c r="C708" s="7" t="s">
        <v>6</v>
      </c>
      <c r="D708" s="11"/>
      <c r="E708" s="11">
        <v>272.95</v>
      </c>
      <c r="F708" s="11" t="s">
        <v>106</v>
      </c>
      <c r="G708" s="11" t="s">
        <v>583</v>
      </c>
      <c r="H708" s="10"/>
      <c r="I708" s="9"/>
      <c r="J708" s="7" t="s">
        <v>77</v>
      </c>
      <c r="K708" s="7" t="s">
        <v>40</v>
      </c>
      <c r="L708" s="7"/>
      <c r="M708" s="7" t="str">
        <f>IF(C708="Caixa","-",VLOOKUP(J708,[1]Estrutura!C:E,3,FALSE))</f>
        <v>4.3</v>
      </c>
      <c r="N708" s="7"/>
      <c r="O708" s="7">
        <f t="shared" si="40"/>
        <v>11</v>
      </c>
      <c r="P708" s="7">
        <f t="shared" si="41"/>
        <v>8</v>
      </c>
      <c r="Q708" s="7">
        <f t="shared" si="42"/>
        <v>2026</v>
      </c>
      <c r="R708" s="6">
        <f t="shared" si="43"/>
        <v>-272.95</v>
      </c>
      <c r="S708" s="16">
        <v>46247</v>
      </c>
    </row>
    <row r="709" spans="1:19">
      <c r="A709" s="16">
        <v>46245</v>
      </c>
      <c r="B709" s="8" t="s">
        <v>26</v>
      </c>
      <c r="C709" s="8" t="s">
        <v>6</v>
      </c>
      <c r="D709" s="15"/>
      <c r="E709" s="15">
        <v>3732</v>
      </c>
      <c r="F709" s="15" t="s">
        <v>582</v>
      </c>
      <c r="G709" s="8" t="s">
        <v>581</v>
      </c>
      <c r="H709" s="14"/>
      <c r="I709" s="13"/>
      <c r="J709" s="8" t="s">
        <v>52</v>
      </c>
      <c r="K709" s="8" t="s">
        <v>34</v>
      </c>
      <c r="L709" s="8"/>
      <c r="M709" s="8" t="str">
        <f>IF(C709="Caixa","-",VLOOKUP(J709,[1]Estrutura!C:E,3,FALSE))</f>
        <v>4.2</v>
      </c>
      <c r="N709" s="8"/>
      <c r="O709" s="7">
        <f t="shared" si="40"/>
        <v>11</v>
      </c>
      <c r="P709" s="7">
        <f t="shared" si="41"/>
        <v>8</v>
      </c>
      <c r="Q709" s="7">
        <f t="shared" si="42"/>
        <v>2026</v>
      </c>
      <c r="R709" s="6">
        <f t="shared" si="43"/>
        <v>-3732</v>
      </c>
      <c r="S709" s="12">
        <v>46247</v>
      </c>
    </row>
    <row r="710" spans="1:19">
      <c r="A710" s="16">
        <v>46245</v>
      </c>
      <c r="B710" s="7" t="s">
        <v>7</v>
      </c>
      <c r="C710" s="7" t="s">
        <v>9</v>
      </c>
      <c r="D710" s="15">
        <v>3860.34</v>
      </c>
      <c r="E710" s="15"/>
      <c r="F710" s="15"/>
      <c r="G710" s="8" t="s">
        <v>11</v>
      </c>
      <c r="H710" s="8"/>
      <c r="I710" s="17"/>
      <c r="J710" s="8" t="s">
        <v>10</v>
      </c>
      <c r="K710" s="8"/>
      <c r="L710" s="7"/>
      <c r="M710" s="7" t="str">
        <f>IF(C710="Caixa","-",VLOOKUP(J710,[1]Estrutura!C:E,3,FALSE))</f>
        <v>1.1</v>
      </c>
      <c r="N710" s="7"/>
      <c r="O710" s="7">
        <f t="shared" si="40"/>
        <v>11</v>
      </c>
      <c r="P710" s="7">
        <f t="shared" si="41"/>
        <v>8</v>
      </c>
      <c r="Q710" s="7">
        <f t="shared" si="42"/>
        <v>2026</v>
      </c>
      <c r="R710" s="6">
        <f t="shared" si="43"/>
        <v>3860.34</v>
      </c>
      <c r="S710" s="16">
        <v>46247</v>
      </c>
    </row>
    <row r="711" spans="1:19">
      <c r="A711" s="12">
        <v>46245</v>
      </c>
      <c r="B711" s="7" t="s">
        <v>7</v>
      </c>
      <c r="C711" s="7" t="s">
        <v>9</v>
      </c>
      <c r="D711" s="11"/>
      <c r="E711" s="11">
        <v>2232.8000000000002</v>
      </c>
      <c r="F711" s="11" t="s">
        <v>303</v>
      </c>
      <c r="G711" s="8" t="s">
        <v>133</v>
      </c>
      <c r="H711" s="10"/>
      <c r="I711" s="9"/>
      <c r="J711" s="7" t="s">
        <v>119</v>
      </c>
      <c r="K711" s="7"/>
      <c r="L711" s="8"/>
      <c r="M711" s="8" t="str">
        <f>IF(C711="Caixa","-",VLOOKUP(J711,[1]Estrutura!C:E,3,FALSE))</f>
        <v>4.5</v>
      </c>
      <c r="N711" s="8"/>
      <c r="O711" s="7">
        <f t="shared" si="40"/>
        <v>11</v>
      </c>
      <c r="P711" s="7">
        <f t="shared" si="41"/>
        <v>8</v>
      </c>
      <c r="Q711" s="7">
        <f t="shared" si="42"/>
        <v>2026</v>
      </c>
      <c r="R711" s="6">
        <f t="shared" si="43"/>
        <v>-2232.8000000000002</v>
      </c>
      <c r="S711" s="16">
        <v>46248</v>
      </c>
    </row>
    <row r="712" spans="1:19">
      <c r="A712" s="16">
        <v>46245</v>
      </c>
      <c r="B712" s="8" t="s">
        <v>7</v>
      </c>
      <c r="C712" s="8" t="s">
        <v>9</v>
      </c>
      <c r="D712" s="15"/>
      <c r="E712" s="15">
        <v>109.76</v>
      </c>
      <c r="F712" s="15" t="s">
        <v>578</v>
      </c>
      <c r="G712" s="8" t="s">
        <v>580</v>
      </c>
      <c r="H712" s="14"/>
      <c r="I712" s="13"/>
      <c r="J712" s="8" t="s">
        <v>273</v>
      </c>
      <c r="K712" s="8"/>
      <c r="L712" s="7"/>
      <c r="M712" s="7" t="str">
        <f>IF(C712="Caixa","-",VLOOKUP(J712,[1]Estrutura!C:E,3,FALSE))</f>
        <v>4.9</v>
      </c>
      <c r="N712" s="7"/>
      <c r="O712" s="7">
        <f t="shared" si="40"/>
        <v>11</v>
      </c>
      <c r="P712" s="7">
        <f t="shared" si="41"/>
        <v>8</v>
      </c>
      <c r="Q712" s="7">
        <f t="shared" si="42"/>
        <v>2026</v>
      </c>
      <c r="R712" s="6">
        <f t="shared" si="43"/>
        <v>-109.76</v>
      </c>
      <c r="S712" s="16">
        <v>46249</v>
      </c>
    </row>
    <row r="713" spans="1:19">
      <c r="A713" s="12">
        <v>46245</v>
      </c>
      <c r="B713" s="7" t="s">
        <v>7</v>
      </c>
      <c r="C713" s="7" t="s">
        <v>9</v>
      </c>
      <c r="D713" s="11"/>
      <c r="E713" s="11">
        <v>441.38</v>
      </c>
      <c r="F713" s="11" t="s">
        <v>578</v>
      </c>
      <c r="G713" s="7" t="s">
        <v>579</v>
      </c>
      <c r="H713" s="10"/>
      <c r="I713" s="9"/>
      <c r="J713" s="7" t="s">
        <v>273</v>
      </c>
      <c r="K713" s="7"/>
      <c r="L713" s="8"/>
      <c r="M713" s="8" t="str">
        <f>IF(C713="Caixa","-",VLOOKUP(J713,[1]Estrutura!C:E,3,FALSE))</f>
        <v>4.9</v>
      </c>
      <c r="N713" s="8"/>
      <c r="O713" s="7">
        <f t="shared" si="40"/>
        <v>11</v>
      </c>
      <c r="P713" s="7">
        <f t="shared" si="41"/>
        <v>8</v>
      </c>
      <c r="Q713" s="7">
        <f t="shared" si="42"/>
        <v>2026</v>
      </c>
      <c r="R713" s="6">
        <f t="shared" si="43"/>
        <v>-441.38</v>
      </c>
      <c r="S713" s="12">
        <v>46249</v>
      </c>
    </row>
    <row r="714" spans="1:19">
      <c r="A714" s="16">
        <v>46245</v>
      </c>
      <c r="B714" s="8" t="s">
        <v>7</v>
      </c>
      <c r="C714" s="8" t="s">
        <v>9</v>
      </c>
      <c r="D714" s="15"/>
      <c r="E714" s="15">
        <v>806.57</v>
      </c>
      <c r="F714" s="15" t="s">
        <v>578</v>
      </c>
      <c r="G714" s="8" t="s">
        <v>577</v>
      </c>
      <c r="H714" s="14"/>
      <c r="I714" s="13"/>
      <c r="J714" s="8" t="s">
        <v>273</v>
      </c>
      <c r="K714" s="8"/>
      <c r="L714" s="7"/>
      <c r="M714" s="7" t="str">
        <f>IF(C714="Caixa","-",VLOOKUP(J714,[1]Estrutura!C:E,3,FALSE))</f>
        <v>4.9</v>
      </c>
      <c r="N714" s="7"/>
      <c r="O714" s="7">
        <f t="shared" si="40"/>
        <v>11</v>
      </c>
      <c r="P714" s="7">
        <f t="shared" si="41"/>
        <v>8</v>
      </c>
      <c r="Q714" s="7">
        <f t="shared" si="42"/>
        <v>2026</v>
      </c>
      <c r="R714" s="6">
        <f t="shared" si="43"/>
        <v>-806.57</v>
      </c>
      <c r="S714" s="16">
        <v>46249</v>
      </c>
    </row>
    <row r="715" spans="1:19">
      <c r="A715" s="12">
        <v>46245</v>
      </c>
      <c r="B715" s="7" t="s">
        <v>7</v>
      </c>
      <c r="C715" s="7" t="s">
        <v>9</v>
      </c>
      <c r="D715" s="11"/>
      <c r="E715" s="15">
        <v>3661.15</v>
      </c>
      <c r="F715" s="11" t="s">
        <v>159</v>
      </c>
      <c r="G715" s="7" t="s">
        <v>158</v>
      </c>
      <c r="H715" s="10"/>
      <c r="I715" s="9"/>
      <c r="J715" s="7" t="s">
        <v>29</v>
      </c>
      <c r="K715" s="7"/>
      <c r="L715" s="8"/>
      <c r="M715" s="8" t="str">
        <f>IF(C715="Caixa","-",VLOOKUP(J715,[1]Estrutura!C:E,3,FALSE))</f>
        <v>4.8</v>
      </c>
      <c r="N715" s="8"/>
      <c r="O715" s="7">
        <f t="shared" si="40"/>
        <v>11</v>
      </c>
      <c r="P715" s="7">
        <f t="shared" si="41"/>
        <v>8</v>
      </c>
      <c r="Q715" s="7">
        <f t="shared" si="42"/>
        <v>2026</v>
      </c>
      <c r="R715" s="6">
        <f t="shared" si="43"/>
        <v>-3661.15</v>
      </c>
      <c r="S715" s="16">
        <v>46249</v>
      </c>
    </row>
    <row r="716" spans="1:19">
      <c r="A716" s="16">
        <v>46246</v>
      </c>
      <c r="B716" s="8" t="s">
        <v>14</v>
      </c>
      <c r="C716" s="7" t="s">
        <v>9</v>
      </c>
      <c r="D716" s="15">
        <v>1242.69</v>
      </c>
      <c r="E716" s="15"/>
      <c r="F716" s="15"/>
      <c r="G716" s="8" t="s">
        <v>11</v>
      </c>
      <c r="H716" s="8"/>
      <c r="I716" s="17"/>
      <c r="J716" s="8" t="s">
        <v>10</v>
      </c>
      <c r="K716" s="8"/>
      <c r="L716" s="7"/>
      <c r="M716" s="7" t="str">
        <f>IF(C716="Caixa","-",VLOOKUP(J716,[1]Estrutura!C:E,3,FALSE))</f>
        <v>1.1</v>
      </c>
      <c r="N716" s="7"/>
      <c r="O716" s="7">
        <f t="shared" si="40"/>
        <v>12</v>
      </c>
      <c r="P716" s="7">
        <f t="shared" si="41"/>
        <v>8</v>
      </c>
      <c r="Q716" s="7">
        <f t="shared" si="42"/>
        <v>2026</v>
      </c>
      <c r="R716" s="6">
        <f t="shared" si="43"/>
        <v>1242.69</v>
      </c>
      <c r="S716" s="12">
        <v>46249</v>
      </c>
    </row>
    <row r="717" spans="1:19">
      <c r="A717" s="12">
        <v>46246</v>
      </c>
      <c r="B717" s="7" t="s">
        <v>26</v>
      </c>
      <c r="C717" s="7" t="s">
        <v>6</v>
      </c>
      <c r="D717" s="11"/>
      <c r="E717" s="15">
        <v>1053.45</v>
      </c>
      <c r="F717" s="11" t="s">
        <v>104</v>
      </c>
      <c r="G717" s="7" t="s">
        <v>576</v>
      </c>
      <c r="H717" s="10"/>
      <c r="I717" s="9"/>
      <c r="J717" s="8" t="s">
        <v>102</v>
      </c>
      <c r="K717" s="8" t="s">
        <v>21</v>
      </c>
      <c r="L717" s="8"/>
      <c r="M717" s="8" t="str">
        <f>IF(C717="Caixa","-",VLOOKUP(J717,[1]Estrutura!C:E,3,FALSE))</f>
        <v>4.5</v>
      </c>
      <c r="N717" s="8"/>
      <c r="O717" s="7">
        <f t="shared" si="40"/>
        <v>12</v>
      </c>
      <c r="P717" s="7">
        <f t="shared" si="41"/>
        <v>8</v>
      </c>
      <c r="Q717" s="7">
        <f t="shared" si="42"/>
        <v>2026</v>
      </c>
      <c r="R717" s="6">
        <f t="shared" si="43"/>
        <v>-1053.45</v>
      </c>
      <c r="S717" s="16">
        <v>46249</v>
      </c>
    </row>
    <row r="718" spans="1:19">
      <c r="A718" s="12">
        <v>46246</v>
      </c>
      <c r="B718" s="7" t="s">
        <v>26</v>
      </c>
      <c r="C718" s="7" t="s">
        <v>6</v>
      </c>
      <c r="D718" s="11"/>
      <c r="E718" s="11">
        <v>978.6</v>
      </c>
      <c r="F718" s="15" t="s">
        <v>178</v>
      </c>
      <c r="G718" s="7" t="s">
        <v>575</v>
      </c>
      <c r="H718" s="10"/>
      <c r="I718" s="9"/>
      <c r="J718" s="7" t="s">
        <v>178</v>
      </c>
      <c r="K718" s="7" t="s">
        <v>21</v>
      </c>
      <c r="L718" s="7"/>
      <c r="M718" s="7" t="str">
        <f>IF(C718="Caixa","-",VLOOKUP(J718,[1]Estrutura!C:E,3,FALSE))</f>
        <v>4.1</v>
      </c>
      <c r="N718" s="7"/>
      <c r="O718" s="7">
        <f t="shared" ref="O718:O781" si="44">DAY(A718)</f>
        <v>12</v>
      </c>
      <c r="P718" s="7">
        <f t="shared" ref="P718:P781" si="45">MONTH(A718)</f>
        <v>8</v>
      </c>
      <c r="Q718" s="7">
        <f t="shared" ref="Q718:Q781" si="46">YEAR(A718)</f>
        <v>2026</v>
      </c>
      <c r="R718" s="6">
        <f t="shared" ref="R718:R781" si="47">D718-E718</f>
        <v>-978.6</v>
      </c>
      <c r="S718" s="12">
        <v>46249</v>
      </c>
    </row>
    <row r="719" spans="1:19">
      <c r="A719" s="16">
        <v>46246</v>
      </c>
      <c r="B719" s="7" t="s">
        <v>7</v>
      </c>
      <c r="C719" s="7" t="s">
        <v>9</v>
      </c>
      <c r="D719" s="15">
        <v>17034.099999999999</v>
      </c>
      <c r="E719" s="15"/>
      <c r="F719" s="15"/>
      <c r="G719" s="8" t="s">
        <v>11</v>
      </c>
      <c r="H719" s="8"/>
      <c r="I719" s="17"/>
      <c r="J719" s="8" t="s">
        <v>10</v>
      </c>
      <c r="K719" s="8"/>
      <c r="L719" s="8"/>
      <c r="M719" s="8" t="str">
        <f>IF(C719="Caixa","-",VLOOKUP(J719,[1]Estrutura!C:E,3,FALSE))</f>
        <v>1.1</v>
      </c>
      <c r="N719" s="8"/>
      <c r="O719" s="7">
        <f t="shared" si="44"/>
        <v>12</v>
      </c>
      <c r="P719" s="7">
        <f t="shared" si="45"/>
        <v>8</v>
      </c>
      <c r="Q719" s="7">
        <f t="shared" si="46"/>
        <v>2026</v>
      </c>
      <c r="R719" s="6">
        <f t="shared" si="47"/>
        <v>17034.099999999999</v>
      </c>
      <c r="S719" s="16">
        <v>46249</v>
      </c>
    </row>
    <row r="720" spans="1:19">
      <c r="A720" s="16">
        <v>46247</v>
      </c>
      <c r="B720" s="8" t="s">
        <v>14</v>
      </c>
      <c r="C720" s="7" t="s">
        <v>9</v>
      </c>
      <c r="D720" s="15">
        <v>1469.47</v>
      </c>
      <c r="E720" s="15"/>
      <c r="F720" s="15"/>
      <c r="G720" s="8" t="s">
        <v>11</v>
      </c>
      <c r="H720" s="8"/>
      <c r="I720" s="17"/>
      <c r="J720" s="8" t="s">
        <v>10</v>
      </c>
      <c r="K720" s="8"/>
      <c r="L720" s="7"/>
      <c r="M720" s="7" t="str">
        <f>IF(C720="Caixa","-",VLOOKUP(J720,[1]Estrutura!C:E,3,FALSE))</f>
        <v>1.1</v>
      </c>
      <c r="N720" s="7"/>
      <c r="O720" s="7">
        <f t="shared" si="44"/>
        <v>13</v>
      </c>
      <c r="P720" s="7">
        <f t="shared" si="45"/>
        <v>8</v>
      </c>
      <c r="Q720" s="7">
        <f t="shared" si="46"/>
        <v>2026</v>
      </c>
      <c r="R720" s="6">
        <f t="shared" si="47"/>
        <v>1469.47</v>
      </c>
      <c r="S720" s="12">
        <v>46249</v>
      </c>
    </row>
    <row r="721" spans="1:19">
      <c r="A721" s="12">
        <v>46247</v>
      </c>
      <c r="B721" s="7" t="s">
        <v>26</v>
      </c>
      <c r="C721" s="7" t="s">
        <v>25</v>
      </c>
      <c r="D721" s="11"/>
      <c r="E721" s="11">
        <v>857.43</v>
      </c>
      <c r="F721" s="11" t="s">
        <v>101</v>
      </c>
      <c r="G721" s="7" t="s">
        <v>487</v>
      </c>
      <c r="H721" s="10"/>
      <c r="I721" s="9"/>
      <c r="J721" s="8" t="s">
        <v>99</v>
      </c>
      <c r="K721" s="7" t="s">
        <v>40</v>
      </c>
      <c r="L721" s="8"/>
      <c r="M721" s="8" t="str">
        <f>IF(C721="Caixa","-",VLOOKUP(J721,[1]Estrutura!C:E,3,FALSE))</f>
        <v>4.3</v>
      </c>
      <c r="N721" s="8"/>
      <c r="O721" s="7">
        <f t="shared" si="44"/>
        <v>13</v>
      </c>
      <c r="P721" s="7">
        <f t="shared" si="45"/>
        <v>8</v>
      </c>
      <c r="Q721" s="7">
        <f t="shared" si="46"/>
        <v>2026</v>
      </c>
      <c r="R721" s="6">
        <f t="shared" si="47"/>
        <v>-857.43</v>
      </c>
      <c r="S721" s="12">
        <v>46249</v>
      </c>
    </row>
    <row r="722" spans="1:19">
      <c r="A722" s="16">
        <v>46247</v>
      </c>
      <c r="B722" s="7" t="s">
        <v>7</v>
      </c>
      <c r="C722" s="7" t="s">
        <v>9</v>
      </c>
      <c r="D722" s="15">
        <v>9411.0300000000007</v>
      </c>
      <c r="E722" s="15"/>
      <c r="F722" s="15"/>
      <c r="G722" s="8" t="s">
        <v>11</v>
      </c>
      <c r="H722" s="8"/>
      <c r="I722" s="17"/>
      <c r="J722" s="8" t="s">
        <v>10</v>
      </c>
      <c r="K722" s="8"/>
      <c r="L722" s="7"/>
      <c r="M722" s="7" t="str">
        <f>IF(C722="Caixa","-",VLOOKUP(J722,[1]Estrutura!C:E,3,FALSE))</f>
        <v>1.1</v>
      </c>
      <c r="N722" s="7"/>
      <c r="O722" s="7">
        <f t="shared" si="44"/>
        <v>13</v>
      </c>
      <c r="P722" s="7">
        <f t="shared" si="45"/>
        <v>8</v>
      </c>
      <c r="Q722" s="7">
        <f t="shared" si="46"/>
        <v>2026</v>
      </c>
      <c r="R722" s="6">
        <f t="shared" si="47"/>
        <v>9411.0300000000007</v>
      </c>
      <c r="S722" s="16">
        <v>46249</v>
      </c>
    </row>
    <row r="723" spans="1:19">
      <c r="A723" s="16">
        <v>46248</v>
      </c>
      <c r="B723" s="7" t="s">
        <v>7</v>
      </c>
      <c r="C723" s="7" t="s">
        <v>9</v>
      </c>
      <c r="D723" s="15">
        <v>2564.42</v>
      </c>
      <c r="E723" s="15"/>
      <c r="F723" s="15"/>
      <c r="G723" s="8" t="s">
        <v>11</v>
      </c>
      <c r="H723" s="8"/>
      <c r="I723" s="17"/>
      <c r="J723" s="8" t="s">
        <v>10</v>
      </c>
      <c r="K723" s="8"/>
      <c r="L723" s="8"/>
      <c r="M723" s="8" t="str">
        <f>IF(C723="Caixa","-",VLOOKUP(J723,[1]Estrutura!C:E,3,FALSE))</f>
        <v>1.1</v>
      </c>
      <c r="N723" s="8"/>
      <c r="O723" s="7">
        <f t="shared" si="44"/>
        <v>14</v>
      </c>
      <c r="P723" s="7">
        <f t="shared" si="45"/>
        <v>8</v>
      </c>
      <c r="Q723" s="7">
        <f t="shared" si="46"/>
        <v>2026</v>
      </c>
      <c r="R723" s="6">
        <f t="shared" si="47"/>
        <v>2564.42</v>
      </c>
      <c r="S723" s="12">
        <v>46249</v>
      </c>
    </row>
    <row r="724" spans="1:19">
      <c r="A724" s="16">
        <v>46249</v>
      </c>
      <c r="B724" s="8" t="s">
        <v>14</v>
      </c>
      <c r="C724" s="8" t="s">
        <v>9</v>
      </c>
      <c r="D724" s="15"/>
      <c r="E724" s="15">
        <v>2874</v>
      </c>
      <c r="F724" s="15" t="s">
        <v>146</v>
      </c>
      <c r="G724" s="8" t="s">
        <v>147</v>
      </c>
      <c r="H724" s="8"/>
      <c r="I724" s="17"/>
      <c r="J724" s="8" t="s">
        <v>144</v>
      </c>
      <c r="K724" s="8"/>
      <c r="L724" s="7"/>
      <c r="M724" s="7" t="str">
        <f>IF(C724="Caixa","-",VLOOKUP(J724,[1]Estrutura!C:E,3,FALSE))</f>
        <v>4.2</v>
      </c>
      <c r="N724" s="7"/>
      <c r="O724" s="7">
        <f t="shared" si="44"/>
        <v>15</v>
      </c>
      <c r="P724" s="7">
        <f t="shared" si="45"/>
        <v>8</v>
      </c>
      <c r="Q724" s="7">
        <f t="shared" si="46"/>
        <v>2026</v>
      </c>
      <c r="R724" s="6">
        <f t="shared" si="47"/>
        <v>-2874</v>
      </c>
      <c r="S724" s="16">
        <v>46249</v>
      </c>
    </row>
    <row r="725" spans="1:19">
      <c r="A725" s="12">
        <v>46249</v>
      </c>
      <c r="B725" s="7" t="s">
        <v>14</v>
      </c>
      <c r="C725" s="7" t="s">
        <v>9</v>
      </c>
      <c r="D725" s="11"/>
      <c r="E725" s="15">
        <v>2874</v>
      </c>
      <c r="F725" s="15" t="s">
        <v>146</v>
      </c>
      <c r="G725" s="7" t="s">
        <v>145</v>
      </c>
      <c r="H725" s="7"/>
      <c r="I725" s="30"/>
      <c r="J725" s="7" t="s">
        <v>144</v>
      </c>
      <c r="K725" s="7"/>
      <c r="L725" s="8"/>
      <c r="M725" s="8" t="str">
        <f>IF(C725="Caixa","-",VLOOKUP(J725,[1]Estrutura!C:E,3,FALSE))</f>
        <v>4.2</v>
      </c>
      <c r="N725" s="8"/>
      <c r="O725" s="7">
        <f t="shared" si="44"/>
        <v>15</v>
      </c>
      <c r="P725" s="7">
        <f t="shared" si="45"/>
        <v>8</v>
      </c>
      <c r="Q725" s="7">
        <f t="shared" si="46"/>
        <v>2026</v>
      </c>
      <c r="R725" s="6">
        <f t="shared" si="47"/>
        <v>-2874</v>
      </c>
      <c r="S725" s="12">
        <v>46249</v>
      </c>
    </row>
    <row r="726" spans="1:19">
      <c r="A726" s="16">
        <v>46249</v>
      </c>
      <c r="B726" s="8" t="s">
        <v>14</v>
      </c>
      <c r="C726" s="8" t="s">
        <v>9</v>
      </c>
      <c r="D726" s="15"/>
      <c r="E726" s="15">
        <v>2832.92</v>
      </c>
      <c r="F726" s="15" t="s">
        <v>104</v>
      </c>
      <c r="G726" s="8" t="s">
        <v>574</v>
      </c>
      <c r="H726" s="14">
        <v>30253</v>
      </c>
      <c r="I726" s="13"/>
      <c r="J726" s="8" t="s">
        <v>102</v>
      </c>
      <c r="K726" s="8"/>
      <c r="L726" s="7"/>
      <c r="M726" s="7" t="str">
        <f>IF(C726="Caixa","-",VLOOKUP(J726,[1]Estrutura!C:E,3,FALSE))</f>
        <v>4.5</v>
      </c>
      <c r="N726" s="7"/>
      <c r="O726" s="7">
        <f t="shared" si="44"/>
        <v>15</v>
      </c>
      <c r="P726" s="7">
        <f t="shared" si="45"/>
        <v>8</v>
      </c>
      <c r="Q726" s="7">
        <f t="shared" si="46"/>
        <v>2026</v>
      </c>
      <c r="R726" s="6">
        <f t="shared" si="47"/>
        <v>-2832.92</v>
      </c>
      <c r="S726" s="16">
        <v>46249</v>
      </c>
    </row>
    <row r="727" spans="1:19">
      <c r="A727" s="16">
        <v>46249</v>
      </c>
      <c r="B727" s="8" t="s">
        <v>14</v>
      </c>
      <c r="C727" s="8" t="s">
        <v>9</v>
      </c>
      <c r="D727" s="15"/>
      <c r="E727" s="15">
        <v>98</v>
      </c>
      <c r="F727" s="15" t="s">
        <v>404</v>
      </c>
      <c r="G727" s="8" t="s">
        <v>573</v>
      </c>
      <c r="H727" s="14"/>
      <c r="I727" s="13"/>
      <c r="J727" s="8" t="s">
        <v>546</v>
      </c>
      <c r="K727" s="8" t="s">
        <v>40</v>
      </c>
      <c r="L727" s="8"/>
      <c r="M727" s="8" t="str">
        <f>IF(C727="Caixa","-",VLOOKUP(J727,[1]Estrutura!C:E,3,FALSE))</f>
        <v>4.11</v>
      </c>
      <c r="N727" s="8"/>
      <c r="O727" s="7">
        <f t="shared" si="44"/>
        <v>15</v>
      </c>
      <c r="P727" s="7">
        <f t="shared" si="45"/>
        <v>8</v>
      </c>
      <c r="Q727" s="7">
        <f t="shared" si="46"/>
        <v>2026</v>
      </c>
      <c r="R727" s="6">
        <f t="shared" si="47"/>
        <v>-98</v>
      </c>
      <c r="S727" s="12">
        <v>46249</v>
      </c>
    </row>
    <row r="728" spans="1:19">
      <c r="A728" s="12">
        <v>46249</v>
      </c>
      <c r="B728" s="7" t="s">
        <v>14</v>
      </c>
      <c r="C728" s="7" t="s">
        <v>9</v>
      </c>
      <c r="D728" s="11"/>
      <c r="E728" s="11">
        <v>161</v>
      </c>
      <c r="F728" s="11" t="s">
        <v>125</v>
      </c>
      <c r="G728" s="7" t="s">
        <v>441</v>
      </c>
      <c r="H728" s="10"/>
      <c r="I728" s="9"/>
      <c r="J728" s="8" t="s">
        <v>99</v>
      </c>
      <c r="K728" s="7"/>
      <c r="L728" s="7"/>
      <c r="M728" s="7" t="str">
        <f>IF(C728="Caixa","-",VLOOKUP(J728,[1]Estrutura!C:E,3,FALSE))</f>
        <v>4.3</v>
      </c>
      <c r="N728" s="7"/>
      <c r="O728" s="7">
        <f t="shared" si="44"/>
        <v>15</v>
      </c>
      <c r="P728" s="7">
        <f t="shared" si="45"/>
        <v>8</v>
      </c>
      <c r="Q728" s="7">
        <f t="shared" si="46"/>
        <v>2026</v>
      </c>
      <c r="R728" s="6">
        <f t="shared" si="47"/>
        <v>-161</v>
      </c>
      <c r="S728" s="16">
        <v>46249</v>
      </c>
    </row>
    <row r="729" spans="1:19">
      <c r="A729" s="16">
        <v>46249</v>
      </c>
      <c r="B729" s="8" t="s">
        <v>14</v>
      </c>
      <c r="C729" s="8" t="s">
        <v>9</v>
      </c>
      <c r="D729" s="15"/>
      <c r="E729" s="15">
        <v>39.1</v>
      </c>
      <c r="F729" s="15" t="s">
        <v>125</v>
      </c>
      <c r="G729" s="8" t="s">
        <v>572</v>
      </c>
      <c r="H729" s="14"/>
      <c r="I729" s="13"/>
      <c r="J729" s="8" t="s">
        <v>99</v>
      </c>
      <c r="K729" s="8"/>
      <c r="L729" s="8"/>
      <c r="M729" s="8" t="str">
        <f>IF(C729="Caixa","-",VLOOKUP(J729,[1]Estrutura!C:E,3,FALSE))</f>
        <v>4.3</v>
      </c>
      <c r="N729" s="8"/>
      <c r="O729" s="7">
        <f t="shared" si="44"/>
        <v>15</v>
      </c>
      <c r="P729" s="7">
        <f t="shared" si="45"/>
        <v>8</v>
      </c>
      <c r="Q729" s="7">
        <f t="shared" si="46"/>
        <v>2026</v>
      </c>
      <c r="R729" s="6">
        <f t="shared" si="47"/>
        <v>-39.1</v>
      </c>
      <c r="S729" s="16">
        <v>46250</v>
      </c>
    </row>
    <row r="730" spans="1:19">
      <c r="A730" s="12">
        <v>46249</v>
      </c>
      <c r="B730" s="7" t="s">
        <v>14</v>
      </c>
      <c r="C730" s="7" t="s">
        <v>9</v>
      </c>
      <c r="D730" s="11"/>
      <c r="E730" s="11">
        <v>1937.81</v>
      </c>
      <c r="F730" s="11" t="s">
        <v>143</v>
      </c>
      <c r="G730" s="7" t="s">
        <v>571</v>
      </c>
      <c r="H730" s="10"/>
      <c r="I730" s="9"/>
      <c r="J730" s="7" t="s">
        <v>141</v>
      </c>
      <c r="K730" s="7"/>
      <c r="L730" s="7"/>
      <c r="M730" s="7" t="str">
        <f>IF(C730="Caixa","-",VLOOKUP(J730,[1]Estrutura!C:E,3,FALSE))</f>
        <v>4.6</v>
      </c>
      <c r="N730" s="7"/>
      <c r="O730" s="7">
        <f t="shared" si="44"/>
        <v>15</v>
      </c>
      <c r="P730" s="7">
        <f t="shared" si="45"/>
        <v>8</v>
      </c>
      <c r="Q730" s="7">
        <f t="shared" si="46"/>
        <v>2026</v>
      </c>
      <c r="R730" s="6">
        <f t="shared" si="47"/>
        <v>-1937.81</v>
      </c>
      <c r="S730" s="12">
        <v>46250</v>
      </c>
    </row>
    <row r="731" spans="1:19">
      <c r="A731" s="16">
        <v>46249</v>
      </c>
      <c r="B731" s="8" t="s">
        <v>14</v>
      </c>
      <c r="C731" s="8" t="s">
        <v>9</v>
      </c>
      <c r="D731" s="15"/>
      <c r="E731" s="15">
        <v>219.44</v>
      </c>
      <c r="F731" s="15" t="s">
        <v>347</v>
      </c>
      <c r="G731" s="8" t="s">
        <v>570</v>
      </c>
      <c r="H731" s="14"/>
      <c r="I731" s="13"/>
      <c r="J731" s="8" t="s">
        <v>250</v>
      </c>
      <c r="K731" s="8"/>
      <c r="L731" s="8"/>
      <c r="M731" s="8" t="str">
        <f>IF(C731="Caixa","-",VLOOKUP(J731,[1]Estrutura!C:E,3,FALSE))</f>
        <v>4.9</v>
      </c>
      <c r="N731" s="8"/>
      <c r="O731" s="7">
        <f t="shared" si="44"/>
        <v>15</v>
      </c>
      <c r="P731" s="7">
        <f t="shared" si="45"/>
        <v>8</v>
      </c>
      <c r="Q731" s="7">
        <f t="shared" si="46"/>
        <v>2026</v>
      </c>
      <c r="R731" s="6">
        <f t="shared" si="47"/>
        <v>-219.44</v>
      </c>
      <c r="S731" s="16">
        <v>46250</v>
      </c>
    </row>
    <row r="732" spans="1:19">
      <c r="A732" s="12">
        <v>46249</v>
      </c>
      <c r="B732" s="7" t="s">
        <v>14</v>
      </c>
      <c r="C732" s="7" t="s">
        <v>9</v>
      </c>
      <c r="D732" s="11"/>
      <c r="E732" s="11">
        <v>129.99</v>
      </c>
      <c r="F732" s="11" t="s">
        <v>24</v>
      </c>
      <c r="G732" s="7" t="s">
        <v>371</v>
      </c>
      <c r="H732" s="10"/>
      <c r="I732" s="9"/>
      <c r="J732" s="7" t="s">
        <v>22</v>
      </c>
      <c r="K732" s="7"/>
      <c r="L732" s="7"/>
      <c r="M732" s="7" t="str">
        <f>IF(C732="Caixa","-",VLOOKUP(J732,[1]Estrutura!C:E,3,FALSE))</f>
        <v>4.3</v>
      </c>
      <c r="N732" s="7"/>
      <c r="O732" s="7">
        <f t="shared" si="44"/>
        <v>15</v>
      </c>
      <c r="P732" s="7">
        <f t="shared" si="45"/>
        <v>8</v>
      </c>
      <c r="Q732" s="7">
        <f t="shared" si="46"/>
        <v>2026</v>
      </c>
      <c r="R732" s="6">
        <f t="shared" si="47"/>
        <v>-129.99</v>
      </c>
      <c r="S732" s="16">
        <v>46251</v>
      </c>
    </row>
    <row r="733" spans="1:19">
      <c r="A733" s="12">
        <v>46249</v>
      </c>
      <c r="B733" s="7" t="s">
        <v>26</v>
      </c>
      <c r="C733" s="7" t="s">
        <v>6</v>
      </c>
      <c r="D733" s="11"/>
      <c r="E733" s="11">
        <v>2000</v>
      </c>
      <c r="F733" s="7" t="s">
        <v>136</v>
      </c>
      <c r="G733" s="11" t="s">
        <v>137</v>
      </c>
      <c r="H733" s="10"/>
      <c r="I733" s="9"/>
      <c r="J733" s="7" t="s">
        <v>56</v>
      </c>
      <c r="K733" s="7" t="s">
        <v>136</v>
      </c>
      <c r="L733" s="8"/>
      <c r="M733" s="8" t="str">
        <f>IF(C733="Caixa","-",VLOOKUP(J733,[1]Estrutura!C:E,3,FALSE))</f>
        <v>6.1</v>
      </c>
      <c r="N733" s="8"/>
      <c r="O733" s="7">
        <f t="shared" si="44"/>
        <v>15</v>
      </c>
      <c r="P733" s="7">
        <f t="shared" si="45"/>
        <v>8</v>
      </c>
      <c r="Q733" s="7">
        <f t="shared" si="46"/>
        <v>2026</v>
      </c>
      <c r="R733" s="6">
        <f t="shared" si="47"/>
        <v>-2000</v>
      </c>
      <c r="S733" s="16">
        <v>46252</v>
      </c>
    </row>
    <row r="734" spans="1:19">
      <c r="A734" s="16">
        <v>46249</v>
      </c>
      <c r="B734" s="8" t="s">
        <v>26</v>
      </c>
      <c r="C734" s="8" t="s">
        <v>25</v>
      </c>
      <c r="D734" s="15"/>
      <c r="E734" s="15">
        <v>5000</v>
      </c>
      <c r="F734" s="15" t="s">
        <v>109</v>
      </c>
      <c r="G734" s="8" t="s">
        <v>307</v>
      </c>
      <c r="H734" s="14">
        <v>9929</v>
      </c>
      <c r="I734" s="13"/>
      <c r="J734" s="8" t="s">
        <v>17</v>
      </c>
      <c r="K734" s="8" t="s">
        <v>21</v>
      </c>
      <c r="L734" s="7"/>
      <c r="M734" s="7" t="str">
        <f>IF(C734="Caixa","-",VLOOKUP(J734,[1]Estrutura!C:E,3,FALSE))</f>
        <v>4.4</v>
      </c>
      <c r="N734" s="7"/>
      <c r="O734" s="7">
        <f t="shared" si="44"/>
        <v>15</v>
      </c>
      <c r="P734" s="7">
        <f t="shared" si="45"/>
        <v>8</v>
      </c>
      <c r="Q734" s="7">
        <f t="shared" si="46"/>
        <v>2026</v>
      </c>
      <c r="R734" s="6">
        <f t="shared" si="47"/>
        <v>-5000</v>
      </c>
      <c r="S734" s="16">
        <v>46252</v>
      </c>
    </row>
    <row r="735" spans="1:19">
      <c r="A735" s="12">
        <v>46249</v>
      </c>
      <c r="B735" s="7" t="s">
        <v>26</v>
      </c>
      <c r="C735" s="7" t="s">
        <v>6</v>
      </c>
      <c r="D735" s="11"/>
      <c r="E735" s="15">
        <v>6243.4</v>
      </c>
      <c r="F735" s="11" t="s">
        <v>157</v>
      </c>
      <c r="G735" s="7" t="s">
        <v>251</v>
      </c>
      <c r="H735" s="10"/>
      <c r="I735" s="9"/>
      <c r="J735" s="7" t="s">
        <v>250</v>
      </c>
      <c r="K735" s="7" t="s">
        <v>21</v>
      </c>
      <c r="L735" s="8"/>
      <c r="M735" s="8" t="str">
        <f>IF(C735="Caixa","-",VLOOKUP(J735,[1]Estrutura!C:E,3,FALSE))</f>
        <v>4.9</v>
      </c>
      <c r="N735" s="8"/>
      <c r="O735" s="7">
        <f t="shared" si="44"/>
        <v>15</v>
      </c>
      <c r="P735" s="7">
        <f t="shared" si="45"/>
        <v>8</v>
      </c>
      <c r="Q735" s="7">
        <f t="shared" si="46"/>
        <v>2026</v>
      </c>
      <c r="R735" s="6">
        <f t="shared" si="47"/>
        <v>-6243.4</v>
      </c>
      <c r="S735" s="12">
        <v>46252</v>
      </c>
    </row>
    <row r="736" spans="1:19">
      <c r="A736" s="16">
        <v>46249</v>
      </c>
      <c r="B736" s="7" t="s">
        <v>7</v>
      </c>
      <c r="C736" s="7" t="s">
        <v>9</v>
      </c>
      <c r="D736" s="15">
        <v>9655.7800000000007</v>
      </c>
      <c r="E736" s="15"/>
      <c r="F736" s="15"/>
      <c r="G736" s="8" t="s">
        <v>11</v>
      </c>
      <c r="H736" s="8"/>
      <c r="I736" s="17"/>
      <c r="J736" s="8" t="s">
        <v>10</v>
      </c>
      <c r="K736" s="8"/>
      <c r="L736" s="7"/>
      <c r="M736" s="7" t="str">
        <f>IF(C736="Caixa","-",VLOOKUP(J736,[1]Estrutura!C:E,3,FALSE))</f>
        <v>1.1</v>
      </c>
      <c r="N736" s="7"/>
      <c r="O736" s="7">
        <f t="shared" si="44"/>
        <v>15</v>
      </c>
      <c r="P736" s="7">
        <f t="shared" si="45"/>
        <v>8</v>
      </c>
      <c r="Q736" s="7">
        <f t="shared" si="46"/>
        <v>2026</v>
      </c>
      <c r="R736" s="6">
        <f t="shared" si="47"/>
        <v>9655.7800000000007</v>
      </c>
      <c r="S736" s="16">
        <v>46252</v>
      </c>
    </row>
    <row r="737" spans="1:19">
      <c r="A737" s="12">
        <v>46249</v>
      </c>
      <c r="B737" s="7" t="s">
        <v>7</v>
      </c>
      <c r="C737" s="7" t="s">
        <v>9</v>
      </c>
      <c r="D737" s="11"/>
      <c r="E737" s="11">
        <v>265</v>
      </c>
      <c r="F737" s="15" t="s">
        <v>152</v>
      </c>
      <c r="G737" s="7" t="s">
        <v>151</v>
      </c>
      <c r="H737" s="10"/>
      <c r="I737" s="9"/>
      <c r="J737" s="7" t="s">
        <v>150</v>
      </c>
      <c r="K737" s="7"/>
      <c r="L737" s="8"/>
      <c r="M737" s="8" t="str">
        <f>IF(C737="Caixa","-",VLOOKUP(J737,[1]Estrutura!C:E,3,FALSE))</f>
        <v>4.4</v>
      </c>
      <c r="N737" s="8"/>
      <c r="O737" s="7">
        <f t="shared" si="44"/>
        <v>15</v>
      </c>
      <c r="P737" s="7">
        <f t="shared" si="45"/>
        <v>8</v>
      </c>
      <c r="Q737" s="7">
        <f t="shared" si="46"/>
        <v>2026</v>
      </c>
      <c r="R737" s="6">
        <f t="shared" si="47"/>
        <v>-265</v>
      </c>
      <c r="S737" s="12">
        <v>46252</v>
      </c>
    </row>
    <row r="738" spans="1:19">
      <c r="A738" s="16">
        <v>46249</v>
      </c>
      <c r="B738" s="8" t="s">
        <v>7</v>
      </c>
      <c r="C738" s="8" t="s">
        <v>9</v>
      </c>
      <c r="D738" s="15"/>
      <c r="E738" s="15">
        <v>684.84</v>
      </c>
      <c r="F738" s="15" t="s">
        <v>470</v>
      </c>
      <c r="G738" s="8" t="s">
        <v>569</v>
      </c>
      <c r="H738" s="14">
        <v>7559</v>
      </c>
      <c r="I738" s="13"/>
      <c r="J738" s="8" t="s">
        <v>173</v>
      </c>
      <c r="K738" s="8"/>
      <c r="L738" s="7"/>
      <c r="M738" s="7" t="str">
        <f>IF(C738="Caixa","-",VLOOKUP(J738,[1]Estrutura!C:E,3,FALSE))</f>
        <v>4.3</v>
      </c>
      <c r="N738" s="7"/>
      <c r="O738" s="7">
        <f t="shared" si="44"/>
        <v>15</v>
      </c>
      <c r="P738" s="7">
        <f t="shared" si="45"/>
        <v>8</v>
      </c>
      <c r="Q738" s="7">
        <f t="shared" si="46"/>
        <v>2026</v>
      </c>
      <c r="R738" s="6">
        <f t="shared" si="47"/>
        <v>-684.84</v>
      </c>
      <c r="S738" s="16">
        <v>46252</v>
      </c>
    </row>
    <row r="739" spans="1:19">
      <c r="A739" s="12">
        <v>46249</v>
      </c>
      <c r="B739" s="7" t="s">
        <v>7</v>
      </c>
      <c r="C739" s="7" t="s">
        <v>9</v>
      </c>
      <c r="D739" s="11"/>
      <c r="E739" s="11">
        <v>2717.81</v>
      </c>
      <c r="F739" s="11" t="s">
        <v>104</v>
      </c>
      <c r="G739" s="7" t="s">
        <v>568</v>
      </c>
      <c r="H739" s="10">
        <v>30268</v>
      </c>
      <c r="I739" s="9"/>
      <c r="J739" s="8" t="s">
        <v>102</v>
      </c>
      <c r="K739" s="7"/>
      <c r="L739" s="8"/>
      <c r="M739" s="8" t="str">
        <f>IF(C739="Caixa","-",VLOOKUP(J739,[1]Estrutura!C:E,3,FALSE))</f>
        <v>4.5</v>
      </c>
      <c r="N739" s="8"/>
      <c r="O739" s="7">
        <f t="shared" si="44"/>
        <v>15</v>
      </c>
      <c r="P739" s="7">
        <f t="shared" si="45"/>
        <v>8</v>
      </c>
      <c r="Q739" s="7">
        <f t="shared" si="46"/>
        <v>2026</v>
      </c>
      <c r="R739" s="6">
        <f t="shared" si="47"/>
        <v>-2717.81</v>
      </c>
      <c r="S739" s="12">
        <v>46252</v>
      </c>
    </row>
    <row r="740" spans="1:19">
      <c r="A740" s="16">
        <v>46249</v>
      </c>
      <c r="B740" s="8" t="s">
        <v>7</v>
      </c>
      <c r="C740" s="8" t="s">
        <v>9</v>
      </c>
      <c r="D740" s="15"/>
      <c r="E740" s="15">
        <v>3500</v>
      </c>
      <c r="F740" s="15" t="s">
        <v>132</v>
      </c>
      <c r="G740" s="8" t="s">
        <v>567</v>
      </c>
      <c r="H740" s="14">
        <v>39</v>
      </c>
      <c r="I740" s="13"/>
      <c r="J740" s="8" t="s">
        <v>29</v>
      </c>
      <c r="K740" s="8"/>
      <c r="L740" s="7"/>
      <c r="M740" s="7" t="str">
        <f>IF(C740="Caixa","-",VLOOKUP(J740,[1]Estrutura!C:E,3,FALSE))</f>
        <v>4.8</v>
      </c>
      <c r="N740" s="7"/>
      <c r="O740" s="7">
        <f t="shared" si="44"/>
        <v>15</v>
      </c>
      <c r="P740" s="7">
        <f t="shared" si="45"/>
        <v>8</v>
      </c>
      <c r="Q740" s="7">
        <f t="shared" si="46"/>
        <v>2026</v>
      </c>
      <c r="R740" s="6">
        <f t="shared" si="47"/>
        <v>-3500</v>
      </c>
      <c r="S740" s="16">
        <v>46252</v>
      </c>
    </row>
    <row r="741" spans="1:19">
      <c r="A741" s="16">
        <v>46250</v>
      </c>
      <c r="B741" s="8" t="s">
        <v>14</v>
      </c>
      <c r="C741" s="7" t="s">
        <v>9</v>
      </c>
      <c r="D741" s="15">
        <v>2783.2</v>
      </c>
      <c r="E741" s="15"/>
      <c r="F741" s="15"/>
      <c r="G741" s="8" t="s">
        <v>11</v>
      </c>
      <c r="H741" s="8"/>
      <c r="I741" s="17"/>
      <c r="J741" s="8" t="s">
        <v>10</v>
      </c>
      <c r="K741" s="8"/>
      <c r="L741" s="8"/>
      <c r="M741" s="8" t="str">
        <f>IF(C741="Caixa","-",VLOOKUP(J741,[1]Estrutura!C:E,3,FALSE))</f>
        <v>1.1</v>
      </c>
      <c r="N741" s="8"/>
      <c r="O741" s="7">
        <f t="shared" si="44"/>
        <v>16</v>
      </c>
      <c r="P741" s="7">
        <f t="shared" si="45"/>
        <v>8</v>
      </c>
      <c r="Q741" s="7">
        <f t="shared" si="46"/>
        <v>2026</v>
      </c>
      <c r="R741" s="6">
        <f t="shared" si="47"/>
        <v>2783.2</v>
      </c>
      <c r="S741" s="12">
        <v>46252</v>
      </c>
    </row>
    <row r="742" spans="1:19">
      <c r="A742" s="12">
        <v>46250</v>
      </c>
      <c r="B742" s="7" t="s">
        <v>14</v>
      </c>
      <c r="C742" s="7" t="s">
        <v>9</v>
      </c>
      <c r="D742" s="11"/>
      <c r="E742" s="11">
        <v>700.74</v>
      </c>
      <c r="F742" s="11" t="s">
        <v>24</v>
      </c>
      <c r="G742" s="7" t="s">
        <v>126</v>
      </c>
      <c r="H742" s="10"/>
      <c r="I742" s="9"/>
      <c r="J742" s="7" t="s">
        <v>77</v>
      </c>
      <c r="K742" s="7"/>
      <c r="L742" s="7"/>
      <c r="M742" s="7" t="str">
        <f>IF(C742="Caixa","-",VLOOKUP(J742,[1]Estrutura!C:E,3,FALSE))</f>
        <v>4.3</v>
      </c>
      <c r="N742" s="7"/>
      <c r="O742" s="7">
        <f t="shared" si="44"/>
        <v>16</v>
      </c>
      <c r="P742" s="7">
        <f t="shared" si="45"/>
        <v>8</v>
      </c>
      <c r="Q742" s="7">
        <f t="shared" si="46"/>
        <v>2026</v>
      </c>
      <c r="R742" s="6">
        <f t="shared" si="47"/>
        <v>-700.74</v>
      </c>
      <c r="S742" s="16">
        <v>46252</v>
      </c>
    </row>
    <row r="743" spans="1:19">
      <c r="A743" s="16">
        <v>46250</v>
      </c>
      <c r="B743" s="7" t="s">
        <v>7</v>
      </c>
      <c r="C743" s="7" t="s">
        <v>9</v>
      </c>
      <c r="D743" s="15">
        <v>5066.75</v>
      </c>
      <c r="E743" s="15"/>
      <c r="F743" s="15"/>
      <c r="G743" s="8" t="s">
        <v>11</v>
      </c>
      <c r="H743" s="8"/>
      <c r="I743" s="17"/>
      <c r="J743" s="8" t="s">
        <v>10</v>
      </c>
      <c r="K743" s="8"/>
      <c r="L743" s="8"/>
      <c r="M743" s="8" t="str">
        <f>IF(C743="Caixa","-",VLOOKUP(J743,[1]Estrutura!C:E,3,FALSE))</f>
        <v>1.1</v>
      </c>
      <c r="N743" s="8"/>
      <c r="O743" s="7">
        <f t="shared" si="44"/>
        <v>16</v>
      </c>
      <c r="P743" s="7">
        <f t="shared" si="45"/>
        <v>8</v>
      </c>
      <c r="Q743" s="7">
        <f t="shared" si="46"/>
        <v>2026</v>
      </c>
      <c r="R743" s="6">
        <f t="shared" si="47"/>
        <v>5066.75</v>
      </c>
      <c r="S743" s="16">
        <v>46252</v>
      </c>
    </row>
    <row r="744" spans="1:19">
      <c r="A744" s="16">
        <v>46251</v>
      </c>
      <c r="B744" s="8" t="s">
        <v>14</v>
      </c>
      <c r="C744" s="7" t="s">
        <v>9</v>
      </c>
      <c r="D744" s="15">
        <v>3002.8</v>
      </c>
      <c r="E744" s="15"/>
      <c r="F744" s="15"/>
      <c r="G744" s="8" t="s">
        <v>11</v>
      </c>
      <c r="H744" s="8"/>
      <c r="I744" s="17"/>
      <c r="J744" s="8" t="s">
        <v>10</v>
      </c>
      <c r="K744" s="8"/>
      <c r="L744" s="7"/>
      <c r="M744" s="7" t="str">
        <f>IF(C744="Caixa","-",VLOOKUP(J744,[1]Estrutura!C:E,3,FALSE))</f>
        <v>1.1</v>
      </c>
      <c r="N744" s="7"/>
      <c r="O744" s="7">
        <f t="shared" si="44"/>
        <v>17</v>
      </c>
      <c r="P744" s="7">
        <f t="shared" si="45"/>
        <v>8</v>
      </c>
      <c r="Q744" s="7">
        <f t="shared" si="46"/>
        <v>2026</v>
      </c>
      <c r="R744" s="6">
        <f t="shared" si="47"/>
        <v>3002.8</v>
      </c>
      <c r="S744" s="16">
        <v>46253</v>
      </c>
    </row>
    <row r="745" spans="1:19">
      <c r="A745" s="16">
        <v>46252</v>
      </c>
      <c r="B745" s="8" t="s">
        <v>14</v>
      </c>
      <c r="C745" s="7" t="s">
        <v>9</v>
      </c>
      <c r="D745" s="15">
        <v>3034.8</v>
      </c>
      <c r="E745" s="15"/>
      <c r="F745" s="15"/>
      <c r="G745" s="8" t="s">
        <v>11</v>
      </c>
      <c r="H745" s="8"/>
      <c r="I745" s="17"/>
      <c r="J745" s="8" t="s">
        <v>10</v>
      </c>
      <c r="K745" s="8"/>
      <c r="L745" s="8"/>
      <c r="M745" s="8" t="str">
        <f>IF(C745="Caixa","-",VLOOKUP(J745,[1]Estrutura!C:E,3,FALSE))</f>
        <v>1.1</v>
      </c>
      <c r="N745" s="8"/>
      <c r="O745" s="7">
        <f t="shared" si="44"/>
        <v>18</v>
      </c>
      <c r="P745" s="7">
        <f t="shared" si="45"/>
        <v>8</v>
      </c>
      <c r="Q745" s="7">
        <f t="shared" si="46"/>
        <v>2026</v>
      </c>
      <c r="R745" s="6">
        <f t="shared" si="47"/>
        <v>3034.8</v>
      </c>
      <c r="S745" s="16">
        <v>46253</v>
      </c>
    </row>
    <row r="746" spans="1:19">
      <c r="A746" s="16">
        <v>46252</v>
      </c>
      <c r="B746" s="8" t="s">
        <v>26</v>
      </c>
      <c r="C746" s="8" t="s">
        <v>6</v>
      </c>
      <c r="D746" s="15"/>
      <c r="E746" s="15">
        <v>30</v>
      </c>
      <c r="F746" s="15" t="s">
        <v>132</v>
      </c>
      <c r="G746" s="8" t="s">
        <v>566</v>
      </c>
      <c r="H746" s="14"/>
      <c r="I746" s="13"/>
      <c r="J746" s="8" t="s">
        <v>17</v>
      </c>
      <c r="K746" s="8" t="s">
        <v>40</v>
      </c>
      <c r="L746" s="7"/>
      <c r="M746" s="7" t="str">
        <f>IF(C746="Caixa","-",VLOOKUP(J746,[1]Estrutura!C:E,3,FALSE))</f>
        <v>4.4</v>
      </c>
      <c r="N746" s="7"/>
      <c r="O746" s="7">
        <f t="shared" si="44"/>
        <v>18</v>
      </c>
      <c r="P746" s="7">
        <f t="shared" si="45"/>
        <v>8</v>
      </c>
      <c r="Q746" s="7">
        <f t="shared" si="46"/>
        <v>2026</v>
      </c>
      <c r="R746" s="6">
        <f t="shared" si="47"/>
        <v>-30</v>
      </c>
      <c r="S746" s="16">
        <v>46254</v>
      </c>
    </row>
    <row r="747" spans="1:19">
      <c r="A747" s="12">
        <v>46252</v>
      </c>
      <c r="B747" s="7" t="s">
        <v>26</v>
      </c>
      <c r="C747" s="7" t="s">
        <v>6</v>
      </c>
      <c r="D747" s="11"/>
      <c r="E747" s="11">
        <v>195</v>
      </c>
      <c r="F747" s="11" t="s">
        <v>132</v>
      </c>
      <c r="G747" s="7" t="s">
        <v>565</v>
      </c>
      <c r="H747" s="10"/>
      <c r="I747" s="9"/>
      <c r="J747" s="7" t="s">
        <v>17</v>
      </c>
      <c r="K747" s="7" t="s">
        <v>40</v>
      </c>
      <c r="L747" s="8"/>
      <c r="M747" s="8" t="str">
        <f>IF(C747="Caixa","-",VLOOKUP(J747,[1]Estrutura!C:E,3,FALSE))</f>
        <v>4.4</v>
      </c>
      <c r="N747" s="8"/>
      <c r="O747" s="7">
        <f t="shared" si="44"/>
        <v>18</v>
      </c>
      <c r="P747" s="7">
        <f t="shared" si="45"/>
        <v>8</v>
      </c>
      <c r="Q747" s="7">
        <f t="shared" si="46"/>
        <v>2026</v>
      </c>
      <c r="R747" s="6">
        <f t="shared" si="47"/>
        <v>-195</v>
      </c>
      <c r="S747" s="12">
        <v>46254</v>
      </c>
    </row>
    <row r="748" spans="1:19">
      <c r="A748" s="16">
        <v>46252</v>
      </c>
      <c r="B748" s="8" t="s">
        <v>26</v>
      </c>
      <c r="C748" s="8" t="s">
        <v>6</v>
      </c>
      <c r="D748" s="15"/>
      <c r="E748" s="15">
        <v>129.56</v>
      </c>
      <c r="F748" s="15" t="s">
        <v>132</v>
      </c>
      <c r="G748" s="8" t="s">
        <v>564</v>
      </c>
      <c r="H748" s="14"/>
      <c r="I748" s="13"/>
      <c r="J748" s="8" t="s">
        <v>17</v>
      </c>
      <c r="K748" s="8" t="s">
        <v>21</v>
      </c>
      <c r="L748" s="7"/>
      <c r="M748" s="7" t="str">
        <f>IF(C748="Caixa","-",VLOOKUP(J748,[1]Estrutura!C:E,3,FALSE))</f>
        <v>4.4</v>
      </c>
      <c r="N748" s="7"/>
      <c r="O748" s="7">
        <f t="shared" si="44"/>
        <v>18</v>
      </c>
      <c r="P748" s="7">
        <f t="shared" si="45"/>
        <v>8</v>
      </c>
      <c r="Q748" s="7">
        <f t="shared" si="46"/>
        <v>2026</v>
      </c>
      <c r="R748" s="6">
        <f t="shared" si="47"/>
        <v>-129.56</v>
      </c>
      <c r="S748" s="12">
        <v>46254</v>
      </c>
    </row>
    <row r="749" spans="1:19">
      <c r="A749" s="12">
        <v>46252</v>
      </c>
      <c r="B749" s="7" t="s">
        <v>26</v>
      </c>
      <c r="C749" s="7" t="s">
        <v>6</v>
      </c>
      <c r="D749" s="11"/>
      <c r="E749" s="11">
        <v>142</v>
      </c>
      <c r="F749" s="11" t="s">
        <v>132</v>
      </c>
      <c r="G749" s="7" t="s">
        <v>563</v>
      </c>
      <c r="H749" s="10"/>
      <c r="I749" s="9"/>
      <c r="J749" s="7" t="s">
        <v>17</v>
      </c>
      <c r="K749" s="7" t="s">
        <v>21</v>
      </c>
      <c r="L749" s="8"/>
      <c r="M749" s="8" t="str">
        <f>IF(C749="Caixa","-",VLOOKUP(J749,[1]Estrutura!C:E,3,FALSE))</f>
        <v>4.4</v>
      </c>
      <c r="N749" s="8"/>
      <c r="O749" s="7">
        <f t="shared" si="44"/>
        <v>18</v>
      </c>
      <c r="P749" s="7">
        <f t="shared" si="45"/>
        <v>8</v>
      </c>
      <c r="Q749" s="7">
        <f t="shared" si="46"/>
        <v>2026</v>
      </c>
      <c r="R749" s="6">
        <f t="shared" si="47"/>
        <v>-142</v>
      </c>
      <c r="S749" s="12">
        <v>46254</v>
      </c>
    </row>
    <row r="750" spans="1:19">
      <c r="A750" s="16">
        <v>46252</v>
      </c>
      <c r="B750" s="8" t="s">
        <v>26</v>
      </c>
      <c r="C750" s="8" t="s">
        <v>6</v>
      </c>
      <c r="D750" s="15"/>
      <c r="E750" s="15">
        <v>140.26</v>
      </c>
      <c r="F750" s="15" t="s">
        <v>132</v>
      </c>
      <c r="G750" s="8" t="s">
        <v>562</v>
      </c>
      <c r="H750" s="14"/>
      <c r="I750" s="13"/>
      <c r="J750" s="8" t="s">
        <v>17</v>
      </c>
      <c r="K750" s="8" t="s">
        <v>40</v>
      </c>
      <c r="L750" s="7"/>
      <c r="M750" s="7" t="str">
        <f>IF(C750="Caixa","-",VLOOKUP(J750,[1]Estrutura!C:E,3,FALSE))</f>
        <v>4.4</v>
      </c>
      <c r="N750" s="7"/>
      <c r="O750" s="7">
        <f t="shared" si="44"/>
        <v>18</v>
      </c>
      <c r="P750" s="7">
        <f t="shared" si="45"/>
        <v>8</v>
      </c>
      <c r="Q750" s="7">
        <f t="shared" si="46"/>
        <v>2026</v>
      </c>
      <c r="R750" s="6">
        <f t="shared" si="47"/>
        <v>-140.26</v>
      </c>
      <c r="S750" s="16">
        <v>46254</v>
      </c>
    </row>
    <row r="751" spans="1:19">
      <c r="A751" s="12">
        <v>46252</v>
      </c>
      <c r="B751" s="7" t="s">
        <v>26</v>
      </c>
      <c r="C751" s="7" t="s">
        <v>6</v>
      </c>
      <c r="D751" s="11"/>
      <c r="E751" s="11">
        <v>2982.17</v>
      </c>
      <c r="F751" s="15" t="s">
        <v>32</v>
      </c>
      <c r="G751" s="7" t="s">
        <v>561</v>
      </c>
      <c r="H751" s="10"/>
      <c r="I751" s="9"/>
      <c r="J751" s="7" t="s">
        <v>95</v>
      </c>
      <c r="K751" s="18" t="s">
        <v>34</v>
      </c>
      <c r="L751" s="8"/>
      <c r="M751" s="8" t="str">
        <f>IF(C751="Caixa","-",VLOOKUP(J751,[1]Estrutura!C:E,3,FALSE))</f>
        <v>4.1</v>
      </c>
      <c r="N751" s="8"/>
      <c r="O751" s="7">
        <f t="shared" si="44"/>
        <v>18</v>
      </c>
      <c r="P751" s="7">
        <f t="shared" si="45"/>
        <v>8</v>
      </c>
      <c r="Q751" s="7">
        <f t="shared" si="46"/>
        <v>2026</v>
      </c>
      <c r="R751" s="6">
        <f t="shared" si="47"/>
        <v>-2982.17</v>
      </c>
      <c r="S751" s="12">
        <v>46254</v>
      </c>
    </row>
    <row r="752" spans="1:19">
      <c r="A752" s="16">
        <v>46252</v>
      </c>
      <c r="B752" s="8" t="s">
        <v>26</v>
      </c>
      <c r="C752" s="8" t="s">
        <v>6</v>
      </c>
      <c r="D752" s="15"/>
      <c r="E752" s="15">
        <v>821.41</v>
      </c>
      <c r="F752" s="15" t="s">
        <v>32</v>
      </c>
      <c r="G752" s="8" t="s">
        <v>560</v>
      </c>
      <c r="H752" s="14"/>
      <c r="I752" s="13"/>
      <c r="J752" s="8" t="s">
        <v>95</v>
      </c>
      <c r="K752" s="8" t="s">
        <v>21</v>
      </c>
      <c r="L752" s="7"/>
      <c r="M752" s="7" t="str">
        <f>IF(C752="Caixa","-",VLOOKUP(J752,[1]Estrutura!C:E,3,FALSE))</f>
        <v>4.1</v>
      </c>
      <c r="N752" s="7"/>
      <c r="O752" s="7">
        <f t="shared" si="44"/>
        <v>18</v>
      </c>
      <c r="P752" s="7">
        <f t="shared" si="45"/>
        <v>8</v>
      </c>
      <c r="Q752" s="7">
        <f t="shared" si="46"/>
        <v>2026</v>
      </c>
      <c r="R752" s="6">
        <f t="shared" si="47"/>
        <v>-821.41</v>
      </c>
      <c r="S752" s="16">
        <v>46254</v>
      </c>
    </row>
    <row r="753" spans="1:19">
      <c r="A753" s="12">
        <v>46252</v>
      </c>
      <c r="B753" s="7" t="s">
        <v>26</v>
      </c>
      <c r="C753" s="7" t="s">
        <v>6</v>
      </c>
      <c r="D753" s="11"/>
      <c r="E753" s="11">
        <v>1000</v>
      </c>
      <c r="F753" s="11" t="s">
        <v>132</v>
      </c>
      <c r="G753" s="7" t="s">
        <v>559</v>
      </c>
      <c r="H753" s="10"/>
      <c r="I753" s="9"/>
      <c r="J753" s="7" t="s">
        <v>52</v>
      </c>
      <c r="K753" s="7" t="s">
        <v>136</v>
      </c>
      <c r="L753" s="8"/>
      <c r="M753" s="8" t="str">
        <f>IF(C753="Caixa","-",VLOOKUP(J753,[1]Estrutura!C:E,3,FALSE))</f>
        <v>4.2</v>
      </c>
      <c r="N753" s="8"/>
      <c r="O753" s="7">
        <f t="shared" si="44"/>
        <v>18</v>
      </c>
      <c r="P753" s="7">
        <f t="shared" si="45"/>
        <v>8</v>
      </c>
      <c r="Q753" s="7">
        <f t="shared" si="46"/>
        <v>2026</v>
      </c>
      <c r="R753" s="6">
        <f t="shared" si="47"/>
        <v>-1000</v>
      </c>
      <c r="S753" s="12">
        <v>46254</v>
      </c>
    </row>
    <row r="754" spans="1:19">
      <c r="A754" s="16">
        <v>46252</v>
      </c>
      <c r="B754" s="7" t="s">
        <v>7</v>
      </c>
      <c r="C754" s="7" t="s">
        <v>9</v>
      </c>
      <c r="D754" s="15">
        <v>4132.76</v>
      </c>
      <c r="E754" s="15"/>
      <c r="F754" s="15"/>
      <c r="G754" s="8" t="s">
        <v>11</v>
      </c>
      <c r="H754" s="8"/>
      <c r="I754" s="17"/>
      <c r="J754" s="8" t="s">
        <v>10</v>
      </c>
      <c r="K754" s="8"/>
      <c r="L754" s="7"/>
      <c r="M754" s="7" t="str">
        <f>IF(C754="Caixa","-",VLOOKUP(J754,[1]Estrutura!C:E,3,FALSE))</f>
        <v>1.1</v>
      </c>
      <c r="N754" s="7"/>
      <c r="O754" s="7">
        <f t="shared" si="44"/>
        <v>18</v>
      </c>
      <c r="P754" s="7">
        <f t="shared" si="45"/>
        <v>8</v>
      </c>
      <c r="Q754" s="7">
        <f t="shared" si="46"/>
        <v>2026</v>
      </c>
      <c r="R754" s="6">
        <f t="shared" si="47"/>
        <v>4132.76</v>
      </c>
      <c r="S754" s="16">
        <v>46254</v>
      </c>
    </row>
    <row r="755" spans="1:19">
      <c r="A755" s="16">
        <v>46252</v>
      </c>
      <c r="B755" s="8" t="s">
        <v>7</v>
      </c>
      <c r="C755" s="8" t="s">
        <v>9</v>
      </c>
      <c r="D755" s="15"/>
      <c r="E755" s="15">
        <v>222.12</v>
      </c>
      <c r="F755" s="15" t="s">
        <v>558</v>
      </c>
      <c r="G755" s="8" t="s">
        <v>557</v>
      </c>
      <c r="H755" s="14"/>
      <c r="I755" s="13"/>
      <c r="J755" s="8" t="s">
        <v>17</v>
      </c>
      <c r="K755" s="8"/>
      <c r="L755" s="8"/>
      <c r="M755" s="8" t="str">
        <f>IF(C755="Caixa","-",VLOOKUP(J755,[1]Estrutura!C:E,3,FALSE))</f>
        <v>4.4</v>
      </c>
      <c r="N755" s="8"/>
      <c r="O755" s="7">
        <f t="shared" si="44"/>
        <v>18</v>
      </c>
      <c r="P755" s="7">
        <f t="shared" si="45"/>
        <v>8</v>
      </c>
      <c r="Q755" s="7">
        <f t="shared" si="46"/>
        <v>2026</v>
      </c>
      <c r="R755" s="6">
        <f t="shared" si="47"/>
        <v>-222.12</v>
      </c>
      <c r="S755" s="12">
        <v>46254</v>
      </c>
    </row>
    <row r="756" spans="1:19">
      <c r="A756" s="16">
        <v>46253</v>
      </c>
      <c r="B756" s="8" t="s">
        <v>14</v>
      </c>
      <c r="C756" s="7" t="s">
        <v>9</v>
      </c>
      <c r="D756" s="15">
        <v>2112.06</v>
      </c>
      <c r="E756" s="15"/>
      <c r="F756" s="15"/>
      <c r="G756" s="8" t="s">
        <v>11</v>
      </c>
      <c r="H756" s="8"/>
      <c r="I756" s="17"/>
      <c r="J756" s="8" t="s">
        <v>10</v>
      </c>
      <c r="K756" s="8"/>
      <c r="L756" s="7"/>
      <c r="M756" s="7" t="str">
        <f>IF(C756="Caixa","-",VLOOKUP(J756,[1]Estrutura!C:E,3,FALSE))</f>
        <v>1.1</v>
      </c>
      <c r="N756" s="7"/>
      <c r="O756" s="7">
        <f t="shared" si="44"/>
        <v>19</v>
      </c>
      <c r="P756" s="7">
        <f t="shared" si="45"/>
        <v>8</v>
      </c>
      <c r="Q756" s="7">
        <f t="shared" si="46"/>
        <v>2026</v>
      </c>
      <c r="R756" s="6">
        <f t="shared" si="47"/>
        <v>2112.06</v>
      </c>
      <c r="S756" s="16">
        <v>46254</v>
      </c>
    </row>
    <row r="757" spans="1:19">
      <c r="A757" s="16">
        <v>46253</v>
      </c>
      <c r="B757" s="7" t="s">
        <v>7</v>
      </c>
      <c r="C757" s="7" t="s">
        <v>9</v>
      </c>
      <c r="D757" s="15">
        <v>3332.33</v>
      </c>
      <c r="E757" s="15"/>
      <c r="F757" s="15"/>
      <c r="G757" s="8" t="s">
        <v>11</v>
      </c>
      <c r="H757" s="8"/>
      <c r="I757" s="17"/>
      <c r="J757" s="8" t="s">
        <v>10</v>
      </c>
      <c r="K757" s="8"/>
      <c r="L757" s="8"/>
      <c r="M757" s="8" t="str">
        <f>IF(C757="Caixa","-",VLOOKUP(J757,[1]Estrutura!C:E,3,FALSE))</f>
        <v>1.1</v>
      </c>
      <c r="N757" s="8"/>
      <c r="O757" s="7">
        <f t="shared" si="44"/>
        <v>19</v>
      </c>
      <c r="P757" s="7">
        <f t="shared" si="45"/>
        <v>8</v>
      </c>
      <c r="Q757" s="7">
        <f t="shared" si="46"/>
        <v>2026</v>
      </c>
      <c r="R757" s="6">
        <f t="shared" si="47"/>
        <v>3332.33</v>
      </c>
      <c r="S757" s="12">
        <v>46254</v>
      </c>
    </row>
    <row r="758" spans="1:19">
      <c r="A758" s="16">
        <v>46254</v>
      </c>
      <c r="B758" s="8" t="s">
        <v>14</v>
      </c>
      <c r="C758" s="7" t="s">
        <v>9</v>
      </c>
      <c r="D758" s="15">
        <v>3472.13</v>
      </c>
      <c r="E758" s="15"/>
      <c r="F758" s="15"/>
      <c r="G758" s="8" t="s">
        <v>11</v>
      </c>
      <c r="H758" s="8"/>
      <c r="I758" s="17"/>
      <c r="J758" s="8" t="s">
        <v>10</v>
      </c>
      <c r="K758" s="8"/>
      <c r="L758" s="7"/>
      <c r="M758" s="7" t="str">
        <f>IF(C758="Caixa","-",VLOOKUP(J758,[1]Estrutura!C:E,3,FALSE))</f>
        <v>1.1</v>
      </c>
      <c r="N758" s="7"/>
      <c r="O758" s="7">
        <f t="shared" si="44"/>
        <v>20</v>
      </c>
      <c r="P758" s="7">
        <f t="shared" si="45"/>
        <v>8</v>
      </c>
      <c r="Q758" s="7">
        <f t="shared" si="46"/>
        <v>2026</v>
      </c>
      <c r="R758" s="6">
        <f t="shared" si="47"/>
        <v>3472.13</v>
      </c>
      <c r="S758" s="16">
        <v>46254</v>
      </c>
    </row>
    <row r="759" spans="1:19">
      <c r="A759" s="12">
        <v>46254</v>
      </c>
      <c r="B759" s="7" t="s">
        <v>14</v>
      </c>
      <c r="C759" s="7" t="s">
        <v>9</v>
      </c>
      <c r="D759" s="11"/>
      <c r="E759" s="11">
        <v>362.72</v>
      </c>
      <c r="F759" s="11" t="s">
        <v>118</v>
      </c>
      <c r="G759" s="7" t="s">
        <v>117</v>
      </c>
      <c r="H759" s="10"/>
      <c r="I759" s="9"/>
      <c r="J759" s="21" t="s">
        <v>210</v>
      </c>
      <c r="K759" s="7"/>
      <c r="L759" s="8"/>
      <c r="M759" s="8" t="str">
        <f>IF(C759="Caixa","-",VLOOKUP(J759,[1]Estrutura!C:E,3,FALSE))</f>
        <v>4.12</v>
      </c>
      <c r="N759" s="8"/>
      <c r="O759" s="7">
        <f t="shared" si="44"/>
        <v>20</v>
      </c>
      <c r="P759" s="7">
        <f t="shared" si="45"/>
        <v>8</v>
      </c>
      <c r="Q759" s="7">
        <f t="shared" si="46"/>
        <v>2026</v>
      </c>
      <c r="R759" s="6">
        <f t="shared" si="47"/>
        <v>-362.72</v>
      </c>
      <c r="S759" s="16">
        <v>46254</v>
      </c>
    </row>
    <row r="760" spans="1:19">
      <c r="A760" s="12">
        <v>46254</v>
      </c>
      <c r="B760" s="8" t="s">
        <v>14</v>
      </c>
      <c r="C760" s="8" t="s">
        <v>9</v>
      </c>
      <c r="D760" s="15"/>
      <c r="E760" s="15">
        <v>427.2399999999999</v>
      </c>
      <c r="F760" s="15"/>
      <c r="G760" s="8" t="s">
        <v>8</v>
      </c>
      <c r="H760" s="14"/>
      <c r="I760" s="13"/>
      <c r="J760" s="8" t="s">
        <v>4</v>
      </c>
      <c r="K760" s="7"/>
      <c r="L760" s="7"/>
      <c r="M760" s="7" t="str">
        <f>IF(C760="Caixa","-",VLOOKUP(J760,[1]Estrutura!C:E,3,FALSE))</f>
        <v>5.2</v>
      </c>
      <c r="N760" s="7"/>
      <c r="O760" s="7">
        <f t="shared" si="44"/>
        <v>20</v>
      </c>
      <c r="P760" s="7">
        <f t="shared" si="45"/>
        <v>8</v>
      </c>
      <c r="Q760" s="7">
        <f t="shared" si="46"/>
        <v>2026</v>
      </c>
      <c r="R760" s="6">
        <f t="shared" si="47"/>
        <v>-427.2399999999999</v>
      </c>
      <c r="S760" s="12">
        <v>46254</v>
      </c>
    </row>
    <row r="761" spans="1:19">
      <c r="A761" s="12">
        <v>46254</v>
      </c>
      <c r="B761" s="7" t="s">
        <v>14</v>
      </c>
      <c r="C761" s="7" t="s">
        <v>9</v>
      </c>
      <c r="D761" s="11"/>
      <c r="E761" s="11">
        <v>1219</v>
      </c>
      <c r="F761" s="11" t="s">
        <v>178</v>
      </c>
      <c r="G761" s="7" t="s">
        <v>556</v>
      </c>
      <c r="H761" s="10"/>
      <c r="I761" s="9"/>
      <c r="J761" s="7" t="s">
        <v>178</v>
      </c>
      <c r="K761" s="7"/>
      <c r="L761" s="8"/>
      <c r="M761" s="8" t="str">
        <f>IF(C761="Caixa","-",VLOOKUP(J761,[1]Estrutura!C:E,3,FALSE))</f>
        <v>4.1</v>
      </c>
      <c r="N761" s="8"/>
      <c r="O761" s="7">
        <f t="shared" si="44"/>
        <v>20</v>
      </c>
      <c r="P761" s="7">
        <f t="shared" si="45"/>
        <v>8</v>
      </c>
      <c r="Q761" s="7">
        <f t="shared" si="46"/>
        <v>2026</v>
      </c>
      <c r="R761" s="6">
        <f t="shared" si="47"/>
        <v>-1219</v>
      </c>
      <c r="S761" s="16">
        <v>46254</v>
      </c>
    </row>
    <row r="762" spans="1:19">
      <c r="A762" s="16">
        <v>46254</v>
      </c>
      <c r="B762" s="8" t="s">
        <v>14</v>
      </c>
      <c r="C762" s="8" t="s">
        <v>9</v>
      </c>
      <c r="D762" s="15"/>
      <c r="E762" s="15">
        <v>1895.5</v>
      </c>
      <c r="F762" s="15" t="s">
        <v>178</v>
      </c>
      <c r="G762" s="8" t="s">
        <v>555</v>
      </c>
      <c r="H762" s="14"/>
      <c r="I762" s="13"/>
      <c r="J762" s="8" t="s">
        <v>178</v>
      </c>
      <c r="K762" s="8"/>
      <c r="L762" s="7"/>
      <c r="M762" s="7" t="str">
        <f>IF(C762="Caixa","-",VLOOKUP(J762,[1]Estrutura!C:E,3,FALSE))</f>
        <v>4.1</v>
      </c>
      <c r="N762" s="7"/>
      <c r="O762" s="7">
        <f t="shared" si="44"/>
        <v>20</v>
      </c>
      <c r="P762" s="7">
        <f t="shared" si="45"/>
        <v>8</v>
      </c>
      <c r="Q762" s="7">
        <f t="shared" si="46"/>
        <v>2026</v>
      </c>
      <c r="R762" s="6">
        <f t="shared" si="47"/>
        <v>-1895.5</v>
      </c>
      <c r="S762" s="16">
        <v>46254</v>
      </c>
    </row>
    <row r="763" spans="1:19">
      <c r="A763" s="12">
        <v>46254</v>
      </c>
      <c r="B763" s="7" t="s">
        <v>14</v>
      </c>
      <c r="C763" s="7" t="s">
        <v>9</v>
      </c>
      <c r="D763" s="11"/>
      <c r="E763" s="11">
        <v>951.79</v>
      </c>
      <c r="F763" s="11" t="s">
        <v>178</v>
      </c>
      <c r="G763" s="7" t="s">
        <v>554</v>
      </c>
      <c r="H763" s="10"/>
      <c r="I763" s="9"/>
      <c r="J763" s="7" t="s">
        <v>178</v>
      </c>
      <c r="K763" s="7"/>
      <c r="L763" s="8"/>
      <c r="M763" s="8" t="str">
        <f>IF(C763="Caixa","-",VLOOKUP(J763,[1]Estrutura!C:E,3,FALSE))</f>
        <v>4.1</v>
      </c>
      <c r="N763" s="8"/>
      <c r="O763" s="7">
        <f t="shared" si="44"/>
        <v>20</v>
      </c>
      <c r="P763" s="7">
        <f t="shared" si="45"/>
        <v>8</v>
      </c>
      <c r="Q763" s="7">
        <f t="shared" si="46"/>
        <v>2026</v>
      </c>
      <c r="R763" s="6">
        <f t="shared" si="47"/>
        <v>-951.79</v>
      </c>
      <c r="S763" s="16">
        <v>46254</v>
      </c>
    </row>
    <row r="764" spans="1:19">
      <c r="A764" s="16">
        <v>46254</v>
      </c>
      <c r="B764" s="8" t="s">
        <v>14</v>
      </c>
      <c r="C764" s="8" t="s">
        <v>9</v>
      </c>
      <c r="D764" s="15"/>
      <c r="E764" s="15">
        <v>65.22</v>
      </c>
      <c r="F764" s="15" t="s">
        <v>553</v>
      </c>
      <c r="G764" s="15" t="s">
        <v>534</v>
      </c>
      <c r="H764" s="14"/>
      <c r="I764" s="13"/>
      <c r="J764" s="8" t="s">
        <v>17</v>
      </c>
      <c r="K764" s="8"/>
      <c r="L764" s="7"/>
      <c r="M764" s="7" t="str">
        <f>IF(C764="Caixa","-",VLOOKUP(J764,[1]Estrutura!C:E,3,FALSE))</f>
        <v>4.4</v>
      </c>
      <c r="N764" s="7"/>
      <c r="O764" s="7">
        <f t="shared" si="44"/>
        <v>20</v>
      </c>
      <c r="P764" s="7">
        <f t="shared" si="45"/>
        <v>8</v>
      </c>
      <c r="Q764" s="7">
        <f t="shared" si="46"/>
        <v>2026</v>
      </c>
      <c r="R764" s="6">
        <f t="shared" si="47"/>
        <v>-65.22</v>
      </c>
      <c r="S764" s="16">
        <v>46254</v>
      </c>
    </row>
    <row r="765" spans="1:19">
      <c r="A765" s="12">
        <v>46254</v>
      </c>
      <c r="B765" s="7" t="s">
        <v>14</v>
      </c>
      <c r="C765" s="7" t="s">
        <v>9</v>
      </c>
      <c r="D765" s="11"/>
      <c r="E765" s="11">
        <v>7471.38</v>
      </c>
      <c r="F765" s="11" t="s">
        <v>97</v>
      </c>
      <c r="G765" s="7" t="s">
        <v>552</v>
      </c>
      <c r="H765" s="10"/>
      <c r="I765" s="9"/>
      <c r="J765" s="7" t="s">
        <v>95</v>
      </c>
      <c r="K765" s="7"/>
      <c r="L765" s="8"/>
      <c r="M765" s="8" t="str">
        <f>IF(C765="Caixa","-",VLOOKUP(J765,[1]Estrutura!C:E,3,FALSE))</f>
        <v>4.1</v>
      </c>
      <c r="N765" s="8"/>
      <c r="O765" s="7">
        <f t="shared" si="44"/>
        <v>20</v>
      </c>
      <c r="P765" s="7">
        <f t="shared" si="45"/>
        <v>8</v>
      </c>
      <c r="Q765" s="7">
        <f t="shared" si="46"/>
        <v>2026</v>
      </c>
      <c r="R765" s="6">
        <f t="shared" si="47"/>
        <v>-7471.38</v>
      </c>
      <c r="S765" s="12">
        <v>46254</v>
      </c>
    </row>
    <row r="766" spans="1:19">
      <c r="A766" s="16">
        <v>46254</v>
      </c>
      <c r="B766" s="8" t="s">
        <v>26</v>
      </c>
      <c r="C766" s="8" t="s">
        <v>6</v>
      </c>
      <c r="D766" s="15"/>
      <c r="E766" s="15">
        <v>1053.45</v>
      </c>
      <c r="F766" s="15" t="s">
        <v>157</v>
      </c>
      <c r="G766" s="8" t="s">
        <v>551</v>
      </c>
      <c r="H766" s="14"/>
      <c r="I766" s="13"/>
      <c r="J766" s="8" t="s">
        <v>102</v>
      </c>
      <c r="K766" s="8" t="s">
        <v>21</v>
      </c>
      <c r="L766" s="7"/>
      <c r="M766" s="7" t="str">
        <f>IF(C766="Caixa","-",VLOOKUP(J766,[1]Estrutura!C:E,3,FALSE))</f>
        <v>4.5</v>
      </c>
      <c r="N766" s="7"/>
      <c r="O766" s="7">
        <f t="shared" si="44"/>
        <v>20</v>
      </c>
      <c r="P766" s="7">
        <f t="shared" si="45"/>
        <v>8</v>
      </c>
      <c r="Q766" s="7">
        <f t="shared" si="46"/>
        <v>2026</v>
      </c>
      <c r="R766" s="6">
        <f t="shared" si="47"/>
        <v>-1053.45</v>
      </c>
      <c r="S766" s="16">
        <v>46254</v>
      </c>
    </row>
    <row r="767" spans="1:19">
      <c r="A767" s="12">
        <v>46254</v>
      </c>
      <c r="B767" s="7" t="s">
        <v>26</v>
      </c>
      <c r="C767" s="7" t="s">
        <v>6</v>
      </c>
      <c r="D767" s="11"/>
      <c r="E767" s="11">
        <v>98</v>
      </c>
      <c r="F767" s="11" t="s">
        <v>157</v>
      </c>
      <c r="G767" s="7" t="s">
        <v>550</v>
      </c>
      <c r="H767" s="10"/>
      <c r="I767" s="9"/>
      <c r="J767" s="7" t="s">
        <v>546</v>
      </c>
      <c r="K767" s="7" t="s">
        <v>40</v>
      </c>
      <c r="L767" s="8"/>
      <c r="M767" s="8" t="str">
        <f>IF(C767="Caixa","-",VLOOKUP(J767,[1]Estrutura!C:E,3,FALSE))</f>
        <v>4.11</v>
      </c>
      <c r="N767" s="8"/>
      <c r="O767" s="7">
        <f t="shared" si="44"/>
        <v>20</v>
      </c>
      <c r="P767" s="7">
        <f t="shared" si="45"/>
        <v>8</v>
      </c>
      <c r="Q767" s="7">
        <f t="shared" si="46"/>
        <v>2026</v>
      </c>
      <c r="R767" s="6">
        <f t="shared" si="47"/>
        <v>-98</v>
      </c>
      <c r="S767" s="12">
        <v>46254</v>
      </c>
    </row>
    <row r="768" spans="1:19">
      <c r="A768" s="16">
        <v>46254</v>
      </c>
      <c r="B768" s="8" t="s">
        <v>26</v>
      </c>
      <c r="C768" s="8" t="s">
        <v>6</v>
      </c>
      <c r="D768" s="15"/>
      <c r="E768" s="15">
        <v>400</v>
      </c>
      <c r="F768" s="29" t="s">
        <v>548</v>
      </c>
      <c r="G768" s="8" t="s">
        <v>549</v>
      </c>
      <c r="H768" s="14"/>
      <c r="I768" s="13"/>
      <c r="J768" s="8" t="s">
        <v>546</v>
      </c>
      <c r="K768" s="8" t="s">
        <v>44</v>
      </c>
      <c r="L768" s="7"/>
      <c r="M768" s="7" t="str">
        <f>IF(C768="Caixa","-",VLOOKUP(J768,[1]Estrutura!C:E,3,FALSE))</f>
        <v>4.11</v>
      </c>
      <c r="N768" s="7"/>
      <c r="O768" s="7">
        <f t="shared" si="44"/>
        <v>20</v>
      </c>
      <c r="P768" s="7">
        <f t="shared" si="45"/>
        <v>8</v>
      </c>
      <c r="Q768" s="7">
        <f t="shared" si="46"/>
        <v>2026</v>
      </c>
      <c r="R768" s="6">
        <f t="shared" si="47"/>
        <v>-400</v>
      </c>
      <c r="S768" s="16">
        <v>46255</v>
      </c>
    </row>
    <row r="769" spans="1:19">
      <c r="A769" s="12">
        <v>46254</v>
      </c>
      <c r="B769" s="7" t="s">
        <v>26</v>
      </c>
      <c r="C769" s="7" t="s">
        <v>6</v>
      </c>
      <c r="D769" s="11"/>
      <c r="E769" s="11">
        <v>400</v>
      </c>
      <c r="F769" s="29" t="s">
        <v>548</v>
      </c>
      <c r="G769" s="7" t="s">
        <v>549</v>
      </c>
      <c r="H769" s="10"/>
      <c r="I769" s="9"/>
      <c r="J769" s="7" t="s">
        <v>546</v>
      </c>
      <c r="K769" s="7" t="s">
        <v>34</v>
      </c>
      <c r="L769" s="8"/>
      <c r="M769" s="8" t="str">
        <f>IF(C769="Caixa","-",VLOOKUP(J769,[1]Estrutura!C:E,3,FALSE))</f>
        <v>4.11</v>
      </c>
      <c r="N769" s="8"/>
      <c r="O769" s="7">
        <f t="shared" si="44"/>
        <v>20</v>
      </c>
      <c r="P769" s="7">
        <f t="shared" si="45"/>
        <v>8</v>
      </c>
      <c r="Q769" s="7">
        <f t="shared" si="46"/>
        <v>2026</v>
      </c>
      <c r="R769" s="6">
        <f t="shared" si="47"/>
        <v>-400</v>
      </c>
      <c r="S769" s="16">
        <v>46255</v>
      </c>
    </row>
    <row r="770" spans="1:19">
      <c r="A770" s="16">
        <v>46254</v>
      </c>
      <c r="B770" s="8" t="s">
        <v>26</v>
      </c>
      <c r="C770" s="8" t="s">
        <v>6</v>
      </c>
      <c r="D770" s="15"/>
      <c r="E770" s="15">
        <v>200</v>
      </c>
      <c r="F770" s="29" t="s">
        <v>548</v>
      </c>
      <c r="G770" s="8" t="s">
        <v>547</v>
      </c>
      <c r="H770" s="14"/>
      <c r="I770" s="13"/>
      <c r="J770" s="8" t="s">
        <v>546</v>
      </c>
      <c r="K770" s="8" t="s">
        <v>44</v>
      </c>
      <c r="L770" s="7"/>
      <c r="M770" s="7" t="str">
        <f>IF(C770="Caixa","-",VLOOKUP(J770,[1]Estrutura!C:E,3,FALSE))</f>
        <v>4.11</v>
      </c>
      <c r="N770" s="7"/>
      <c r="O770" s="7">
        <f t="shared" si="44"/>
        <v>20</v>
      </c>
      <c r="P770" s="7">
        <f t="shared" si="45"/>
        <v>8</v>
      </c>
      <c r="Q770" s="7">
        <f t="shared" si="46"/>
        <v>2026</v>
      </c>
      <c r="R770" s="6">
        <f t="shared" si="47"/>
        <v>-200</v>
      </c>
      <c r="S770" s="12">
        <v>46255</v>
      </c>
    </row>
    <row r="771" spans="1:19">
      <c r="A771" s="16">
        <v>46254</v>
      </c>
      <c r="B771" s="8" t="s">
        <v>26</v>
      </c>
      <c r="C771" s="8" t="s">
        <v>6</v>
      </c>
      <c r="D771" s="15"/>
      <c r="E771" s="15">
        <v>39.1</v>
      </c>
      <c r="F771" s="15" t="s">
        <v>157</v>
      </c>
      <c r="G771" s="8" t="s">
        <v>545</v>
      </c>
      <c r="H771" s="14"/>
      <c r="I771" s="13"/>
      <c r="J771" s="8" t="s">
        <v>99</v>
      </c>
      <c r="K771" s="8" t="s">
        <v>21</v>
      </c>
      <c r="L771" s="8"/>
      <c r="M771" s="8" t="str">
        <f>IF(C771="Caixa","-",VLOOKUP(J771,[1]Estrutura!C:E,3,FALSE))</f>
        <v>4.3</v>
      </c>
      <c r="N771" s="8"/>
      <c r="O771" s="7">
        <f t="shared" si="44"/>
        <v>20</v>
      </c>
      <c r="P771" s="7">
        <f t="shared" si="45"/>
        <v>8</v>
      </c>
      <c r="Q771" s="7">
        <f t="shared" si="46"/>
        <v>2026</v>
      </c>
      <c r="R771" s="6">
        <f t="shared" si="47"/>
        <v>-39.1</v>
      </c>
      <c r="S771" s="12">
        <v>46255</v>
      </c>
    </row>
    <row r="772" spans="1:19">
      <c r="A772" s="12">
        <v>46254</v>
      </c>
      <c r="B772" s="7" t="s">
        <v>26</v>
      </c>
      <c r="C772" s="7" t="s">
        <v>6</v>
      </c>
      <c r="D772" s="11"/>
      <c r="E772" s="11">
        <v>821.41</v>
      </c>
      <c r="F772" s="15" t="s">
        <v>32</v>
      </c>
      <c r="G772" s="7" t="s">
        <v>544</v>
      </c>
      <c r="H772" s="10"/>
      <c r="I772" s="9"/>
      <c r="J772" s="7" t="s">
        <v>95</v>
      </c>
      <c r="K772" s="7" t="s">
        <v>21</v>
      </c>
      <c r="L772" s="7"/>
      <c r="M772" s="7" t="str">
        <f>IF(C772="Caixa","-",VLOOKUP(J772,[1]Estrutura!C:E,3,FALSE))</f>
        <v>4.1</v>
      </c>
      <c r="N772" s="7"/>
      <c r="O772" s="7">
        <f t="shared" si="44"/>
        <v>20</v>
      </c>
      <c r="P772" s="7">
        <f t="shared" si="45"/>
        <v>8</v>
      </c>
      <c r="Q772" s="7">
        <f t="shared" si="46"/>
        <v>2026</v>
      </c>
      <c r="R772" s="6">
        <f t="shared" si="47"/>
        <v>-821.41</v>
      </c>
      <c r="S772" s="16">
        <v>46255</v>
      </c>
    </row>
    <row r="773" spans="1:19">
      <c r="A773" s="16">
        <v>46254</v>
      </c>
      <c r="B773" s="8" t="s">
        <v>26</v>
      </c>
      <c r="C773" s="8" t="s">
        <v>6</v>
      </c>
      <c r="D773" s="15"/>
      <c r="E773" s="15">
        <v>2982.17</v>
      </c>
      <c r="F773" s="15" t="s">
        <v>32</v>
      </c>
      <c r="G773" s="8" t="s">
        <v>543</v>
      </c>
      <c r="H773" s="14"/>
      <c r="I773" s="13"/>
      <c r="J773" s="8" t="s">
        <v>95</v>
      </c>
      <c r="K773" s="8" t="s">
        <v>21</v>
      </c>
      <c r="L773" s="8"/>
      <c r="M773" s="8" t="str">
        <f>IF(C773="Caixa","-",VLOOKUP(J773,[1]Estrutura!C:E,3,FALSE))</f>
        <v>4.1</v>
      </c>
      <c r="N773" s="8"/>
      <c r="O773" s="7">
        <f t="shared" si="44"/>
        <v>20</v>
      </c>
      <c r="P773" s="7">
        <f t="shared" si="45"/>
        <v>8</v>
      </c>
      <c r="Q773" s="7">
        <f t="shared" si="46"/>
        <v>2026</v>
      </c>
      <c r="R773" s="6">
        <f t="shared" si="47"/>
        <v>-2982.17</v>
      </c>
      <c r="S773" s="12">
        <v>46255</v>
      </c>
    </row>
    <row r="774" spans="1:19">
      <c r="A774" s="16">
        <v>46254</v>
      </c>
      <c r="B774" s="7" t="s">
        <v>7</v>
      </c>
      <c r="C774" s="7" t="s">
        <v>9</v>
      </c>
      <c r="D774" s="15">
        <v>9785.6099999999988</v>
      </c>
      <c r="E774" s="15"/>
      <c r="F774" s="15"/>
      <c r="G774" s="8" t="s">
        <v>11</v>
      </c>
      <c r="H774" s="8"/>
      <c r="I774" s="17"/>
      <c r="J774" s="8" t="s">
        <v>10</v>
      </c>
      <c r="K774" s="8"/>
      <c r="L774" s="7"/>
      <c r="M774" s="7" t="str">
        <f>IF(C774="Caixa","-",VLOOKUP(J774,[1]Estrutura!C:E,3,FALSE))</f>
        <v>1.1</v>
      </c>
      <c r="N774" s="7"/>
      <c r="O774" s="7">
        <f t="shared" si="44"/>
        <v>20</v>
      </c>
      <c r="P774" s="7">
        <f t="shared" si="45"/>
        <v>8</v>
      </c>
      <c r="Q774" s="7">
        <f t="shared" si="46"/>
        <v>2026</v>
      </c>
      <c r="R774" s="6">
        <f t="shared" si="47"/>
        <v>9785.6099999999988</v>
      </c>
      <c r="S774" s="16">
        <v>46255</v>
      </c>
    </row>
    <row r="775" spans="1:19">
      <c r="A775" s="16">
        <v>46254</v>
      </c>
      <c r="B775" s="8" t="s">
        <v>7</v>
      </c>
      <c r="C775" s="8" t="s">
        <v>9</v>
      </c>
      <c r="D775" s="15"/>
      <c r="E775" s="15">
        <v>1444.22</v>
      </c>
      <c r="F775" s="15"/>
      <c r="G775" s="8" t="s">
        <v>8</v>
      </c>
      <c r="H775" s="14"/>
      <c r="I775" s="13"/>
      <c r="J775" s="8" t="s">
        <v>4</v>
      </c>
      <c r="K775" s="8"/>
      <c r="L775" s="8"/>
      <c r="M775" s="8" t="str">
        <f>IF(C775="Caixa","-",VLOOKUP(J775,[1]Estrutura!C:E,3,FALSE))</f>
        <v>5.2</v>
      </c>
      <c r="N775" s="8"/>
      <c r="O775" s="7">
        <f t="shared" si="44"/>
        <v>20</v>
      </c>
      <c r="P775" s="7">
        <f t="shared" si="45"/>
        <v>8</v>
      </c>
      <c r="Q775" s="7">
        <f t="shared" si="46"/>
        <v>2026</v>
      </c>
      <c r="R775" s="6">
        <f t="shared" si="47"/>
        <v>-1444.22</v>
      </c>
      <c r="S775" s="16">
        <v>46255</v>
      </c>
    </row>
    <row r="776" spans="1:19">
      <c r="A776" s="12">
        <v>46254</v>
      </c>
      <c r="B776" s="7" t="s">
        <v>7</v>
      </c>
      <c r="C776" s="7" t="s">
        <v>9</v>
      </c>
      <c r="D776" s="11"/>
      <c r="E776" s="11">
        <v>441.19</v>
      </c>
      <c r="F776" s="11" t="s">
        <v>101</v>
      </c>
      <c r="G776" s="7" t="s">
        <v>542</v>
      </c>
      <c r="H776" s="10"/>
      <c r="I776" s="9"/>
      <c r="J776" s="8" t="s">
        <v>99</v>
      </c>
      <c r="K776" s="7"/>
      <c r="L776" s="7"/>
      <c r="M776" s="7" t="str">
        <f>IF(C776="Caixa","-",VLOOKUP(J776,[1]Estrutura!C:E,3,FALSE))</f>
        <v>4.3</v>
      </c>
      <c r="N776" s="7"/>
      <c r="O776" s="7">
        <f t="shared" si="44"/>
        <v>20</v>
      </c>
      <c r="P776" s="7">
        <f t="shared" si="45"/>
        <v>8</v>
      </c>
      <c r="Q776" s="7">
        <f t="shared" si="46"/>
        <v>2026</v>
      </c>
      <c r="R776" s="6">
        <f t="shared" si="47"/>
        <v>-441.19</v>
      </c>
      <c r="S776" s="16">
        <v>46255</v>
      </c>
    </row>
    <row r="777" spans="1:19">
      <c r="A777" s="16">
        <v>46254</v>
      </c>
      <c r="B777" s="8" t="s">
        <v>7</v>
      </c>
      <c r="C777" s="8" t="s">
        <v>9</v>
      </c>
      <c r="D777" s="15"/>
      <c r="E777" s="15">
        <v>867.09</v>
      </c>
      <c r="F777" s="15" t="s">
        <v>97</v>
      </c>
      <c r="G777" s="8" t="s">
        <v>541</v>
      </c>
      <c r="H777" s="14"/>
      <c r="I777" s="13"/>
      <c r="J777" s="8" t="s">
        <v>95</v>
      </c>
      <c r="K777" s="8"/>
      <c r="L777" s="8"/>
      <c r="M777" s="8" t="str">
        <f>IF(C777="Caixa","-",VLOOKUP(J777,[1]Estrutura!C:E,3,FALSE))</f>
        <v>4.1</v>
      </c>
      <c r="N777" s="8"/>
      <c r="O777" s="7">
        <f t="shared" si="44"/>
        <v>20</v>
      </c>
      <c r="P777" s="7">
        <f t="shared" si="45"/>
        <v>8</v>
      </c>
      <c r="Q777" s="7">
        <f t="shared" si="46"/>
        <v>2026</v>
      </c>
      <c r="R777" s="6">
        <f t="shared" si="47"/>
        <v>-867.09</v>
      </c>
      <c r="S777" s="12">
        <v>46255</v>
      </c>
    </row>
    <row r="778" spans="1:19">
      <c r="A778" s="12">
        <v>46254</v>
      </c>
      <c r="B778" s="7" t="s">
        <v>7</v>
      </c>
      <c r="C778" s="7" t="s">
        <v>9</v>
      </c>
      <c r="D778" s="11"/>
      <c r="E778" s="11">
        <v>514.67999999999995</v>
      </c>
      <c r="F778" s="11" t="s">
        <v>332</v>
      </c>
      <c r="G778" s="7" t="s">
        <v>540</v>
      </c>
      <c r="H778" s="10"/>
      <c r="I778" s="9"/>
      <c r="J778" s="7" t="s">
        <v>86</v>
      </c>
      <c r="K778" s="7"/>
      <c r="L778" s="7"/>
      <c r="M778" s="7" t="str">
        <f>IF(C778="Caixa","-",VLOOKUP(J778,[1]Estrutura!C:E,3,FALSE))</f>
        <v>4.8</v>
      </c>
      <c r="N778" s="7"/>
      <c r="O778" s="7">
        <f t="shared" si="44"/>
        <v>20</v>
      </c>
      <c r="P778" s="7">
        <f t="shared" si="45"/>
        <v>8</v>
      </c>
      <c r="Q778" s="7">
        <f t="shared" si="46"/>
        <v>2026</v>
      </c>
      <c r="R778" s="6">
        <f t="shared" si="47"/>
        <v>-514.67999999999995</v>
      </c>
      <c r="S778" s="16">
        <v>46256</v>
      </c>
    </row>
    <row r="779" spans="1:19">
      <c r="A779" s="16">
        <v>46255</v>
      </c>
      <c r="B779" s="8" t="s">
        <v>14</v>
      </c>
      <c r="C779" s="7" t="s">
        <v>9</v>
      </c>
      <c r="D779" s="15">
        <v>2074.1999999999998</v>
      </c>
      <c r="E779" s="15"/>
      <c r="F779" s="15"/>
      <c r="G779" s="8" t="s">
        <v>11</v>
      </c>
      <c r="H779" s="8"/>
      <c r="I779" s="17"/>
      <c r="J779" s="8" t="s">
        <v>10</v>
      </c>
      <c r="K779" s="8"/>
      <c r="L779" s="8"/>
      <c r="M779" s="8" t="str">
        <f>IF(C779="Caixa","-",VLOOKUP(J779,[1]Estrutura!C:E,3,FALSE))</f>
        <v>1.1</v>
      </c>
      <c r="N779" s="8"/>
      <c r="O779" s="7">
        <f t="shared" si="44"/>
        <v>21</v>
      </c>
      <c r="P779" s="7">
        <f t="shared" si="45"/>
        <v>8</v>
      </c>
      <c r="Q779" s="7">
        <f t="shared" si="46"/>
        <v>2026</v>
      </c>
      <c r="R779" s="6">
        <f t="shared" si="47"/>
        <v>2074.1999999999998</v>
      </c>
      <c r="S779" s="12">
        <v>46256</v>
      </c>
    </row>
    <row r="780" spans="1:19">
      <c r="A780" s="16">
        <v>46255</v>
      </c>
      <c r="B780" s="8" t="s">
        <v>14</v>
      </c>
      <c r="C780" s="8" t="s">
        <v>9</v>
      </c>
      <c r="D780" s="15"/>
      <c r="E780" s="15">
        <v>5227</v>
      </c>
      <c r="F780" s="15" t="s">
        <v>50</v>
      </c>
      <c r="G780" s="8" t="s">
        <v>70</v>
      </c>
      <c r="H780" s="14"/>
      <c r="I780" s="13"/>
      <c r="J780" s="7" t="s">
        <v>35</v>
      </c>
      <c r="K780" s="8"/>
      <c r="L780" s="7"/>
      <c r="M780" s="7" t="str">
        <f>IF(C780="Caixa","-",VLOOKUP(J780,[1]Estrutura!C:E,3,FALSE))</f>
        <v>4.1</v>
      </c>
      <c r="N780" s="7"/>
      <c r="O780" s="7">
        <f t="shared" si="44"/>
        <v>21</v>
      </c>
      <c r="P780" s="7">
        <f t="shared" si="45"/>
        <v>8</v>
      </c>
      <c r="Q780" s="7">
        <f t="shared" si="46"/>
        <v>2026</v>
      </c>
      <c r="R780" s="6">
        <f t="shared" si="47"/>
        <v>-5227</v>
      </c>
      <c r="S780" s="16">
        <v>46256</v>
      </c>
    </row>
    <row r="781" spans="1:19">
      <c r="A781" s="12">
        <v>46255</v>
      </c>
      <c r="B781" s="7" t="s">
        <v>14</v>
      </c>
      <c r="C781" s="7" t="s">
        <v>9</v>
      </c>
      <c r="D781" s="11"/>
      <c r="E781" s="11">
        <v>2815</v>
      </c>
      <c r="F781" s="11" t="s">
        <v>51</v>
      </c>
      <c r="G781" s="7" t="s">
        <v>539</v>
      </c>
      <c r="H781" s="10"/>
      <c r="I781" s="9"/>
      <c r="J781" s="7" t="s">
        <v>35</v>
      </c>
      <c r="K781" s="7"/>
      <c r="L781" s="8"/>
      <c r="M781" s="8" t="str">
        <f>IF(C781="Caixa","-",VLOOKUP(J781,[1]Estrutura!C:E,3,FALSE))</f>
        <v>4.1</v>
      </c>
      <c r="N781" s="8"/>
      <c r="O781" s="7">
        <f t="shared" si="44"/>
        <v>21</v>
      </c>
      <c r="P781" s="7">
        <f t="shared" si="45"/>
        <v>8</v>
      </c>
      <c r="Q781" s="7">
        <f t="shared" si="46"/>
        <v>2026</v>
      </c>
      <c r="R781" s="6">
        <f t="shared" si="47"/>
        <v>-2815</v>
      </c>
      <c r="S781" s="16">
        <v>46256</v>
      </c>
    </row>
    <row r="782" spans="1:19">
      <c r="A782" s="12">
        <v>46255</v>
      </c>
      <c r="B782" s="7" t="s">
        <v>14</v>
      </c>
      <c r="C782" s="7" t="s">
        <v>9</v>
      </c>
      <c r="D782" s="11"/>
      <c r="E782" s="11">
        <v>8400</v>
      </c>
      <c r="F782" s="11" t="s">
        <v>49</v>
      </c>
      <c r="G782" s="7" t="s">
        <v>539</v>
      </c>
      <c r="H782" s="10"/>
      <c r="I782" s="9"/>
      <c r="J782" s="7" t="s">
        <v>35</v>
      </c>
      <c r="K782" s="7"/>
      <c r="L782" s="7"/>
      <c r="M782" s="7" t="str">
        <f>IF(C782="Caixa","-",VLOOKUP(J782,[1]Estrutura!C:E,3,FALSE))</f>
        <v>4.1</v>
      </c>
      <c r="N782" s="7"/>
      <c r="O782" s="7">
        <f t="shared" ref="O782:O845" si="48">DAY(A782)</f>
        <v>21</v>
      </c>
      <c r="P782" s="7">
        <f t="shared" ref="P782:P845" si="49">MONTH(A782)</f>
        <v>8</v>
      </c>
      <c r="Q782" s="7">
        <f t="shared" ref="Q782:Q845" si="50">YEAR(A782)</f>
        <v>2026</v>
      </c>
      <c r="R782" s="6">
        <f t="shared" ref="R782:R845" si="51">D782-E782</f>
        <v>-8400</v>
      </c>
      <c r="S782" s="12">
        <v>46256</v>
      </c>
    </row>
    <row r="783" spans="1:19">
      <c r="A783" s="16">
        <v>46255</v>
      </c>
      <c r="B783" s="8" t="s">
        <v>14</v>
      </c>
      <c r="C783" s="8" t="s">
        <v>9</v>
      </c>
      <c r="D783" s="15"/>
      <c r="E783" s="15">
        <v>8811</v>
      </c>
      <c r="F783" s="15" t="s">
        <v>85</v>
      </c>
      <c r="G783" s="8" t="s">
        <v>84</v>
      </c>
      <c r="H783" s="14"/>
      <c r="I783" s="13"/>
      <c r="J783" s="8" t="s">
        <v>83</v>
      </c>
      <c r="K783" s="8"/>
      <c r="L783" s="8"/>
      <c r="M783" s="8" t="str">
        <f>IF(C783="Caixa","-",VLOOKUP(J783,[1]Estrutura!C:E,3,FALSE))</f>
        <v>4.1</v>
      </c>
      <c r="N783" s="8"/>
      <c r="O783" s="7">
        <f t="shared" si="48"/>
        <v>21</v>
      </c>
      <c r="P783" s="7">
        <f t="shared" si="49"/>
        <v>8</v>
      </c>
      <c r="Q783" s="7">
        <f t="shared" si="50"/>
        <v>2026</v>
      </c>
      <c r="R783" s="6">
        <f t="shared" si="51"/>
        <v>-8811</v>
      </c>
      <c r="S783" s="16">
        <v>46256</v>
      </c>
    </row>
    <row r="784" spans="1:19">
      <c r="A784" s="12">
        <v>46255</v>
      </c>
      <c r="B784" s="7" t="s">
        <v>14</v>
      </c>
      <c r="C784" s="7" t="s">
        <v>9</v>
      </c>
      <c r="D784" s="11"/>
      <c r="E784" s="11">
        <v>8811</v>
      </c>
      <c r="F784" s="11" t="s">
        <v>94</v>
      </c>
      <c r="G784" s="8" t="s">
        <v>84</v>
      </c>
      <c r="H784" s="10"/>
      <c r="I784" s="9"/>
      <c r="J784" s="7" t="s">
        <v>83</v>
      </c>
      <c r="K784" s="7"/>
      <c r="L784" s="7"/>
      <c r="M784" s="7" t="str">
        <f>IF(C784="Caixa","-",VLOOKUP(J784,[1]Estrutura!C:E,3,FALSE))</f>
        <v>4.1</v>
      </c>
      <c r="N784" s="7"/>
      <c r="O784" s="7">
        <f t="shared" si="48"/>
        <v>21</v>
      </c>
      <c r="P784" s="7">
        <f t="shared" si="49"/>
        <v>8</v>
      </c>
      <c r="Q784" s="7">
        <f t="shared" si="50"/>
        <v>2026</v>
      </c>
      <c r="R784" s="6">
        <f t="shared" si="51"/>
        <v>-8811</v>
      </c>
      <c r="S784" s="12">
        <v>46256</v>
      </c>
    </row>
    <row r="785" spans="1:19">
      <c r="A785" s="16">
        <v>46255</v>
      </c>
      <c r="B785" s="8" t="s">
        <v>26</v>
      </c>
      <c r="C785" s="8" t="s">
        <v>6</v>
      </c>
      <c r="D785" s="15">
        <v>50000</v>
      </c>
      <c r="E785" s="15"/>
      <c r="F785" s="15" t="s">
        <v>513</v>
      </c>
      <c r="G785" s="8" t="s">
        <v>538</v>
      </c>
      <c r="H785" s="14">
        <v>1</v>
      </c>
      <c r="I785" s="13"/>
      <c r="J785" s="8" t="s">
        <v>511</v>
      </c>
      <c r="K785" s="8" t="s">
        <v>34</v>
      </c>
      <c r="L785" s="8"/>
      <c r="M785" s="8" t="str">
        <f>IF(C785="Caixa","-",VLOOKUP(J785,[1]Estrutura!C:E,3,FALSE))</f>
        <v>1.3</v>
      </c>
      <c r="N785" s="8"/>
      <c r="O785" s="7">
        <f t="shared" si="48"/>
        <v>21</v>
      </c>
      <c r="P785" s="7">
        <f t="shared" si="49"/>
        <v>8</v>
      </c>
      <c r="Q785" s="7">
        <f t="shared" si="50"/>
        <v>2026</v>
      </c>
      <c r="R785" s="6">
        <f t="shared" si="51"/>
        <v>50000</v>
      </c>
      <c r="S785" s="16">
        <v>46256</v>
      </c>
    </row>
    <row r="786" spans="1:19">
      <c r="A786" s="16">
        <v>46255</v>
      </c>
      <c r="B786" s="7" t="s">
        <v>7</v>
      </c>
      <c r="C786" s="7" t="s">
        <v>9</v>
      </c>
      <c r="D786" s="15">
        <v>1607.85</v>
      </c>
      <c r="E786" s="15"/>
      <c r="F786" s="15"/>
      <c r="G786" s="8" t="s">
        <v>11</v>
      </c>
      <c r="H786" s="8"/>
      <c r="I786" s="17"/>
      <c r="J786" s="8" t="s">
        <v>10</v>
      </c>
      <c r="K786" s="8"/>
      <c r="L786" s="7"/>
      <c r="M786" s="7" t="str">
        <f>IF(C786="Caixa","-",VLOOKUP(J786,[1]Estrutura!C:E,3,FALSE))</f>
        <v>1.1</v>
      </c>
      <c r="N786" s="7"/>
      <c r="O786" s="7">
        <f t="shared" si="48"/>
        <v>21</v>
      </c>
      <c r="P786" s="7">
        <f t="shared" si="49"/>
        <v>8</v>
      </c>
      <c r="Q786" s="7">
        <f t="shared" si="50"/>
        <v>2026</v>
      </c>
      <c r="R786" s="6">
        <f t="shared" si="51"/>
        <v>1607.85</v>
      </c>
      <c r="S786" s="12">
        <v>46256</v>
      </c>
    </row>
    <row r="787" spans="1:19">
      <c r="A787" s="16">
        <v>46255</v>
      </c>
      <c r="B787" s="8" t="s">
        <v>7</v>
      </c>
      <c r="C787" s="8" t="s">
        <v>9</v>
      </c>
      <c r="D787" s="15"/>
      <c r="E787" s="46">
        <v>13216.9</v>
      </c>
      <c r="F787" s="15" t="s">
        <v>94</v>
      </c>
      <c r="G787" s="15" t="s">
        <v>84</v>
      </c>
      <c r="H787" s="14"/>
      <c r="I787" s="13"/>
      <c r="J787" s="8" t="s">
        <v>83</v>
      </c>
      <c r="K787" s="8"/>
      <c r="L787" s="8"/>
      <c r="M787" s="8" t="str">
        <f>IF(C787="Caixa","-",VLOOKUP(J787,[1]Estrutura!C:E,3,FALSE))</f>
        <v>4.1</v>
      </c>
      <c r="N787" s="8"/>
      <c r="O787" s="7">
        <f t="shared" si="48"/>
        <v>21</v>
      </c>
      <c r="P787" s="7">
        <f t="shared" si="49"/>
        <v>8</v>
      </c>
      <c r="Q787" s="7">
        <f t="shared" si="50"/>
        <v>2026</v>
      </c>
      <c r="R787" s="6">
        <f t="shared" si="51"/>
        <v>-13216.9</v>
      </c>
      <c r="S787" s="12">
        <v>46256</v>
      </c>
    </row>
    <row r="788" spans="1:19">
      <c r="A788" s="12">
        <v>46255</v>
      </c>
      <c r="B788" s="7" t="s">
        <v>7</v>
      </c>
      <c r="C788" s="7" t="s">
        <v>9</v>
      </c>
      <c r="D788" s="11"/>
      <c r="E788" s="11">
        <v>13216.9</v>
      </c>
      <c r="F788" s="15" t="s">
        <v>85</v>
      </c>
      <c r="G788" s="7" t="s">
        <v>84</v>
      </c>
      <c r="H788" s="10"/>
      <c r="I788" s="9"/>
      <c r="J788" s="7" t="s">
        <v>83</v>
      </c>
      <c r="K788" s="7"/>
      <c r="L788" s="7"/>
      <c r="M788" s="7" t="str">
        <f>IF(C788="Caixa","-",VLOOKUP(J788,[1]Estrutura!C:E,3,FALSE))</f>
        <v>4.1</v>
      </c>
      <c r="N788" s="7"/>
      <c r="O788" s="7">
        <f t="shared" si="48"/>
        <v>21</v>
      </c>
      <c r="P788" s="7">
        <f t="shared" si="49"/>
        <v>8</v>
      </c>
      <c r="Q788" s="7">
        <f t="shared" si="50"/>
        <v>2026</v>
      </c>
      <c r="R788" s="6">
        <f t="shared" si="51"/>
        <v>-13216.9</v>
      </c>
      <c r="S788" s="16">
        <v>46256</v>
      </c>
    </row>
    <row r="789" spans="1:19">
      <c r="A789" s="16">
        <v>46256</v>
      </c>
      <c r="B789" s="8" t="s">
        <v>122</v>
      </c>
      <c r="C789" s="8" t="s">
        <v>6</v>
      </c>
      <c r="D789" s="15"/>
      <c r="E789" s="15">
        <v>377.27</v>
      </c>
      <c r="F789" s="15" t="s">
        <v>125</v>
      </c>
      <c r="G789" s="8" t="s">
        <v>537</v>
      </c>
      <c r="H789" s="14"/>
      <c r="I789" s="13"/>
      <c r="J789" s="8" t="s">
        <v>99</v>
      </c>
      <c r="K789" s="8"/>
      <c r="L789" s="8"/>
      <c r="M789" s="8" t="str">
        <f>IF(C789="Caixa","-",VLOOKUP(J789,[1]Estrutura!C:E,3,FALSE))</f>
        <v>4.3</v>
      </c>
      <c r="N789" s="8"/>
      <c r="O789" s="7">
        <f t="shared" si="48"/>
        <v>22</v>
      </c>
      <c r="P789" s="7">
        <f t="shared" si="49"/>
        <v>8</v>
      </c>
      <c r="Q789" s="7">
        <f t="shared" si="50"/>
        <v>2026</v>
      </c>
      <c r="R789" s="6">
        <f t="shared" si="51"/>
        <v>-377.27</v>
      </c>
      <c r="S789" s="16">
        <v>46256</v>
      </c>
    </row>
    <row r="790" spans="1:19">
      <c r="A790" s="12">
        <v>46256</v>
      </c>
      <c r="B790" s="7" t="s">
        <v>14</v>
      </c>
      <c r="C790" s="7" t="s">
        <v>9</v>
      </c>
      <c r="D790" s="11">
        <v>65.22</v>
      </c>
      <c r="E790" s="11"/>
      <c r="F790" s="11"/>
      <c r="G790" s="11" t="s">
        <v>534</v>
      </c>
      <c r="H790" s="10"/>
      <c r="I790" s="9"/>
      <c r="J790" s="7" t="s">
        <v>17</v>
      </c>
      <c r="K790" s="7"/>
      <c r="L790" s="7"/>
      <c r="M790" s="7" t="str">
        <f>IF(C790="Caixa","-",VLOOKUP(J790,[1]Estrutura!C:E,3,FALSE))</f>
        <v>4.4</v>
      </c>
      <c r="N790" s="7"/>
      <c r="O790" s="7">
        <f t="shared" si="48"/>
        <v>22</v>
      </c>
      <c r="P790" s="7">
        <f t="shared" si="49"/>
        <v>8</v>
      </c>
      <c r="Q790" s="7">
        <f t="shared" si="50"/>
        <v>2026</v>
      </c>
      <c r="R790" s="6">
        <f t="shared" si="51"/>
        <v>65.22</v>
      </c>
      <c r="S790" s="12">
        <v>46256</v>
      </c>
    </row>
    <row r="791" spans="1:19">
      <c r="A791" s="16">
        <v>46256</v>
      </c>
      <c r="B791" s="8" t="s">
        <v>14</v>
      </c>
      <c r="C791" s="7" t="s">
        <v>9</v>
      </c>
      <c r="D791" s="15">
        <v>3567.8499999999995</v>
      </c>
      <c r="E791" s="15"/>
      <c r="F791" s="15"/>
      <c r="G791" s="8" t="s">
        <v>11</v>
      </c>
      <c r="H791" s="8"/>
      <c r="I791" s="17"/>
      <c r="J791" s="8" t="s">
        <v>10</v>
      </c>
      <c r="K791" s="8"/>
      <c r="L791" s="8"/>
      <c r="M791" s="8" t="str">
        <f>IF(C791="Caixa","-",VLOOKUP(J791,[1]Estrutura!C:E,3,FALSE))</f>
        <v>1.1</v>
      </c>
      <c r="N791" s="8"/>
      <c r="O791" s="7">
        <f t="shared" si="48"/>
        <v>22</v>
      </c>
      <c r="P791" s="7">
        <f t="shared" si="49"/>
        <v>8</v>
      </c>
      <c r="Q791" s="7">
        <f t="shared" si="50"/>
        <v>2026</v>
      </c>
      <c r="R791" s="6">
        <f t="shared" si="51"/>
        <v>3567.8499999999995</v>
      </c>
      <c r="S791" s="12">
        <v>46256</v>
      </c>
    </row>
    <row r="792" spans="1:19">
      <c r="A792" s="16">
        <v>46256</v>
      </c>
      <c r="B792" s="8" t="s">
        <v>14</v>
      </c>
      <c r="C792" s="8" t="s">
        <v>9</v>
      </c>
      <c r="D792" s="15"/>
      <c r="E792" s="15">
        <v>629.14</v>
      </c>
      <c r="F792" s="15" t="s">
        <v>73</v>
      </c>
      <c r="G792" s="15" t="s">
        <v>536</v>
      </c>
      <c r="H792" s="14"/>
      <c r="I792" s="13"/>
      <c r="J792" s="8" t="s">
        <v>77</v>
      </c>
      <c r="K792" s="8"/>
      <c r="L792" s="7"/>
      <c r="M792" s="7" t="str">
        <f>IF(C792="Caixa","-",VLOOKUP(J792,[1]Estrutura!C:E,3,FALSE))</f>
        <v>4.3</v>
      </c>
      <c r="N792" s="7"/>
      <c r="O792" s="7">
        <f t="shared" si="48"/>
        <v>22</v>
      </c>
      <c r="P792" s="7">
        <f t="shared" si="49"/>
        <v>8</v>
      </c>
      <c r="Q792" s="7">
        <f t="shared" si="50"/>
        <v>2026</v>
      </c>
      <c r="R792" s="6">
        <f t="shared" si="51"/>
        <v>-629.14</v>
      </c>
      <c r="S792" s="16">
        <v>46256</v>
      </c>
    </row>
    <row r="793" spans="1:19">
      <c r="A793" s="12">
        <v>46256</v>
      </c>
      <c r="B793" s="7" t="s">
        <v>14</v>
      </c>
      <c r="C793" s="7" t="s">
        <v>9</v>
      </c>
      <c r="D793" s="11"/>
      <c r="E793" s="11">
        <v>729.11</v>
      </c>
      <c r="F793" s="11" t="s">
        <v>24</v>
      </c>
      <c r="G793" s="11" t="s">
        <v>127</v>
      </c>
      <c r="H793" s="10"/>
      <c r="I793" s="9"/>
      <c r="J793" s="7" t="s">
        <v>77</v>
      </c>
      <c r="K793" s="7"/>
      <c r="L793" s="8"/>
      <c r="M793" s="8" t="str">
        <f>IF(C793="Caixa","-",VLOOKUP(J793,[1]Estrutura!C:E,3,FALSE))</f>
        <v>4.3</v>
      </c>
      <c r="N793" s="8"/>
      <c r="O793" s="7">
        <f t="shared" si="48"/>
        <v>22</v>
      </c>
      <c r="P793" s="7">
        <f t="shared" si="49"/>
        <v>8</v>
      </c>
      <c r="Q793" s="7">
        <f t="shared" si="50"/>
        <v>2026</v>
      </c>
      <c r="R793" s="6">
        <f t="shared" si="51"/>
        <v>-729.11</v>
      </c>
      <c r="S793" s="12">
        <v>46256</v>
      </c>
    </row>
    <row r="794" spans="1:19">
      <c r="A794" s="16">
        <v>46256</v>
      </c>
      <c r="B794" s="8" t="s">
        <v>14</v>
      </c>
      <c r="C794" s="8" t="s">
        <v>9</v>
      </c>
      <c r="D794" s="15"/>
      <c r="E794" s="15">
        <v>86.08</v>
      </c>
      <c r="F794" s="15" t="s">
        <v>24</v>
      </c>
      <c r="G794" s="15" t="s">
        <v>316</v>
      </c>
      <c r="H794" s="14"/>
      <c r="I794" s="13"/>
      <c r="J794" s="8" t="s">
        <v>77</v>
      </c>
      <c r="K794" s="8"/>
      <c r="L794" s="7"/>
      <c r="M794" s="7" t="str">
        <f>IF(C794="Caixa","-",VLOOKUP(J794,[1]Estrutura!C:E,3,FALSE))</f>
        <v>4.3</v>
      </c>
      <c r="N794" s="7"/>
      <c r="O794" s="7">
        <f t="shared" si="48"/>
        <v>22</v>
      </c>
      <c r="P794" s="7">
        <f t="shared" si="49"/>
        <v>8</v>
      </c>
      <c r="Q794" s="7">
        <f t="shared" si="50"/>
        <v>2026</v>
      </c>
      <c r="R794" s="6">
        <f t="shared" si="51"/>
        <v>-86.08</v>
      </c>
      <c r="S794" s="16">
        <v>46256</v>
      </c>
    </row>
    <row r="795" spans="1:19">
      <c r="A795" s="12">
        <v>46256</v>
      </c>
      <c r="B795" s="7" t="s">
        <v>14</v>
      </c>
      <c r="C795" s="7" t="s">
        <v>9</v>
      </c>
      <c r="D795" s="11"/>
      <c r="E795" s="11">
        <v>38.99</v>
      </c>
      <c r="F795" s="11" t="s">
        <v>79</v>
      </c>
      <c r="G795" s="11" t="s">
        <v>478</v>
      </c>
      <c r="H795" s="10"/>
      <c r="I795" s="9"/>
      <c r="J795" s="7" t="s">
        <v>77</v>
      </c>
      <c r="K795" s="7"/>
      <c r="L795" s="8"/>
      <c r="M795" s="8" t="str">
        <f>IF(C795="Caixa","-",VLOOKUP(J795,[1]Estrutura!C:E,3,FALSE))</f>
        <v>4.3</v>
      </c>
      <c r="N795" s="8"/>
      <c r="O795" s="7">
        <f t="shared" si="48"/>
        <v>22</v>
      </c>
      <c r="P795" s="7">
        <f t="shared" si="49"/>
        <v>8</v>
      </c>
      <c r="Q795" s="7">
        <f t="shared" si="50"/>
        <v>2026</v>
      </c>
      <c r="R795" s="6">
        <f t="shared" si="51"/>
        <v>-38.99</v>
      </c>
      <c r="S795" s="12">
        <v>46256</v>
      </c>
    </row>
    <row r="796" spans="1:19">
      <c r="A796" s="16">
        <v>46256</v>
      </c>
      <c r="B796" s="8" t="s">
        <v>14</v>
      </c>
      <c r="C796" s="8" t="s">
        <v>9</v>
      </c>
      <c r="D796" s="15"/>
      <c r="E796" s="15">
        <v>1442</v>
      </c>
      <c r="F796" s="15" t="s">
        <v>109</v>
      </c>
      <c r="G796" s="8" t="s">
        <v>75</v>
      </c>
      <c r="H796" s="14"/>
      <c r="I796" s="13"/>
      <c r="J796" s="8" t="s">
        <v>74</v>
      </c>
      <c r="K796" s="8"/>
      <c r="L796" s="7"/>
      <c r="M796" s="7" t="str">
        <f>IF(C796="Caixa","-",VLOOKUP(J796,[1]Estrutura!C:E,3,FALSE))</f>
        <v>4.1</v>
      </c>
      <c r="N796" s="7"/>
      <c r="O796" s="7">
        <f t="shared" si="48"/>
        <v>22</v>
      </c>
      <c r="P796" s="7">
        <f t="shared" si="49"/>
        <v>8</v>
      </c>
      <c r="Q796" s="7">
        <f t="shared" si="50"/>
        <v>2026</v>
      </c>
      <c r="R796" s="6">
        <f t="shared" si="51"/>
        <v>-1442</v>
      </c>
      <c r="S796" s="16">
        <v>46256</v>
      </c>
    </row>
    <row r="797" spans="1:19">
      <c r="A797" s="12">
        <v>46256</v>
      </c>
      <c r="B797" s="7" t="s">
        <v>14</v>
      </c>
      <c r="C797" s="7" t="s">
        <v>9</v>
      </c>
      <c r="D797" s="11"/>
      <c r="E797" s="15">
        <v>800</v>
      </c>
      <c r="F797" s="11" t="s">
        <v>51</v>
      </c>
      <c r="G797" s="8" t="s">
        <v>112</v>
      </c>
      <c r="H797" s="10"/>
      <c r="I797" s="9"/>
      <c r="J797" s="7" t="s">
        <v>110</v>
      </c>
      <c r="K797" s="7"/>
      <c r="L797" s="8"/>
      <c r="M797" s="8" t="str">
        <f>IF(C797="Caixa","-",VLOOKUP(J797,[1]Estrutura!C:E,3,FALSE))</f>
        <v>4.1</v>
      </c>
      <c r="N797" s="8"/>
      <c r="O797" s="7">
        <f t="shared" si="48"/>
        <v>22</v>
      </c>
      <c r="P797" s="7">
        <f t="shared" si="49"/>
        <v>8</v>
      </c>
      <c r="Q797" s="7">
        <f t="shared" si="50"/>
        <v>2026</v>
      </c>
      <c r="R797" s="6">
        <f t="shared" si="51"/>
        <v>-800</v>
      </c>
      <c r="S797" s="12">
        <v>46256</v>
      </c>
    </row>
    <row r="798" spans="1:19">
      <c r="A798" s="12">
        <v>46256</v>
      </c>
      <c r="B798" s="7" t="s">
        <v>14</v>
      </c>
      <c r="C798" s="18" t="s">
        <v>9</v>
      </c>
      <c r="D798" s="11"/>
      <c r="E798" s="15">
        <v>800</v>
      </c>
      <c r="F798" s="11" t="s">
        <v>49</v>
      </c>
      <c r="G798" s="7" t="s">
        <v>112</v>
      </c>
      <c r="H798" s="10"/>
      <c r="I798" s="9"/>
      <c r="J798" s="7" t="s">
        <v>110</v>
      </c>
      <c r="K798" s="7"/>
      <c r="L798" s="7"/>
      <c r="M798" s="7" t="str">
        <f>IF(C798="Caixa","-",VLOOKUP(J798,[1]Estrutura!C:E,3,FALSE))</f>
        <v>4.1</v>
      </c>
      <c r="N798" s="7"/>
      <c r="O798" s="7">
        <f t="shared" si="48"/>
        <v>22</v>
      </c>
      <c r="P798" s="7">
        <f t="shared" si="49"/>
        <v>8</v>
      </c>
      <c r="Q798" s="7">
        <f t="shared" si="50"/>
        <v>2026</v>
      </c>
      <c r="R798" s="6">
        <f t="shared" si="51"/>
        <v>-800</v>
      </c>
      <c r="S798" s="16">
        <v>46256</v>
      </c>
    </row>
    <row r="799" spans="1:19">
      <c r="A799" s="16">
        <v>46256</v>
      </c>
      <c r="B799" s="8" t="s">
        <v>14</v>
      </c>
      <c r="C799" s="8" t="s">
        <v>9</v>
      </c>
      <c r="D799" s="15"/>
      <c r="E799" s="15">
        <v>693</v>
      </c>
      <c r="F799" s="15" t="s">
        <v>50</v>
      </c>
      <c r="G799" s="15" t="s">
        <v>324</v>
      </c>
      <c r="H799" s="14"/>
      <c r="I799" s="13"/>
      <c r="J799" s="8" t="s">
        <v>110</v>
      </c>
      <c r="K799" s="8"/>
      <c r="L799" s="8"/>
      <c r="M799" s="8" t="str">
        <f>IF(C799="Caixa","-",VLOOKUP(J799,[1]Estrutura!C:E,3,FALSE))</f>
        <v>4.1</v>
      </c>
      <c r="N799" s="8"/>
      <c r="O799" s="7">
        <f t="shared" si="48"/>
        <v>22</v>
      </c>
      <c r="P799" s="7">
        <f t="shared" si="49"/>
        <v>8</v>
      </c>
      <c r="Q799" s="7">
        <f t="shared" si="50"/>
        <v>2026</v>
      </c>
      <c r="R799" s="6">
        <f t="shared" si="51"/>
        <v>-693</v>
      </c>
      <c r="S799" s="16">
        <v>46256</v>
      </c>
    </row>
    <row r="800" spans="1:19">
      <c r="A800" s="16">
        <v>46256</v>
      </c>
      <c r="B800" s="8" t="s">
        <v>14</v>
      </c>
      <c r="C800" s="8" t="s">
        <v>9</v>
      </c>
      <c r="D800" s="15"/>
      <c r="E800" s="11">
        <v>470.8</v>
      </c>
      <c r="F800" s="15" t="s">
        <v>51</v>
      </c>
      <c r="G800" s="7" t="s">
        <v>93</v>
      </c>
      <c r="H800" s="14"/>
      <c r="I800" s="13"/>
      <c r="J800" s="8" t="s">
        <v>89</v>
      </c>
      <c r="K800" s="8"/>
      <c r="L800" s="7"/>
      <c r="M800" s="7" t="str">
        <f>IF(C800="Caixa","-",VLOOKUP(J800,[1]Estrutura!C:E,3,FALSE))</f>
        <v>4.1</v>
      </c>
      <c r="N800" s="7"/>
      <c r="O800" s="7">
        <f t="shared" si="48"/>
        <v>22</v>
      </c>
      <c r="P800" s="7">
        <f t="shared" si="49"/>
        <v>8</v>
      </c>
      <c r="Q800" s="7">
        <f t="shared" si="50"/>
        <v>2026</v>
      </c>
      <c r="R800" s="6">
        <f t="shared" si="51"/>
        <v>-470.8</v>
      </c>
      <c r="S800" s="12">
        <v>46256</v>
      </c>
    </row>
    <row r="801" spans="1:19">
      <c r="A801" s="12">
        <v>46256</v>
      </c>
      <c r="B801" s="7" t="s">
        <v>14</v>
      </c>
      <c r="C801" s="7" t="s">
        <v>9</v>
      </c>
      <c r="D801" s="11"/>
      <c r="E801" s="11">
        <v>470.8</v>
      </c>
      <c r="F801" s="11" t="s">
        <v>50</v>
      </c>
      <c r="G801" s="7" t="s">
        <v>93</v>
      </c>
      <c r="H801" s="10"/>
      <c r="I801" s="9"/>
      <c r="J801" s="7" t="s">
        <v>89</v>
      </c>
      <c r="K801" s="7"/>
      <c r="L801" s="8"/>
      <c r="M801" s="8" t="str">
        <f>IF(C801="Caixa","-",VLOOKUP(J801,[1]Estrutura!C:E,3,FALSE))</f>
        <v>4.1</v>
      </c>
      <c r="N801" s="8"/>
      <c r="O801" s="7">
        <f t="shared" si="48"/>
        <v>22</v>
      </c>
      <c r="P801" s="7">
        <f t="shared" si="49"/>
        <v>8</v>
      </c>
      <c r="Q801" s="7">
        <f t="shared" si="50"/>
        <v>2026</v>
      </c>
      <c r="R801" s="6">
        <f t="shared" si="51"/>
        <v>-470.8</v>
      </c>
      <c r="S801" s="16">
        <v>46256</v>
      </c>
    </row>
    <row r="802" spans="1:19">
      <c r="A802" s="12">
        <v>46256</v>
      </c>
      <c r="B802" s="7" t="s">
        <v>26</v>
      </c>
      <c r="C802" s="18" t="s">
        <v>6</v>
      </c>
      <c r="D802" s="11"/>
      <c r="E802" s="15">
        <v>8500</v>
      </c>
      <c r="F802" s="11" t="s">
        <v>263</v>
      </c>
      <c r="G802" s="7" t="s">
        <v>262</v>
      </c>
      <c r="H802" s="10"/>
      <c r="I802" s="9"/>
      <c r="J802" s="7" t="s">
        <v>116</v>
      </c>
      <c r="K802" s="8" t="s">
        <v>21</v>
      </c>
      <c r="L802" s="7"/>
      <c r="M802" s="7" t="str">
        <f>IF(C802="Caixa","-",VLOOKUP(J802,[1]Estrutura!C:E,3,FALSE))</f>
        <v>4.12</v>
      </c>
      <c r="N802" s="7"/>
      <c r="O802" s="7">
        <f t="shared" si="48"/>
        <v>22</v>
      </c>
      <c r="P802" s="7">
        <f t="shared" si="49"/>
        <v>8</v>
      </c>
      <c r="Q802" s="7">
        <f t="shared" si="50"/>
        <v>2026</v>
      </c>
      <c r="R802" s="6">
        <f t="shared" si="51"/>
        <v>-8500</v>
      </c>
      <c r="S802" s="16">
        <v>46256</v>
      </c>
    </row>
    <row r="803" spans="1:19">
      <c r="A803" s="16">
        <v>46256</v>
      </c>
      <c r="B803" s="8" t="s">
        <v>26</v>
      </c>
      <c r="C803" s="8" t="s">
        <v>6</v>
      </c>
      <c r="D803" s="15"/>
      <c r="E803" s="15">
        <f>615.67-0.4</f>
        <v>615.27</v>
      </c>
      <c r="F803" s="15" t="s">
        <v>132</v>
      </c>
      <c r="G803" s="15" t="s">
        <v>535</v>
      </c>
      <c r="H803" s="14"/>
      <c r="I803" s="13"/>
      <c r="J803" s="8" t="s">
        <v>17</v>
      </c>
      <c r="K803" s="8" t="s">
        <v>21</v>
      </c>
      <c r="L803" s="8"/>
      <c r="M803" s="8" t="str">
        <f>IF(C803="Caixa","-",VLOOKUP(J803,[1]Estrutura!C:E,3,FALSE))</f>
        <v>4.4</v>
      </c>
      <c r="N803" s="8"/>
      <c r="O803" s="7">
        <f t="shared" si="48"/>
        <v>22</v>
      </c>
      <c r="P803" s="7">
        <f t="shared" si="49"/>
        <v>8</v>
      </c>
      <c r="Q803" s="7">
        <f t="shared" si="50"/>
        <v>2026</v>
      </c>
      <c r="R803" s="6">
        <f t="shared" si="51"/>
        <v>-615.27</v>
      </c>
      <c r="S803" s="12">
        <v>46256</v>
      </c>
    </row>
    <row r="804" spans="1:19">
      <c r="A804" s="12">
        <v>46256</v>
      </c>
      <c r="B804" s="7" t="s">
        <v>26</v>
      </c>
      <c r="C804" s="7" t="s">
        <v>6</v>
      </c>
      <c r="D804" s="11"/>
      <c r="E804" s="11">
        <v>65.22</v>
      </c>
      <c r="F804" s="11" t="s">
        <v>157</v>
      </c>
      <c r="G804" s="11" t="s">
        <v>534</v>
      </c>
      <c r="H804" s="10"/>
      <c r="I804" s="9"/>
      <c r="J804" s="7" t="s">
        <v>17</v>
      </c>
      <c r="K804" s="7" t="s">
        <v>21</v>
      </c>
      <c r="L804" s="7"/>
      <c r="M804" s="7" t="str">
        <f>IF(C804="Caixa","-",VLOOKUP(J804,[1]Estrutura!C:E,3,FALSE))</f>
        <v>4.4</v>
      </c>
      <c r="N804" s="7"/>
      <c r="O804" s="7">
        <f t="shared" si="48"/>
        <v>22</v>
      </c>
      <c r="P804" s="7">
        <f t="shared" si="49"/>
        <v>8</v>
      </c>
      <c r="Q804" s="7">
        <f t="shared" si="50"/>
        <v>2026</v>
      </c>
      <c r="R804" s="6">
        <f t="shared" si="51"/>
        <v>-65.22</v>
      </c>
      <c r="S804" s="12">
        <v>46256</v>
      </c>
    </row>
    <row r="805" spans="1:19">
      <c r="A805" s="16">
        <v>46256</v>
      </c>
      <c r="B805" s="8" t="s">
        <v>26</v>
      </c>
      <c r="C805" s="8" t="s">
        <v>6</v>
      </c>
      <c r="D805" s="15"/>
      <c r="E805" s="15">
        <v>355</v>
      </c>
      <c r="F805" s="15" t="s">
        <v>532</v>
      </c>
      <c r="G805" s="15" t="s">
        <v>533</v>
      </c>
      <c r="H805" s="14"/>
      <c r="I805" s="13"/>
      <c r="J805" s="8" t="s">
        <v>12</v>
      </c>
      <c r="K805" s="8" t="s">
        <v>34</v>
      </c>
      <c r="L805" s="8"/>
      <c r="M805" s="8" t="str">
        <f>IF(C805="Caixa","-",VLOOKUP(J805,[1]Estrutura!C:E,3,FALSE))</f>
        <v>4.9</v>
      </c>
      <c r="N805" s="8"/>
      <c r="O805" s="7">
        <f t="shared" si="48"/>
        <v>22</v>
      </c>
      <c r="P805" s="7">
        <f t="shared" si="49"/>
        <v>8</v>
      </c>
      <c r="Q805" s="7">
        <f t="shared" si="50"/>
        <v>2026</v>
      </c>
      <c r="R805" s="6">
        <f t="shared" si="51"/>
        <v>-355</v>
      </c>
      <c r="S805" s="16">
        <v>46256</v>
      </c>
    </row>
    <row r="806" spans="1:19">
      <c r="A806" s="12">
        <v>46256</v>
      </c>
      <c r="B806" s="7" t="s">
        <v>26</v>
      </c>
      <c r="C806" s="7" t="s">
        <v>6</v>
      </c>
      <c r="D806" s="11"/>
      <c r="E806" s="11">
        <v>362</v>
      </c>
      <c r="F806" s="11" t="s">
        <v>532</v>
      </c>
      <c r="G806" s="11" t="s">
        <v>531</v>
      </c>
      <c r="H806" s="10"/>
      <c r="I806" s="9"/>
      <c r="J806" s="7" t="s">
        <v>12</v>
      </c>
      <c r="K806" s="8" t="s">
        <v>34</v>
      </c>
      <c r="L806" s="7"/>
      <c r="M806" s="7" t="str">
        <f>IF(C806="Caixa","-",VLOOKUP(J806,[1]Estrutura!C:E,3,FALSE))</f>
        <v>4.9</v>
      </c>
      <c r="N806" s="7"/>
      <c r="O806" s="7">
        <f t="shared" si="48"/>
        <v>22</v>
      </c>
      <c r="P806" s="7">
        <f t="shared" si="49"/>
        <v>8</v>
      </c>
      <c r="Q806" s="7">
        <f t="shared" si="50"/>
        <v>2026</v>
      </c>
      <c r="R806" s="6">
        <f t="shared" si="51"/>
        <v>-362</v>
      </c>
      <c r="S806" s="12">
        <v>46256</v>
      </c>
    </row>
    <row r="807" spans="1:19">
      <c r="A807" s="16">
        <v>46256</v>
      </c>
      <c r="B807" s="8" t="s">
        <v>26</v>
      </c>
      <c r="C807" s="8" t="s">
        <v>6</v>
      </c>
      <c r="D807" s="15"/>
      <c r="E807" s="15">
        <v>5183.0200000000004</v>
      </c>
      <c r="F807" s="15" t="s">
        <v>341</v>
      </c>
      <c r="G807" s="15" t="s">
        <v>530</v>
      </c>
      <c r="H807" s="14"/>
      <c r="I807" s="13"/>
      <c r="J807" s="8" t="s">
        <v>339</v>
      </c>
      <c r="K807" s="8" t="s">
        <v>21</v>
      </c>
      <c r="L807" s="8"/>
      <c r="M807" s="8" t="str">
        <f>IF(C807="Caixa","-",VLOOKUP(J807,[1]Estrutura!C:E,3,FALSE))</f>
        <v>4.6</v>
      </c>
      <c r="N807" s="8"/>
      <c r="O807" s="7">
        <f t="shared" si="48"/>
        <v>22</v>
      </c>
      <c r="P807" s="7">
        <f t="shared" si="49"/>
        <v>8</v>
      </c>
      <c r="Q807" s="7">
        <f t="shared" si="50"/>
        <v>2026</v>
      </c>
      <c r="R807" s="6">
        <f t="shared" si="51"/>
        <v>-5183.0200000000004</v>
      </c>
      <c r="S807" s="16">
        <v>46256</v>
      </c>
    </row>
    <row r="808" spans="1:19">
      <c r="A808" s="12">
        <v>46256</v>
      </c>
      <c r="B808" s="7" t="s">
        <v>26</v>
      </c>
      <c r="C808" s="7" t="s">
        <v>6</v>
      </c>
      <c r="D808" s="11"/>
      <c r="E808" s="11">
        <v>2997</v>
      </c>
      <c r="F808" s="11" t="s">
        <v>46</v>
      </c>
      <c r="G808" s="11" t="s">
        <v>529</v>
      </c>
      <c r="H808" s="10"/>
      <c r="I808" s="9"/>
      <c r="J808" s="7" t="s">
        <v>35</v>
      </c>
      <c r="K808" s="18" t="s">
        <v>34</v>
      </c>
      <c r="L808" s="7"/>
      <c r="M808" s="7" t="str">
        <f>IF(C808="Caixa","-",VLOOKUP(J808,[1]Estrutura!C:E,3,FALSE))</f>
        <v>4.1</v>
      </c>
      <c r="N808" s="7"/>
      <c r="O808" s="7">
        <f t="shared" si="48"/>
        <v>22</v>
      </c>
      <c r="P808" s="7">
        <f t="shared" si="49"/>
        <v>8</v>
      </c>
      <c r="Q808" s="7">
        <f t="shared" si="50"/>
        <v>2026</v>
      </c>
      <c r="R808" s="6">
        <f t="shared" si="51"/>
        <v>-2997</v>
      </c>
      <c r="S808" s="12">
        <v>46256</v>
      </c>
    </row>
    <row r="809" spans="1:19">
      <c r="A809" s="16">
        <v>46256</v>
      </c>
      <c r="B809" s="8" t="s">
        <v>26</v>
      </c>
      <c r="C809" s="8" t="s">
        <v>6</v>
      </c>
      <c r="D809" s="15"/>
      <c r="E809" s="11">
        <v>2174</v>
      </c>
      <c r="F809" s="15" t="s">
        <v>71</v>
      </c>
      <c r="G809" s="11" t="s">
        <v>70</v>
      </c>
      <c r="H809" s="14"/>
      <c r="I809" s="13"/>
      <c r="J809" s="7" t="s">
        <v>35</v>
      </c>
      <c r="K809" s="8" t="s">
        <v>40</v>
      </c>
      <c r="L809" s="8"/>
      <c r="M809" s="8" t="str">
        <f>IF(C809="Caixa","-",VLOOKUP(J809,[1]Estrutura!C:E,3,FALSE))</f>
        <v>4.1</v>
      </c>
      <c r="N809" s="8"/>
      <c r="O809" s="7">
        <f t="shared" si="48"/>
        <v>22</v>
      </c>
      <c r="P809" s="7">
        <f t="shared" si="49"/>
        <v>8</v>
      </c>
      <c r="Q809" s="7">
        <f t="shared" si="50"/>
        <v>2026</v>
      </c>
      <c r="R809" s="6">
        <f t="shared" si="51"/>
        <v>-2174</v>
      </c>
      <c r="S809" s="16">
        <v>46256</v>
      </c>
    </row>
    <row r="810" spans="1:19">
      <c r="A810" s="16">
        <v>46256</v>
      </c>
      <c r="B810" s="8" t="s">
        <v>26</v>
      </c>
      <c r="C810" s="8" t="s">
        <v>6</v>
      </c>
      <c r="D810" s="15"/>
      <c r="E810" s="15">
        <v>2940</v>
      </c>
      <c r="F810" s="15" t="s">
        <v>37</v>
      </c>
      <c r="G810" s="7" t="s">
        <v>70</v>
      </c>
      <c r="H810" s="14"/>
      <c r="I810" s="13"/>
      <c r="J810" s="7" t="s">
        <v>35</v>
      </c>
      <c r="K810" s="18" t="s">
        <v>34</v>
      </c>
      <c r="L810" s="7"/>
      <c r="M810" s="7" t="str">
        <f>IF(C810="Caixa","-",VLOOKUP(J810,[1]Estrutura!C:E,3,FALSE))</f>
        <v>4.1</v>
      </c>
      <c r="N810" s="7"/>
      <c r="O810" s="7">
        <f t="shared" si="48"/>
        <v>22</v>
      </c>
      <c r="P810" s="7">
        <f t="shared" si="49"/>
        <v>8</v>
      </c>
      <c r="Q810" s="7">
        <f t="shared" si="50"/>
        <v>2026</v>
      </c>
      <c r="R810" s="6">
        <f t="shared" si="51"/>
        <v>-2940</v>
      </c>
      <c r="S810" s="12">
        <v>46256</v>
      </c>
    </row>
    <row r="811" spans="1:19">
      <c r="A811" s="12">
        <v>46256</v>
      </c>
      <c r="B811" s="7" t="s">
        <v>26</v>
      </c>
      <c r="C811" s="7" t="s">
        <v>6</v>
      </c>
      <c r="D811" s="11"/>
      <c r="E811" s="15">
        <v>1875</v>
      </c>
      <c r="F811" s="11" t="s">
        <v>48</v>
      </c>
      <c r="G811" s="11" t="s">
        <v>528</v>
      </c>
      <c r="H811" s="10"/>
      <c r="I811" s="9"/>
      <c r="J811" s="7" t="s">
        <v>35</v>
      </c>
      <c r="K811" s="8" t="s">
        <v>40</v>
      </c>
      <c r="L811" s="8"/>
      <c r="M811" s="8" t="str">
        <f>IF(C811="Caixa","-",VLOOKUP(J811,[1]Estrutura!C:E,3,FALSE))</f>
        <v>4.1</v>
      </c>
      <c r="N811" s="8"/>
      <c r="O811" s="7">
        <f t="shared" si="48"/>
        <v>22</v>
      </c>
      <c r="P811" s="7">
        <f t="shared" si="49"/>
        <v>8</v>
      </c>
      <c r="Q811" s="7">
        <f t="shared" si="50"/>
        <v>2026</v>
      </c>
      <c r="R811" s="6">
        <f t="shared" si="51"/>
        <v>-1875</v>
      </c>
      <c r="S811" s="16">
        <v>46257</v>
      </c>
    </row>
    <row r="812" spans="1:19">
      <c r="A812" s="16">
        <v>46256</v>
      </c>
      <c r="B812" s="8" t="s">
        <v>26</v>
      </c>
      <c r="C812" s="8" t="s">
        <v>6</v>
      </c>
      <c r="D812" s="15"/>
      <c r="E812" s="15">
        <v>3045</v>
      </c>
      <c r="F812" s="15" t="s">
        <v>47</v>
      </c>
      <c r="G812" s="15" t="s">
        <v>528</v>
      </c>
      <c r="H812" s="14"/>
      <c r="I812" s="13"/>
      <c r="J812" s="7" t="s">
        <v>35</v>
      </c>
      <c r="K812" s="8" t="s">
        <v>21</v>
      </c>
      <c r="L812" s="7"/>
      <c r="M812" s="7" t="str">
        <f>IF(C812="Caixa","-",VLOOKUP(J812,[1]Estrutura!C:E,3,FALSE))</f>
        <v>4.1</v>
      </c>
      <c r="N812" s="7"/>
      <c r="O812" s="7">
        <f t="shared" si="48"/>
        <v>22</v>
      </c>
      <c r="P812" s="7">
        <f t="shared" si="49"/>
        <v>8</v>
      </c>
      <c r="Q812" s="7">
        <f t="shared" si="50"/>
        <v>2026</v>
      </c>
      <c r="R812" s="6">
        <f t="shared" si="51"/>
        <v>-3045</v>
      </c>
      <c r="S812" s="16">
        <v>46258</v>
      </c>
    </row>
    <row r="813" spans="1:19">
      <c r="A813" s="16">
        <v>46256</v>
      </c>
      <c r="B813" s="8" t="s">
        <v>26</v>
      </c>
      <c r="C813" s="8" t="s">
        <v>6</v>
      </c>
      <c r="D813" s="15"/>
      <c r="E813" s="15">
        <v>2722</v>
      </c>
      <c r="F813" s="15" t="s">
        <v>45</v>
      </c>
      <c r="G813" s="15" t="s">
        <v>528</v>
      </c>
      <c r="H813" s="14"/>
      <c r="I813" s="13"/>
      <c r="J813" s="7" t="s">
        <v>35</v>
      </c>
      <c r="K813" s="8" t="s">
        <v>44</v>
      </c>
      <c r="L813" s="8"/>
      <c r="M813" s="8" t="str">
        <f>IF(C813="Caixa","-",VLOOKUP(J813,[1]Estrutura!C:E,3,FALSE))</f>
        <v>4.1</v>
      </c>
      <c r="N813" s="8"/>
      <c r="O813" s="7">
        <f t="shared" si="48"/>
        <v>22</v>
      </c>
      <c r="P813" s="7">
        <f t="shared" si="49"/>
        <v>8</v>
      </c>
      <c r="Q813" s="7">
        <f t="shared" si="50"/>
        <v>2026</v>
      </c>
      <c r="R813" s="6">
        <f t="shared" si="51"/>
        <v>-2722</v>
      </c>
      <c r="S813" s="16">
        <v>46259</v>
      </c>
    </row>
    <row r="814" spans="1:19">
      <c r="A814" s="12">
        <v>46256</v>
      </c>
      <c r="B814" s="7" t="s">
        <v>26</v>
      </c>
      <c r="C814" s="7" t="s">
        <v>6</v>
      </c>
      <c r="D814" s="11"/>
      <c r="E814" s="11">
        <v>2040</v>
      </c>
      <c r="F814" s="11" t="s">
        <v>38</v>
      </c>
      <c r="G814" s="11" t="s">
        <v>528</v>
      </c>
      <c r="H814" s="10"/>
      <c r="I814" s="9"/>
      <c r="J814" s="7" t="s">
        <v>35</v>
      </c>
      <c r="K814" s="18" t="s">
        <v>34</v>
      </c>
      <c r="L814" s="7"/>
      <c r="M814" s="7" t="str">
        <f>IF(C814="Caixa","-",VLOOKUP(J814,[1]Estrutura!C:E,3,FALSE))</f>
        <v>4.1</v>
      </c>
      <c r="N814" s="7"/>
      <c r="O814" s="7">
        <f t="shared" si="48"/>
        <v>22</v>
      </c>
      <c r="P814" s="7">
        <f t="shared" si="49"/>
        <v>8</v>
      </c>
      <c r="Q814" s="7">
        <f t="shared" si="50"/>
        <v>2026</v>
      </c>
      <c r="R814" s="6">
        <f t="shared" si="51"/>
        <v>-2040</v>
      </c>
      <c r="S814" s="16">
        <v>46259</v>
      </c>
    </row>
    <row r="815" spans="1:19">
      <c r="A815" s="12">
        <v>46256</v>
      </c>
      <c r="B815" s="7" t="s">
        <v>26</v>
      </c>
      <c r="C815" s="7" t="s">
        <v>6</v>
      </c>
      <c r="D815" s="11"/>
      <c r="E815" s="11">
        <v>1926</v>
      </c>
      <c r="F815" s="11" t="s">
        <v>43</v>
      </c>
      <c r="G815" s="11" t="s">
        <v>528</v>
      </c>
      <c r="H815" s="10"/>
      <c r="I815" s="9"/>
      <c r="J815" s="7" t="s">
        <v>35</v>
      </c>
      <c r="K815" s="8" t="s">
        <v>40</v>
      </c>
      <c r="L815" s="8"/>
      <c r="M815" s="8" t="str">
        <f>IF(C815="Caixa","-",VLOOKUP(J815,[1]Estrutura!C:E,3,FALSE))</f>
        <v>4.1</v>
      </c>
      <c r="N815" s="8"/>
      <c r="O815" s="7">
        <f t="shared" si="48"/>
        <v>22</v>
      </c>
      <c r="P815" s="7">
        <f t="shared" si="49"/>
        <v>8</v>
      </c>
      <c r="Q815" s="7">
        <f t="shared" si="50"/>
        <v>2026</v>
      </c>
      <c r="R815" s="6">
        <f t="shared" si="51"/>
        <v>-1926</v>
      </c>
      <c r="S815" s="16">
        <v>46259</v>
      </c>
    </row>
    <row r="816" spans="1:19">
      <c r="A816" s="16">
        <v>46256</v>
      </c>
      <c r="B816" s="8" t="s">
        <v>26</v>
      </c>
      <c r="C816" s="8" t="s">
        <v>6</v>
      </c>
      <c r="D816" s="15"/>
      <c r="E816" s="15">
        <v>2321</v>
      </c>
      <c r="F816" s="15" t="s">
        <v>42</v>
      </c>
      <c r="G816" s="15" t="s">
        <v>528</v>
      </c>
      <c r="H816" s="14"/>
      <c r="I816" s="13"/>
      <c r="J816" s="7" t="s">
        <v>35</v>
      </c>
      <c r="K816" s="18" t="s">
        <v>34</v>
      </c>
      <c r="L816" s="7"/>
      <c r="M816" s="7" t="str">
        <f>IF(C816="Caixa","-",VLOOKUP(J816,[1]Estrutura!C:E,3,FALSE))</f>
        <v>4.1</v>
      </c>
      <c r="N816" s="7"/>
      <c r="O816" s="7">
        <f t="shared" si="48"/>
        <v>22</v>
      </c>
      <c r="P816" s="7">
        <f t="shared" si="49"/>
        <v>8</v>
      </c>
      <c r="Q816" s="7">
        <f t="shared" si="50"/>
        <v>2026</v>
      </c>
      <c r="R816" s="6">
        <f t="shared" si="51"/>
        <v>-2321</v>
      </c>
      <c r="S816" s="12">
        <v>46259</v>
      </c>
    </row>
    <row r="817" spans="1:19">
      <c r="A817" s="12">
        <v>46256</v>
      </c>
      <c r="B817" s="7" t="s">
        <v>26</v>
      </c>
      <c r="C817" s="7" t="s">
        <v>6</v>
      </c>
      <c r="D817" s="11"/>
      <c r="E817" s="11">
        <v>2321</v>
      </c>
      <c r="F817" s="11" t="s">
        <v>41</v>
      </c>
      <c r="G817" s="11" t="s">
        <v>528</v>
      </c>
      <c r="H817" s="10"/>
      <c r="I817" s="9"/>
      <c r="J817" s="7" t="s">
        <v>35</v>
      </c>
      <c r="K817" s="8" t="s">
        <v>40</v>
      </c>
      <c r="L817" s="8"/>
      <c r="M817" s="8" t="str">
        <f>IF(C817="Caixa","-",VLOOKUP(J817,[1]Estrutura!C:E,3,FALSE))</f>
        <v>4.1</v>
      </c>
      <c r="N817" s="8"/>
      <c r="O817" s="7">
        <f t="shared" si="48"/>
        <v>22</v>
      </c>
      <c r="P817" s="7">
        <f t="shared" si="49"/>
        <v>8</v>
      </c>
      <c r="Q817" s="7">
        <f t="shared" si="50"/>
        <v>2026</v>
      </c>
      <c r="R817" s="6">
        <f t="shared" si="51"/>
        <v>-2321</v>
      </c>
      <c r="S817" s="16">
        <v>46259</v>
      </c>
    </row>
    <row r="818" spans="1:19">
      <c r="A818" s="16">
        <v>46256</v>
      </c>
      <c r="B818" s="8" t="s">
        <v>26</v>
      </c>
      <c r="C818" s="8" t="s">
        <v>6</v>
      </c>
      <c r="D818" s="15"/>
      <c r="E818" s="15">
        <v>9762</v>
      </c>
      <c r="F818" s="15" t="s">
        <v>69</v>
      </c>
      <c r="G818" s="15" t="s">
        <v>68</v>
      </c>
      <c r="H818" s="14"/>
      <c r="I818" s="13"/>
      <c r="J818" s="21" t="s">
        <v>67</v>
      </c>
      <c r="K818" s="8" t="s">
        <v>21</v>
      </c>
      <c r="L818" s="7"/>
      <c r="M818" s="7" t="str">
        <f>IF(C818="Caixa","-",VLOOKUP(J818,[1]Estrutura!C:E,3,FALSE))</f>
        <v>4.5</v>
      </c>
      <c r="N818" s="7"/>
      <c r="O818" s="7">
        <f t="shared" si="48"/>
        <v>22</v>
      </c>
      <c r="P818" s="7">
        <f t="shared" si="49"/>
        <v>8</v>
      </c>
      <c r="Q818" s="7">
        <f t="shared" si="50"/>
        <v>2026</v>
      </c>
      <c r="R818" s="6">
        <f t="shared" si="51"/>
        <v>-9762</v>
      </c>
      <c r="S818" s="16">
        <v>46259</v>
      </c>
    </row>
    <row r="819" spans="1:19">
      <c r="A819" s="12">
        <v>46256</v>
      </c>
      <c r="B819" s="7" t="s">
        <v>26</v>
      </c>
      <c r="C819" s="7" t="s">
        <v>6</v>
      </c>
      <c r="D819" s="11"/>
      <c r="E819" s="11">
        <v>470.8</v>
      </c>
      <c r="F819" s="15" t="s">
        <v>47</v>
      </c>
      <c r="G819" s="11" t="s">
        <v>527</v>
      </c>
      <c r="H819" s="10"/>
      <c r="I819" s="9"/>
      <c r="J819" s="7" t="s">
        <v>89</v>
      </c>
      <c r="K819" s="7" t="s">
        <v>21</v>
      </c>
      <c r="L819" s="8"/>
      <c r="M819" s="8" t="str">
        <f>IF(C819="Caixa","-",VLOOKUP(J819,[1]Estrutura!C:E,3,FALSE))</f>
        <v>4.1</v>
      </c>
      <c r="N819" s="8"/>
      <c r="O819" s="7">
        <f t="shared" si="48"/>
        <v>22</v>
      </c>
      <c r="P819" s="7">
        <f t="shared" si="49"/>
        <v>8</v>
      </c>
      <c r="Q819" s="7">
        <f t="shared" si="50"/>
        <v>2026</v>
      </c>
      <c r="R819" s="6">
        <f t="shared" si="51"/>
        <v>-470.8</v>
      </c>
      <c r="S819" s="16">
        <v>46259</v>
      </c>
    </row>
    <row r="820" spans="1:19">
      <c r="A820" s="16">
        <v>46256</v>
      </c>
      <c r="B820" s="7" t="s">
        <v>7</v>
      </c>
      <c r="C820" s="7" t="s">
        <v>9</v>
      </c>
      <c r="D820" s="15">
        <v>3509.29</v>
      </c>
      <c r="E820" s="15"/>
      <c r="F820" s="15"/>
      <c r="G820" s="8" t="s">
        <v>11</v>
      </c>
      <c r="H820" s="8"/>
      <c r="I820" s="17"/>
      <c r="J820" s="8" t="s">
        <v>10</v>
      </c>
      <c r="K820" s="8"/>
      <c r="L820" s="7"/>
      <c r="M820" s="7" t="str">
        <f>IF(C820="Caixa","-",VLOOKUP(J820,[1]Estrutura!C:E,3,FALSE))</f>
        <v>1.1</v>
      </c>
      <c r="N820" s="7"/>
      <c r="O820" s="7">
        <f t="shared" si="48"/>
        <v>22</v>
      </c>
      <c r="P820" s="7">
        <f t="shared" si="49"/>
        <v>8</v>
      </c>
      <c r="Q820" s="7">
        <f t="shared" si="50"/>
        <v>2026</v>
      </c>
      <c r="R820" s="6">
        <f t="shared" si="51"/>
        <v>3509.29</v>
      </c>
      <c r="S820" s="12">
        <v>46259</v>
      </c>
    </row>
    <row r="821" spans="1:19">
      <c r="A821" s="12">
        <v>46256</v>
      </c>
      <c r="B821" s="7" t="s">
        <v>7</v>
      </c>
      <c r="C821" s="7" t="s">
        <v>9</v>
      </c>
      <c r="D821" s="11"/>
      <c r="E821" s="11">
        <v>1500</v>
      </c>
      <c r="F821" s="11" t="s">
        <v>63</v>
      </c>
      <c r="G821" s="11" t="s">
        <v>526</v>
      </c>
      <c r="H821" s="10">
        <v>686</v>
      </c>
      <c r="I821" s="9"/>
      <c r="J821" s="7" t="s">
        <v>62</v>
      </c>
      <c r="K821" s="7"/>
      <c r="L821" s="8"/>
      <c r="M821" s="8" t="str">
        <f>IF(C821="Caixa","-",VLOOKUP(J821,[1]Estrutura!C:E,3,FALSE))</f>
        <v>4.5</v>
      </c>
      <c r="N821" s="8"/>
      <c r="O821" s="7">
        <f t="shared" si="48"/>
        <v>22</v>
      </c>
      <c r="P821" s="7">
        <f t="shared" si="49"/>
        <v>8</v>
      </c>
      <c r="Q821" s="7">
        <f t="shared" si="50"/>
        <v>2026</v>
      </c>
      <c r="R821" s="6">
        <f t="shared" si="51"/>
        <v>-1500</v>
      </c>
      <c r="S821" s="16">
        <v>46259</v>
      </c>
    </row>
    <row r="822" spans="1:19">
      <c r="A822" s="16">
        <v>46257</v>
      </c>
      <c r="B822" s="7" t="s">
        <v>7</v>
      </c>
      <c r="C822" s="7" t="s">
        <v>9</v>
      </c>
      <c r="D822" s="15">
        <v>11268.560000000001</v>
      </c>
      <c r="E822" s="15"/>
      <c r="F822" s="15"/>
      <c r="G822" s="8" t="s">
        <v>11</v>
      </c>
      <c r="H822" s="8"/>
      <c r="I822" s="17"/>
      <c r="J822" s="8" t="s">
        <v>10</v>
      </c>
      <c r="K822" s="8"/>
      <c r="L822" s="7"/>
      <c r="M822" s="7" t="str">
        <f>IF(C822="Caixa","-",VLOOKUP(J822,[1]Estrutura!C:E,3,FALSE))</f>
        <v>1.1</v>
      </c>
      <c r="N822" s="7"/>
      <c r="O822" s="7">
        <f t="shared" si="48"/>
        <v>23</v>
      </c>
      <c r="P822" s="7">
        <f t="shared" si="49"/>
        <v>8</v>
      </c>
      <c r="Q822" s="7">
        <f t="shared" si="50"/>
        <v>2026</v>
      </c>
      <c r="R822" s="6">
        <f t="shared" si="51"/>
        <v>11268.560000000001</v>
      </c>
      <c r="S822" s="50">
        <v>46259</v>
      </c>
    </row>
    <row r="823" spans="1:19">
      <c r="A823" s="16">
        <v>46258</v>
      </c>
      <c r="B823" s="8" t="s">
        <v>14</v>
      </c>
      <c r="C823" s="7" t="s">
        <v>9</v>
      </c>
      <c r="D823" s="15">
        <v>5712.34</v>
      </c>
      <c r="E823" s="15"/>
      <c r="F823" s="15"/>
      <c r="G823" s="8" t="s">
        <v>11</v>
      </c>
      <c r="H823" s="8"/>
      <c r="I823" s="17"/>
      <c r="J823" s="8" t="s">
        <v>10</v>
      </c>
      <c r="K823" s="8"/>
      <c r="L823" s="8"/>
      <c r="M823" s="8" t="str">
        <f>IF(C823="Caixa","-",VLOOKUP(J823,[1]Estrutura!C:E,3,FALSE))</f>
        <v>1.1</v>
      </c>
      <c r="N823" s="8"/>
      <c r="O823" s="7">
        <f t="shared" si="48"/>
        <v>24</v>
      </c>
      <c r="P823" s="7">
        <f t="shared" si="49"/>
        <v>8</v>
      </c>
      <c r="Q823" s="7">
        <f t="shared" si="50"/>
        <v>2026</v>
      </c>
      <c r="R823" s="6">
        <f t="shared" si="51"/>
        <v>5712.34</v>
      </c>
      <c r="S823" s="47">
        <v>46259</v>
      </c>
    </row>
    <row r="824" spans="1:19">
      <c r="A824" s="16">
        <v>46259</v>
      </c>
      <c r="B824" s="8" t="s">
        <v>14</v>
      </c>
      <c r="C824" s="7" t="s">
        <v>9</v>
      </c>
      <c r="D824" s="15">
        <v>4745.43</v>
      </c>
      <c r="E824" s="15"/>
      <c r="F824" s="15"/>
      <c r="G824" s="8" t="s">
        <v>11</v>
      </c>
      <c r="H824" s="8"/>
      <c r="I824" s="17"/>
      <c r="J824" s="8" t="s">
        <v>10</v>
      </c>
      <c r="K824" s="8"/>
      <c r="L824" s="7"/>
      <c r="M824" s="7" t="str">
        <f>IF(C824="Caixa","-",VLOOKUP(J824,[1]Estrutura!C:E,3,FALSE))</f>
        <v>1.1</v>
      </c>
      <c r="N824" s="7"/>
      <c r="O824" s="7">
        <f t="shared" si="48"/>
        <v>25</v>
      </c>
      <c r="P824" s="7">
        <f t="shared" si="49"/>
        <v>8</v>
      </c>
      <c r="Q824" s="7">
        <f t="shared" si="50"/>
        <v>2026</v>
      </c>
      <c r="R824" s="6">
        <f t="shared" si="51"/>
        <v>4745.43</v>
      </c>
      <c r="S824" s="12">
        <v>46259</v>
      </c>
    </row>
    <row r="825" spans="1:19">
      <c r="A825" s="16">
        <v>46259</v>
      </c>
      <c r="B825" s="8" t="s">
        <v>14</v>
      </c>
      <c r="C825" s="8" t="s">
        <v>9</v>
      </c>
      <c r="D825" s="15"/>
      <c r="E825" s="15">
        <v>3743.77</v>
      </c>
      <c r="F825" s="15" t="s">
        <v>97</v>
      </c>
      <c r="G825" s="15" t="s">
        <v>525</v>
      </c>
      <c r="H825" s="14"/>
      <c r="I825" s="13"/>
      <c r="J825" s="8" t="s">
        <v>33</v>
      </c>
      <c r="K825" s="8"/>
      <c r="L825" s="8"/>
      <c r="M825" s="8" t="str">
        <f>IF(C825="Caixa","-",VLOOKUP(J825,[1]Estrutura!C:E,3,FALSE))</f>
        <v>2.1</v>
      </c>
      <c r="N825" s="8"/>
      <c r="O825" s="7">
        <f t="shared" si="48"/>
        <v>25</v>
      </c>
      <c r="P825" s="7">
        <f t="shared" si="49"/>
        <v>8</v>
      </c>
      <c r="Q825" s="7">
        <f t="shared" si="50"/>
        <v>2026</v>
      </c>
      <c r="R825" s="6">
        <f t="shared" si="51"/>
        <v>-3743.77</v>
      </c>
      <c r="S825" s="23">
        <v>46260</v>
      </c>
    </row>
    <row r="826" spans="1:19">
      <c r="A826" s="16">
        <v>46259</v>
      </c>
      <c r="B826" s="8" t="s">
        <v>14</v>
      </c>
      <c r="C826" s="8" t="s">
        <v>9</v>
      </c>
      <c r="D826" s="15"/>
      <c r="E826" s="15">
        <v>811.15</v>
      </c>
      <c r="F826" s="15" t="s">
        <v>524</v>
      </c>
      <c r="G826" s="15" t="s">
        <v>523</v>
      </c>
      <c r="H826" s="14"/>
      <c r="I826" s="13"/>
      <c r="J826" s="8" t="s">
        <v>31</v>
      </c>
      <c r="K826" s="8"/>
      <c r="L826" s="7"/>
      <c r="M826" s="7" t="str">
        <f>IF(C826="Caixa","-",VLOOKUP(J826,[1]Estrutura!C:E,3,FALSE))</f>
        <v>2.1</v>
      </c>
      <c r="N826" s="7"/>
      <c r="O826" s="7">
        <f t="shared" si="48"/>
        <v>25</v>
      </c>
      <c r="P826" s="7">
        <f t="shared" si="49"/>
        <v>8</v>
      </c>
      <c r="Q826" s="7">
        <f t="shared" si="50"/>
        <v>2026</v>
      </c>
      <c r="R826" s="6">
        <f t="shared" si="51"/>
        <v>-811.15</v>
      </c>
      <c r="S826" s="12">
        <v>46260</v>
      </c>
    </row>
    <row r="827" spans="1:19">
      <c r="A827" s="12">
        <v>46259</v>
      </c>
      <c r="B827" s="8" t="s">
        <v>14</v>
      </c>
      <c r="C827" s="8" t="s">
        <v>9</v>
      </c>
      <c r="D827" s="15"/>
      <c r="E827" s="15">
        <v>5000</v>
      </c>
      <c r="F827" s="15"/>
      <c r="G827" s="8" t="s">
        <v>61</v>
      </c>
      <c r="H827" s="8"/>
      <c r="I827" s="17"/>
      <c r="J827" s="7" t="s">
        <v>35</v>
      </c>
      <c r="K827" s="8"/>
      <c r="L827" s="8"/>
      <c r="M827" s="8" t="str">
        <f>IF(C827="Caixa","-",VLOOKUP(J827,[1]Estrutura!C:E,3,FALSE))</f>
        <v>4.1</v>
      </c>
      <c r="N827" s="8"/>
      <c r="O827" s="7">
        <f t="shared" si="48"/>
        <v>25</v>
      </c>
      <c r="P827" s="7">
        <f t="shared" si="49"/>
        <v>8</v>
      </c>
      <c r="Q827" s="7">
        <f t="shared" si="50"/>
        <v>2026</v>
      </c>
      <c r="R827" s="6">
        <f t="shared" si="51"/>
        <v>-5000</v>
      </c>
      <c r="S827" s="16">
        <v>46260</v>
      </c>
    </row>
    <row r="828" spans="1:19">
      <c r="A828" s="16">
        <v>46259</v>
      </c>
      <c r="B828" s="8" t="s">
        <v>26</v>
      </c>
      <c r="C828" s="8" t="s">
        <v>6</v>
      </c>
      <c r="D828" s="15"/>
      <c r="E828" s="15">
        <v>1000</v>
      </c>
      <c r="F828" s="15" t="s">
        <v>60</v>
      </c>
      <c r="G828" s="8" t="s">
        <v>57</v>
      </c>
      <c r="H828" s="14"/>
      <c r="I828" s="13"/>
      <c r="J828" s="8" t="s">
        <v>56</v>
      </c>
      <c r="K828" s="8" t="s">
        <v>21</v>
      </c>
      <c r="L828" s="7"/>
      <c r="M828" s="7" t="str">
        <f>IF(C828="Caixa","-",VLOOKUP(J828,[1]Estrutura!C:E,3,FALSE))</f>
        <v>6.1</v>
      </c>
      <c r="N828" s="7"/>
      <c r="O828" s="7">
        <f t="shared" si="48"/>
        <v>25</v>
      </c>
      <c r="P828" s="7">
        <f t="shared" si="49"/>
        <v>8</v>
      </c>
      <c r="Q828" s="7">
        <f t="shared" si="50"/>
        <v>2026</v>
      </c>
      <c r="R828" s="6">
        <f t="shared" si="51"/>
        <v>-1000</v>
      </c>
      <c r="S828" s="16">
        <v>46260</v>
      </c>
    </row>
    <row r="829" spans="1:19">
      <c r="A829" s="16">
        <v>46259</v>
      </c>
      <c r="B829" s="7" t="s">
        <v>26</v>
      </c>
      <c r="C829" s="7" t="s">
        <v>6</v>
      </c>
      <c r="D829" s="11"/>
      <c r="E829" s="11">
        <v>1000</v>
      </c>
      <c r="F829" s="11" t="s">
        <v>59</v>
      </c>
      <c r="G829" s="7" t="s">
        <v>57</v>
      </c>
      <c r="H829" s="10"/>
      <c r="I829" s="9"/>
      <c r="J829" s="7" t="s">
        <v>56</v>
      </c>
      <c r="K829" s="7" t="s">
        <v>21</v>
      </c>
      <c r="L829" s="8"/>
      <c r="M829" s="8" t="str">
        <f>IF(C829="Caixa","-",VLOOKUP(J829,[1]Estrutura!C:E,3,FALSE))</f>
        <v>6.1</v>
      </c>
      <c r="N829" s="8"/>
      <c r="O829" s="7">
        <f t="shared" si="48"/>
        <v>25</v>
      </c>
      <c r="P829" s="7">
        <f t="shared" si="49"/>
        <v>8</v>
      </c>
      <c r="Q829" s="7">
        <f t="shared" si="50"/>
        <v>2026</v>
      </c>
      <c r="R829" s="6">
        <f t="shared" si="51"/>
        <v>-1000</v>
      </c>
      <c r="S829" s="16">
        <v>46261</v>
      </c>
    </row>
    <row r="830" spans="1:19">
      <c r="A830" s="16">
        <v>46259</v>
      </c>
      <c r="B830" s="8" t="s">
        <v>26</v>
      </c>
      <c r="C830" s="8" t="s">
        <v>6</v>
      </c>
      <c r="D830" s="15"/>
      <c r="E830" s="15">
        <v>1000</v>
      </c>
      <c r="F830" s="15" t="s">
        <v>58</v>
      </c>
      <c r="G830" s="8" t="s">
        <v>57</v>
      </c>
      <c r="H830" s="14"/>
      <c r="I830" s="13"/>
      <c r="J830" s="8" t="s">
        <v>56</v>
      </c>
      <c r="K830" s="36" t="s">
        <v>21</v>
      </c>
      <c r="L830" s="7"/>
      <c r="M830" s="7" t="str">
        <f>IF(C830="Caixa","-",VLOOKUP(J830,[1]Estrutura!C:E,3,FALSE))</f>
        <v>6.1</v>
      </c>
      <c r="N830" s="7"/>
      <c r="O830" s="7">
        <f t="shared" si="48"/>
        <v>25</v>
      </c>
      <c r="P830" s="7">
        <f t="shared" si="49"/>
        <v>8</v>
      </c>
      <c r="Q830" s="7">
        <f t="shared" si="50"/>
        <v>2026</v>
      </c>
      <c r="R830" s="6">
        <f t="shared" si="51"/>
        <v>-1000</v>
      </c>
      <c r="S830" s="16">
        <v>46261</v>
      </c>
    </row>
    <row r="831" spans="1:19">
      <c r="A831" s="12">
        <v>46259</v>
      </c>
      <c r="B831" s="8" t="s">
        <v>26</v>
      </c>
      <c r="C831" s="8" t="s">
        <v>6</v>
      </c>
      <c r="D831" s="15"/>
      <c r="E831" s="15">
        <v>4050</v>
      </c>
      <c r="F831" s="15"/>
      <c r="G831" s="7" t="s">
        <v>55</v>
      </c>
      <c r="H831" s="10"/>
      <c r="I831" s="9"/>
      <c r="J831" s="7" t="s">
        <v>54</v>
      </c>
      <c r="K831" s="7" t="s">
        <v>34</v>
      </c>
      <c r="L831" s="8"/>
      <c r="M831" s="8" t="str">
        <f>IF(C831="Caixa","-",VLOOKUP(J831,[1]Estrutura!C:E,3,FALSE))</f>
        <v>4.11</v>
      </c>
      <c r="N831" s="8"/>
      <c r="O831" s="7">
        <f t="shared" si="48"/>
        <v>25</v>
      </c>
      <c r="P831" s="7">
        <f t="shared" si="49"/>
        <v>8</v>
      </c>
      <c r="Q831" s="7">
        <f t="shared" si="50"/>
        <v>2026</v>
      </c>
      <c r="R831" s="6">
        <f t="shared" si="51"/>
        <v>-4050</v>
      </c>
      <c r="S831" s="16">
        <v>46262</v>
      </c>
    </row>
    <row r="832" spans="1:19">
      <c r="A832" s="16">
        <v>46259</v>
      </c>
      <c r="B832" s="7" t="s">
        <v>7</v>
      </c>
      <c r="C832" s="7" t="s">
        <v>9</v>
      </c>
      <c r="D832" s="15">
        <v>1735.42</v>
      </c>
      <c r="E832" s="15"/>
      <c r="F832" s="15"/>
      <c r="G832" s="8" t="s">
        <v>11</v>
      </c>
      <c r="H832" s="8"/>
      <c r="I832" s="17"/>
      <c r="J832" s="8" t="s">
        <v>10</v>
      </c>
      <c r="K832" s="8"/>
      <c r="L832" s="7"/>
      <c r="M832" s="7" t="str">
        <f>IF(C832="Caixa","-",VLOOKUP(J832,[1]Estrutura!C:E,3,FALSE))</f>
        <v>1.1</v>
      </c>
      <c r="N832" s="7"/>
      <c r="O832" s="7">
        <f t="shared" si="48"/>
        <v>25</v>
      </c>
      <c r="P832" s="7">
        <f t="shared" si="49"/>
        <v>8</v>
      </c>
      <c r="Q832" s="7">
        <f t="shared" si="50"/>
        <v>2026</v>
      </c>
      <c r="R832" s="6">
        <f t="shared" si="51"/>
        <v>1735.42</v>
      </c>
      <c r="S832" s="16">
        <v>46262</v>
      </c>
    </row>
    <row r="833" spans="1:19">
      <c r="A833" s="12">
        <v>46259</v>
      </c>
      <c r="B833" s="7" t="s">
        <v>7</v>
      </c>
      <c r="C833" s="7" t="s">
        <v>9</v>
      </c>
      <c r="D833" s="11"/>
      <c r="E833" s="11">
        <v>12329.76</v>
      </c>
      <c r="F833" s="11" t="s">
        <v>97</v>
      </c>
      <c r="G833" s="11" t="s">
        <v>525</v>
      </c>
      <c r="H833" s="10"/>
      <c r="I833" s="9"/>
      <c r="J833" s="7" t="s">
        <v>33</v>
      </c>
      <c r="K833" s="7"/>
      <c r="L833" s="8"/>
      <c r="M833" s="8" t="str">
        <f>IF(C833="Caixa","-",VLOOKUP(J833,[1]Estrutura!C:E,3,FALSE))</f>
        <v>2.1</v>
      </c>
      <c r="N833" s="8"/>
      <c r="O833" s="7">
        <f t="shared" si="48"/>
        <v>25</v>
      </c>
      <c r="P833" s="7">
        <f t="shared" si="49"/>
        <v>8</v>
      </c>
      <c r="Q833" s="7">
        <f t="shared" si="50"/>
        <v>2026</v>
      </c>
      <c r="R833" s="6">
        <f t="shared" si="51"/>
        <v>-12329.76</v>
      </c>
      <c r="S833" s="12">
        <v>46262</v>
      </c>
    </row>
    <row r="834" spans="1:19">
      <c r="A834" s="16">
        <v>46259</v>
      </c>
      <c r="B834" s="8" t="s">
        <v>7</v>
      </c>
      <c r="C834" s="8" t="s">
        <v>9</v>
      </c>
      <c r="D834" s="15"/>
      <c r="E834" s="15">
        <v>2671.45</v>
      </c>
      <c r="F834" s="15" t="s">
        <v>524</v>
      </c>
      <c r="G834" s="15" t="s">
        <v>523</v>
      </c>
      <c r="H834" s="14"/>
      <c r="I834" s="13"/>
      <c r="J834" s="8" t="s">
        <v>31</v>
      </c>
      <c r="K834" s="8"/>
      <c r="L834" s="7"/>
      <c r="M834" s="7" t="str">
        <f>IF(C834="Caixa","-",VLOOKUP(J834,[1]Estrutura!C:E,3,FALSE))</f>
        <v>2.1</v>
      </c>
      <c r="N834" s="7"/>
      <c r="O834" s="7">
        <f t="shared" si="48"/>
        <v>25</v>
      </c>
      <c r="P834" s="7">
        <f t="shared" si="49"/>
        <v>8</v>
      </c>
      <c r="Q834" s="7">
        <f t="shared" si="50"/>
        <v>2026</v>
      </c>
      <c r="R834" s="6">
        <f t="shared" si="51"/>
        <v>-2671.45</v>
      </c>
      <c r="S834" s="16">
        <v>46262</v>
      </c>
    </row>
    <row r="835" spans="1:19">
      <c r="A835" s="12">
        <v>46259</v>
      </c>
      <c r="B835" s="7" t="s">
        <v>7</v>
      </c>
      <c r="C835" s="7" t="s">
        <v>9</v>
      </c>
      <c r="D835" s="11"/>
      <c r="E835" s="11">
        <v>33333</v>
      </c>
      <c r="F835" s="11"/>
      <c r="G835" s="7" t="s">
        <v>30</v>
      </c>
      <c r="H835" s="10"/>
      <c r="I835" s="9"/>
      <c r="J835" s="7" t="s">
        <v>29</v>
      </c>
      <c r="K835" s="7"/>
      <c r="L835" s="8"/>
      <c r="M835" s="8" t="str">
        <f>IF(C835="Caixa","-",VLOOKUP(J835,[1]Estrutura!C:E,3,FALSE))</f>
        <v>4.8</v>
      </c>
      <c r="N835" s="8"/>
      <c r="O835" s="7">
        <f t="shared" si="48"/>
        <v>25</v>
      </c>
      <c r="P835" s="7">
        <f t="shared" si="49"/>
        <v>8</v>
      </c>
      <c r="Q835" s="7">
        <f t="shared" si="50"/>
        <v>2026</v>
      </c>
      <c r="R835" s="6">
        <f t="shared" si="51"/>
        <v>-33333</v>
      </c>
      <c r="S835" s="12">
        <v>46262</v>
      </c>
    </row>
    <row r="836" spans="1:19">
      <c r="A836" s="16">
        <v>46259</v>
      </c>
      <c r="B836" s="8" t="s">
        <v>7</v>
      </c>
      <c r="C836" s="8" t="s">
        <v>9</v>
      </c>
      <c r="D836" s="15"/>
      <c r="E836" s="15">
        <v>8000</v>
      </c>
      <c r="F836" s="15"/>
      <c r="G836" s="8" t="s">
        <v>28</v>
      </c>
      <c r="H836" s="8"/>
      <c r="I836" s="13"/>
      <c r="J836" s="8" t="s">
        <v>27</v>
      </c>
      <c r="K836" s="8"/>
      <c r="L836" s="7"/>
      <c r="M836" s="7" t="str">
        <f>IF(C836="Caixa","-",VLOOKUP(J836,[1]Estrutura!C:E,3,FALSE))</f>
        <v>7.3</v>
      </c>
      <c r="N836" s="7"/>
      <c r="O836" s="7">
        <f t="shared" si="48"/>
        <v>25</v>
      </c>
      <c r="P836" s="7">
        <f t="shared" si="49"/>
        <v>8</v>
      </c>
      <c r="Q836" s="7">
        <f t="shared" si="50"/>
        <v>2026</v>
      </c>
      <c r="R836" s="6">
        <f t="shared" si="51"/>
        <v>-8000</v>
      </c>
      <c r="S836" s="16">
        <v>46262</v>
      </c>
    </row>
    <row r="837" spans="1:19">
      <c r="A837" s="23">
        <v>46260</v>
      </c>
      <c r="B837" s="8" t="s">
        <v>26</v>
      </c>
      <c r="C837" s="8" t="s">
        <v>25</v>
      </c>
      <c r="D837" s="15">
        <v>1442</v>
      </c>
      <c r="E837" s="15"/>
      <c r="F837" s="15" t="s">
        <v>109</v>
      </c>
      <c r="G837" s="8" t="s">
        <v>108</v>
      </c>
      <c r="H837" s="14"/>
      <c r="I837" s="13"/>
      <c r="J837" s="8" t="s">
        <v>107</v>
      </c>
      <c r="K837" s="24" t="s">
        <v>21</v>
      </c>
      <c r="L837" s="8"/>
      <c r="M837" s="8" t="str">
        <f>IF(C837="Caixa","-",VLOOKUP(J837,[1]Estrutura!C:E,3,FALSE))</f>
        <v>1.4</v>
      </c>
      <c r="N837" s="8"/>
      <c r="O837" s="7">
        <f t="shared" si="48"/>
        <v>26</v>
      </c>
      <c r="P837" s="7">
        <f t="shared" si="49"/>
        <v>8</v>
      </c>
      <c r="Q837" s="7">
        <f t="shared" si="50"/>
        <v>2026</v>
      </c>
      <c r="R837" s="6">
        <f t="shared" si="51"/>
        <v>1442</v>
      </c>
      <c r="S837" s="12">
        <v>46262</v>
      </c>
    </row>
    <row r="838" spans="1:19">
      <c r="A838" s="12">
        <v>46260</v>
      </c>
      <c r="B838" s="7" t="s">
        <v>26</v>
      </c>
      <c r="C838" s="7" t="s">
        <v>6</v>
      </c>
      <c r="D838" s="11"/>
      <c r="E838" s="11">
        <v>1600</v>
      </c>
      <c r="F838" s="11" t="s">
        <v>522</v>
      </c>
      <c r="G838" s="7" t="s">
        <v>521</v>
      </c>
      <c r="H838" s="10"/>
      <c r="I838" s="9"/>
      <c r="J838" s="7" t="s">
        <v>116</v>
      </c>
      <c r="K838" s="7" t="s">
        <v>21</v>
      </c>
      <c r="L838" s="7"/>
      <c r="M838" s="7" t="str">
        <f>IF(C838="Caixa","-",VLOOKUP(J838,[1]Estrutura!C:E,3,FALSE))</f>
        <v>4.12</v>
      </c>
      <c r="N838" s="7"/>
      <c r="O838" s="7">
        <f t="shared" si="48"/>
        <v>26</v>
      </c>
      <c r="P838" s="7">
        <f t="shared" si="49"/>
        <v>8</v>
      </c>
      <c r="Q838" s="7">
        <f t="shared" si="50"/>
        <v>2026</v>
      </c>
      <c r="R838" s="6">
        <f t="shared" si="51"/>
        <v>-1600</v>
      </c>
      <c r="S838" s="16">
        <v>46262</v>
      </c>
    </row>
    <row r="839" spans="1:19">
      <c r="A839" s="16">
        <v>46260</v>
      </c>
      <c r="B839" s="8" t="s">
        <v>26</v>
      </c>
      <c r="C839" s="8" t="s">
        <v>25</v>
      </c>
      <c r="D839" s="15"/>
      <c r="E839" s="15">
        <v>5000</v>
      </c>
      <c r="F839" s="15" t="s">
        <v>109</v>
      </c>
      <c r="G839" s="15" t="s">
        <v>278</v>
      </c>
      <c r="H839" s="14">
        <v>9930</v>
      </c>
      <c r="I839" s="13"/>
      <c r="J839" s="8" t="s">
        <v>17</v>
      </c>
      <c r="K839" s="8" t="s">
        <v>21</v>
      </c>
      <c r="L839" s="8"/>
      <c r="M839" s="8" t="str">
        <f>IF(C839="Caixa","-",VLOOKUP(J839,[1]Estrutura!C:E,3,FALSE))</f>
        <v>4.4</v>
      </c>
      <c r="N839" s="8"/>
      <c r="O839" s="7">
        <f t="shared" si="48"/>
        <v>26</v>
      </c>
      <c r="P839" s="7">
        <f t="shared" si="49"/>
        <v>8</v>
      </c>
      <c r="Q839" s="7">
        <f t="shared" si="50"/>
        <v>2026</v>
      </c>
      <c r="R839" s="6">
        <f t="shared" si="51"/>
        <v>-5000</v>
      </c>
      <c r="S839" s="12">
        <v>46262</v>
      </c>
    </row>
    <row r="840" spans="1:19">
      <c r="A840" s="16">
        <v>46260</v>
      </c>
      <c r="B840" s="7" t="s">
        <v>7</v>
      </c>
      <c r="C840" s="7" t="s">
        <v>9</v>
      </c>
      <c r="D840" s="15">
        <v>17339.330000000002</v>
      </c>
      <c r="E840" s="15"/>
      <c r="F840" s="15"/>
      <c r="G840" s="8" t="s">
        <v>11</v>
      </c>
      <c r="H840" s="8"/>
      <c r="I840" s="17"/>
      <c r="J840" s="8" t="s">
        <v>10</v>
      </c>
      <c r="K840" s="8"/>
      <c r="L840" s="7"/>
      <c r="M840" s="7" t="str">
        <f>IF(C840="Caixa","-",VLOOKUP(J840,[1]Estrutura!C:E,3,FALSE))</f>
        <v>1.1</v>
      </c>
      <c r="N840" s="7"/>
      <c r="O840" s="7">
        <f t="shared" si="48"/>
        <v>26</v>
      </c>
      <c r="P840" s="7">
        <f t="shared" si="49"/>
        <v>8</v>
      </c>
      <c r="Q840" s="7">
        <f t="shared" si="50"/>
        <v>2026</v>
      </c>
      <c r="R840" s="6">
        <f t="shared" si="51"/>
        <v>17339.330000000002</v>
      </c>
      <c r="S840" s="16">
        <v>46263</v>
      </c>
    </row>
    <row r="841" spans="1:19">
      <c r="A841" s="16">
        <v>46261</v>
      </c>
      <c r="B841" s="8" t="s">
        <v>14</v>
      </c>
      <c r="C841" s="7" t="s">
        <v>9</v>
      </c>
      <c r="D841" s="15">
        <v>5091.26</v>
      </c>
      <c r="E841" s="15"/>
      <c r="F841" s="15"/>
      <c r="G841" s="8" t="s">
        <v>11</v>
      </c>
      <c r="H841" s="8"/>
      <c r="I841" s="17"/>
      <c r="J841" s="8" t="s">
        <v>10</v>
      </c>
      <c r="K841" s="8"/>
      <c r="L841" s="8"/>
      <c r="M841" s="8" t="str">
        <f>IF(C841="Caixa","-",VLOOKUP(J841,[1]Estrutura!C:E,3,FALSE))</f>
        <v>1.1</v>
      </c>
      <c r="N841" s="8"/>
      <c r="O841" s="7">
        <f t="shared" si="48"/>
        <v>27</v>
      </c>
      <c r="P841" s="7">
        <f t="shared" si="49"/>
        <v>8</v>
      </c>
      <c r="Q841" s="7">
        <f t="shared" si="50"/>
        <v>2026</v>
      </c>
      <c r="R841" s="6">
        <f t="shared" si="51"/>
        <v>5091.26</v>
      </c>
      <c r="S841" s="16">
        <v>46263</v>
      </c>
    </row>
    <row r="842" spans="1:19">
      <c r="A842" s="16">
        <v>46261</v>
      </c>
      <c r="B842" s="7" t="s">
        <v>7</v>
      </c>
      <c r="C842" s="7" t="s">
        <v>9</v>
      </c>
      <c r="D842" s="15">
        <v>10172.130000000001</v>
      </c>
      <c r="E842" s="15"/>
      <c r="F842" s="15"/>
      <c r="G842" s="8" t="s">
        <v>11</v>
      </c>
      <c r="H842" s="8"/>
      <c r="I842" s="17"/>
      <c r="J842" s="8" t="s">
        <v>10</v>
      </c>
      <c r="K842" s="8"/>
      <c r="L842" s="7"/>
      <c r="M842" s="7" t="str">
        <f>IF(C842="Caixa","-",VLOOKUP(J842,[1]Estrutura!C:E,3,FALSE))</f>
        <v>1.1</v>
      </c>
      <c r="N842" s="7"/>
      <c r="O842" s="7">
        <f t="shared" si="48"/>
        <v>27</v>
      </c>
      <c r="P842" s="7">
        <f t="shared" si="49"/>
        <v>8</v>
      </c>
      <c r="Q842" s="7">
        <f t="shared" si="50"/>
        <v>2026</v>
      </c>
      <c r="R842" s="6">
        <f t="shared" si="51"/>
        <v>10172.130000000001</v>
      </c>
      <c r="S842" s="12">
        <v>46263</v>
      </c>
    </row>
    <row r="843" spans="1:19">
      <c r="A843" s="16">
        <v>46262</v>
      </c>
      <c r="B843" s="8" t="s">
        <v>14</v>
      </c>
      <c r="C843" s="7" t="s">
        <v>9</v>
      </c>
      <c r="D843" s="15">
        <v>2854.33</v>
      </c>
      <c r="E843" s="15"/>
      <c r="F843" s="15"/>
      <c r="G843" s="8" t="s">
        <v>11</v>
      </c>
      <c r="H843" s="8"/>
      <c r="I843" s="17"/>
      <c r="J843" s="8" t="s">
        <v>10</v>
      </c>
      <c r="K843" s="8"/>
      <c r="L843" s="8"/>
      <c r="M843" s="8" t="str">
        <f>IF(C843="Caixa","-",VLOOKUP(J843,[1]Estrutura!C:E,3,FALSE))</f>
        <v>1.1</v>
      </c>
      <c r="N843" s="8"/>
      <c r="O843" s="7">
        <f t="shared" si="48"/>
        <v>28</v>
      </c>
      <c r="P843" s="7">
        <f t="shared" si="49"/>
        <v>8</v>
      </c>
      <c r="Q843" s="7">
        <f t="shared" si="50"/>
        <v>2026</v>
      </c>
      <c r="R843" s="6">
        <f t="shared" si="51"/>
        <v>2854.33</v>
      </c>
      <c r="S843" s="16">
        <v>46263</v>
      </c>
    </row>
    <row r="844" spans="1:19">
      <c r="A844" s="16">
        <v>46262</v>
      </c>
      <c r="B844" s="8" t="s">
        <v>14</v>
      </c>
      <c r="C844" s="8" t="s">
        <v>9</v>
      </c>
      <c r="D844" s="15"/>
      <c r="E844" s="15">
        <v>131.46</v>
      </c>
      <c r="F844" s="15" t="s">
        <v>516</v>
      </c>
      <c r="G844" s="8" t="s">
        <v>520</v>
      </c>
      <c r="H844" s="14"/>
      <c r="I844" s="13"/>
      <c r="J844" s="8" t="s">
        <v>326</v>
      </c>
      <c r="K844" s="8"/>
      <c r="L844" s="7"/>
      <c r="M844" s="7" t="str">
        <f>IF(C844="Caixa","-",VLOOKUP(J844,[1]Estrutura!C:E,3,FALSE))</f>
        <v>4.10</v>
      </c>
      <c r="N844" s="7"/>
      <c r="O844" s="7">
        <f t="shared" si="48"/>
        <v>28</v>
      </c>
      <c r="P844" s="7">
        <f t="shared" si="49"/>
        <v>8</v>
      </c>
      <c r="Q844" s="7">
        <f t="shared" si="50"/>
        <v>2026</v>
      </c>
      <c r="R844" s="6">
        <f t="shared" si="51"/>
        <v>-131.46</v>
      </c>
      <c r="S844" s="12">
        <v>46263</v>
      </c>
    </row>
    <row r="845" spans="1:19">
      <c r="A845" s="12">
        <v>46262</v>
      </c>
      <c r="B845" s="7" t="s">
        <v>14</v>
      </c>
      <c r="C845" s="7" t="s">
        <v>9</v>
      </c>
      <c r="D845" s="11"/>
      <c r="E845" s="11">
        <v>565.51</v>
      </c>
      <c r="F845" s="11" t="s">
        <v>516</v>
      </c>
      <c r="G845" s="7" t="s">
        <v>519</v>
      </c>
      <c r="H845" s="10"/>
      <c r="I845" s="9"/>
      <c r="J845" s="7" t="s">
        <v>326</v>
      </c>
      <c r="K845" s="7"/>
      <c r="L845" s="8"/>
      <c r="M845" s="8" t="str">
        <f>IF(C845="Caixa","-",VLOOKUP(J845,[1]Estrutura!C:E,3,FALSE))</f>
        <v>4.10</v>
      </c>
      <c r="N845" s="8"/>
      <c r="O845" s="7">
        <f t="shared" si="48"/>
        <v>28</v>
      </c>
      <c r="P845" s="7">
        <f t="shared" si="49"/>
        <v>8</v>
      </c>
      <c r="Q845" s="7">
        <f t="shared" si="50"/>
        <v>2026</v>
      </c>
      <c r="R845" s="6">
        <f t="shared" si="51"/>
        <v>-565.51</v>
      </c>
      <c r="S845" s="16">
        <v>46263</v>
      </c>
    </row>
    <row r="846" spans="1:19">
      <c r="A846" s="16">
        <v>46262</v>
      </c>
      <c r="B846" s="8" t="s">
        <v>14</v>
      </c>
      <c r="C846" s="8" t="s">
        <v>9</v>
      </c>
      <c r="D846" s="15"/>
      <c r="E846" s="15">
        <v>709.84</v>
      </c>
      <c r="F846" s="15" t="s">
        <v>516</v>
      </c>
      <c r="G846" s="8" t="s">
        <v>518</v>
      </c>
      <c r="H846" s="14"/>
      <c r="I846" s="13"/>
      <c r="J846" s="8" t="s">
        <v>326</v>
      </c>
      <c r="K846" s="8"/>
      <c r="L846" s="7"/>
      <c r="M846" s="7" t="str">
        <f>IF(C846="Caixa","-",VLOOKUP(J846,[1]Estrutura!C:E,3,FALSE))</f>
        <v>4.10</v>
      </c>
      <c r="N846" s="7"/>
      <c r="O846" s="7">
        <f t="shared" ref="O846:O909" si="52">DAY(A846)</f>
        <v>28</v>
      </c>
      <c r="P846" s="7">
        <f t="shared" ref="P846:P909" si="53">MONTH(A846)</f>
        <v>8</v>
      </c>
      <c r="Q846" s="7">
        <f t="shared" ref="Q846:Q909" si="54">YEAR(A846)</f>
        <v>2026</v>
      </c>
      <c r="R846" s="6">
        <f t="shared" ref="R846:R909" si="55">D846-E846</f>
        <v>-709.84</v>
      </c>
      <c r="S846" s="12">
        <v>46263</v>
      </c>
    </row>
    <row r="847" spans="1:19">
      <c r="A847" s="16">
        <v>46262</v>
      </c>
      <c r="B847" s="8" t="s">
        <v>14</v>
      </c>
      <c r="C847" s="8" t="s">
        <v>9</v>
      </c>
      <c r="D847" s="15"/>
      <c r="E847" s="15">
        <v>367.04</v>
      </c>
      <c r="F847" s="15" t="s">
        <v>516</v>
      </c>
      <c r="G847" s="8" t="s">
        <v>517</v>
      </c>
      <c r="H847" s="14"/>
      <c r="I847" s="13"/>
      <c r="J847" s="8" t="s">
        <v>326</v>
      </c>
      <c r="K847" s="8"/>
      <c r="L847" s="8"/>
      <c r="M847" s="8" t="str">
        <f>IF(C847="Caixa","-",VLOOKUP(J847,[1]Estrutura!C:E,3,FALSE))</f>
        <v>4.10</v>
      </c>
      <c r="N847" s="8"/>
      <c r="O847" s="7">
        <f t="shared" si="52"/>
        <v>28</v>
      </c>
      <c r="P847" s="7">
        <f t="shared" si="53"/>
        <v>8</v>
      </c>
      <c r="Q847" s="7">
        <f t="shared" si="54"/>
        <v>2026</v>
      </c>
      <c r="R847" s="6">
        <f t="shared" si="55"/>
        <v>-367.04</v>
      </c>
      <c r="S847" s="16">
        <v>46263</v>
      </c>
    </row>
    <row r="848" spans="1:19">
      <c r="A848" s="12">
        <v>46262</v>
      </c>
      <c r="B848" s="7" t="s">
        <v>14</v>
      </c>
      <c r="C848" s="7" t="s">
        <v>9</v>
      </c>
      <c r="D848" s="11"/>
      <c r="E848" s="11">
        <v>237.24</v>
      </c>
      <c r="F848" s="11" t="s">
        <v>516</v>
      </c>
      <c r="G848" s="7" t="s">
        <v>515</v>
      </c>
      <c r="H848" s="10"/>
      <c r="I848" s="9"/>
      <c r="J848" s="7" t="s">
        <v>326</v>
      </c>
      <c r="K848" s="7"/>
      <c r="L848" s="7"/>
      <c r="M848" s="7" t="str">
        <f>IF(C848="Caixa","-",VLOOKUP(J848,[1]Estrutura!C:E,3,FALSE))</f>
        <v>4.10</v>
      </c>
      <c r="N848" s="7"/>
      <c r="O848" s="7">
        <f t="shared" si="52"/>
        <v>28</v>
      </c>
      <c r="P848" s="7">
        <f t="shared" si="53"/>
        <v>8</v>
      </c>
      <c r="Q848" s="7">
        <f t="shared" si="54"/>
        <v>2026</v>
      </c>
      <c r="R848" s="6">
        <f t="shared" si="55"/>
        <v>-237.24</v>
      </c>
      <c r="S848" s="16">
        <v>46264</v>
      </c>
    </row>
    <row r="849" spans="1:19">
      <c r="A849" s="12">
        <v>46262</v>
      </c>
      <c r="B849" s="7" t="s">
        <v>26</v>
      </c>
      <c r="C849" s="7" t="s">
        <v>25</v>
      </c>
      <c r="D849" s="11"/>
      <c r="E849" s="11">
        <v>5000</v>
      </c>
      <c r="F849" s="11" t="s">
        <v>109</v>
      </c>
      <c r="G849" s="11" t="s">
        <v>156</v>
      </c>
      <c r="H849" s="10">
        <v>9931</v>
      </c>
      <c r="I849" s="9"/>
      <c r="J849" s="7" t="s">
        <v>17</v>
      </c>
      <c r="K849" s="7" t="s">
        <v>21</v>
      </c>
      <c r="L849" s="8"/>
      <c r="M849" s="8" t="str">
        <f>IF(C849="Caixa","-",VLOOKUP(J849,[1]Estrutura!C:E,3,FALSE))</f>
        <v>4.4</v>
      </c>
      <c r="N849" s="8"/>
      <c r="O849" s="7">
        <f t="shared" si="52"/>
        <v>28</v>
      </c>
      <c r="P849" s="7">
        <f t="shared" si="53"/>
        <v>8</v>
      </c>
      <c r="Q849" s="7">
        <f t="shared" si="54"/>
        <v>2026</v>
      </c>
      <c r="R849" s="6">
        <f t="shared" si="55"/>
        <v>-5000</v>
      </c>
      <c r="S849" s="16">
        <v>46264</v>
      </c>
    </row>
    <row r="850" spans="1:19">
      <c r="A850" s="16">
        <v>46262</v>
      </c>
      <c r="B850" s="7" t="s">
        <v>7</v>
      </c>
      <c r="C850" s="7" t="s">
        <v>9</v>
      </c>
      <c r="D850" s="15">
        <v>9884.85</v>
      </c>
      <c r="E850" s="15"/>
      <c r="F850" s="15"/>
      <c r="G850" s="8" t="s">
        <v>11</v>
      </c>
      <c r="H850" s="8"/>
      <c r="I850" s="17"/>
      <c r="J850" s="8" t="s">
        <v>10</v>
      </c>
      <c r="K850" s="8"/>
      <c r="L850" s="7"/>
      <c r="M850" s="7" t="str">
        <f>IF(C850="Caixa","-",VLOOKUP(J850,[1]Estrutura!C:E,3,FALSE))</f>
        <v>1.1</v>
      </c>
      <c r="N850" s="7"/>
      <c r="O850" s="7">
        <f t="shared" si="52"/>
        <v>28</v>
      </c>
      <c r="P850" s="7">
        <f t="shared" si="53"/>
        <v>8</v>
      </c>
      <c r="Q850" s="7">
        <f t="shared" si="54"/>
        <v>2026</v>
      </c>
      <c r="R850" s="6">
        <f t="shared" si="55"/>
        <v>9884.85</v>
      </c>
      <c r="S850" s="16">
        <v>46264</v>
      </c>
    </row>
    <row r="851" spans="1:19">
      <c r="A851" s="12">
        <v>46262</v>
      </c>
      <c r="B851" s="8" t="s">
        <v>7</v>
      </c>
      <c r="C851" s="8" t="s">
        <v>9</v>
      </c>
      <c r="D851" s="11"/>
      <c r="E851" s="11">
        <v>47373.33</v>
      </c>
      <c r="F851" s="11"/>
      <c r="G851" s="7" t="s">
        <v>20</v>
      </c>
      <c r="H851" s="10"/>
      <c r="I851" s="9"/>
      <c r="J851" s="7" t="s">
        <v>19</v>
      </c>
      <c r="K851" s="7"/>
      <c r="L851" s="8"/>
      <c r="M851" s="8" t="str">
        <f>IF(C851="Caixa","-",VLOOKUP(J851,[1]Estrutura!C:E,3,FALSE))</f>
        <v>8.7</v>
      </c>
      <c r="N851" s="8"/>
      <c r="O851" s="7">
        <f t="shared" si="52"/>
        <v>28</v>
      </c>
      <c r="P851" s="7">
        <f t="shared" si="53"/>
        <v>8</v>
      </c>
      <c r="Q851" s="7">
        <f t="shared" si="54"/>
        <v>2026</v>
      </c>
      <c r="R851" s="6">
        <f t="shared" si="55"/>
        <v>-47373.33</v>
      </c>
      <c r="S851" s="12">
        <v>46265</v>
      </c>
    </row>
    <row r="852" spans="1:19">
      <c r="A852" s="16">
        <v>46263</v>
      </c>
      <c r="B852" s="8" t="s">
        <v>14</v>
      </c>
      <c r="C852" s="8" t="s">
        <v>9</v>
      </c>
      <c r="D852" s="15">
        <v>131.46</v>
      </c>
      <c r="E852" s="15"/>
      <c r="F852" s="15" t="s">
        <v>109</v>
      </c>
      <c r="G852" s="8" t="s">
        <v>514</v>
      </c>
      <c r="H852" s="14"/>
      <c r="I852" s="13"/>
      <c r="J852" s="8" t="s">
        <v>326</v>
      </c>
      <c r="K852" s="8"/>
      <c r="L852" s="7"/>
      <c r="M852" s="7" t="str">
        <f>IF(C852="Caixa","-",VLOOKUP(J852,[1]Estrutura!C:E,3,FALSE))</f>
        <v>4.10</v>
      </c>
      <c r="N852" s="7"/>
      <c r="O852" s="7">
        <f t="shared" si="52"/>
        <v>29</v>
      </c>
      <c r="P852" s="7">
        <f t="shared" si="53"/>
        <v>8</v>
      </c>
      <c r="Q852" s="7">
        <f t="shared" si="54"/>
        <v>2026</v>
      </c>
      <c r="R852" s="6">
        <f t="shared" si="55"/>
        <v>131.46</v>
      </c>
      <c r="S852" s="12">
        <v>46265</v>
      </c>
    </row>
    <row r="853" spans="1:19">
      <c r="A853" s="16">
        <v>46263</v>
      </c>
      <c r="B853" s="8" t="s">
        <v>14</v>
      </c>
      <c r="C853" s="7" t="s">
        <v>9</v>
      </c>
      <c r="D853" s="15">
        <v>3050.8199999999997</v>
      </c>
      <c r="E853" s="15"/>
      <c r="F853" s="15"/>
      <c r="G853" s="8" t="s">
        <v>11</v>
      </c>
      <c r="H853" s="8"/>
      <c r="I853" s="17"/>
      <c r="J853" s="8" t="s">
        <v>10</v>
      </c>
      <c r="K853" s="8"/>
      <c r="L853" s="8"/>
      <c r="M853" s="8" t="str">
        <f>IF(C853="Caixa","-",VLOOKUP(J853,[1]Estrutura!C:E,3,FALSE))</f>
        <v>1.1</v>
      </c>
      <c r="N853" s="8"/>
      <c r="O853" s="7">
        <f t="shared" si="52"/>
        <v>29</v>
      </c>
      <c r="P853" s="7">
        <f t="shared" si="53"/>
        <v>8</v>
      </c>
      <c r="Q853" s="7">
        <f t="shared" si="54"/>
        <v>2026</v>
      </c>
      <c r="R853" s="6">
        <f t="shared" si="55"/>
        <v>3050.8199999999997</v>
      </c>
      <c r="S853" s="12">
        <v>46265</v>
      </c>
    </row>
    <row r="854" spans="1:19">
      <c r="A854" s="16">
        <v>46263</v>
      </c>
      <c r="B854" s="8" t="s">
        <v>14</v>
      </c>
      <c r="C854" s="8" t="s">
        <v>9</v>
      </c>
      <c r="D854" s="15"/>
      <c r="E854" s="15">
        <v>3666.6666666666665</v>
      </c>
      <c r="F854" s="11"/>
      <c r="G854" s="8" t="s">
        <v>306</v>
      </c>
      <c r="H854" s="14"/>
      <c r="I854" s="13"/>
      <c r="J854" s="8" t="s">
        <v>305</v>
      </c>
      <c r="K854" s="8"/>
      <c r="L854" s="7"/>
      <c r="M854" s="7" t="str">
        <f>IF(C854="Caixa","-",VLOOKUP(J854,[1]Estrutura!C:E,3,FALSE))</f>
        <v>7.3</v>
      </c>
      <c r="N854" s="7"/>
      <c r="O854" s="7">
        <f t="shared" si="52"/>
        <v>29</v>
      </c>
      <c r="P854" s="7">
        <f t="shared" si="53"/>
        <v>8</v>
      </c>
      <c r="Q854" s="7">
        <f t="shared" si="54"/>
        <v>2026</v>
      </c>
      <c r="R854" s="6">
        <f t="shared" si="55"/>
        <v>-3666.6666666666665</v>
      </c>
      <c r="S854" s="16">
        <v>46266</v>
      </c>
    </row>
    <row r="855" spans="1:19">
      <c r="A855" s="12">
        <v>46263</v>
      </c>
      <c r="B855" s="7" t="s">
        <v>14</v>
      </c>
      <c r="C855" s="7" t="s">
        <v>25</v>
      </c>
      <c r="D855" s="11"/>
      <c r="E855" s="11">
        <v>1358.02</v>
      </c>
      <c r="F855" s="11" t="s">
        <v>157</v>
      </c>
      <c r="G855" s="11" t="s">
        <v>156</v>
      </c>
      <c r="H855" s="10">
        <v>4156</v>
      </c>
      <c r="I855" s="9"/>
      <c r="J855" s="7" t="s">
        <v>17</v>
      </c>
      <c r="K855" s="7"/>
      <c r="L855" s="8"/>
      <c r="M855" s="8" t="str">
        <f>IF(C855="Caixa","-",VLOOKUP(J855,[1]Estrutura!C:E,3,FALSE))</f>
        <v>4.4</v>
      </c>
      <c r="N855" s="8"/>
      <c r="O855" s="7">
        <f t="shared" si="52"/>
        <v>29</v>
      </c>
      <c r="P855" s="7">
        <f t="shared" si="53"/>
        <v>8</v>
      </c>
      <c r="Q855" s="7">
        <f t="shared" si="54"/>
        <v>2026</v>
      </c>
      <c r="R855" s="6">
        <f t="shared" si="55"/>
        <v>-1358.02</v>
      </c>
      <c r="S855" s="12">
        <v>46266</v>
      </c>
    </row>
    <row r="856" spans="1:19">
      <c r="A856" s="16">
        <v>46263</v>
      </c>
      <c r="B856" s="8" t="s">
        <v>14</v>
      </c>
      <c r="C856" s="8" t="s">
        <v>9</v>
      </c>
      <c r="D856" s="15"/>
      <c r="E856" s="15">
        <v>1800</v>
      </c>
      <c r="F856" s="15"/>
      <c r="G856" s="8" t="s">
        <v>18</v>
      </c>
      <c r="H856" s="14"/>
      <c r="I856" s="13"/>
      <c r="J856" s="8" t="s">
        <v>17</v>
      </c>
      <c r="K856" s="8"/>
      <c r="L856" s="7"/>
      <c r="M856" s="7" t="str">
        <f>IF(C856="Caixa","-",VLOOKUP(J856,[1]Estrutura!C:E,3,FALSE))</f>
        <v>4.4</v>
      </c>
      <c r="N856" s="7"/>
      <c r="O856" s="7">
        <f t="shared" si="52"/>
        <v>29</v>
      </c>
      <c r="P856" s="7">
        <f t="shared" si="53"/>
        <v>8</v>
      </c>
      <c r="Q856" s="7">
        <f t="shared" si="54"/>
        <v>2026</v>
      </c>
      <c r="R856" s="6">
        <f t="shared" si="55"/>
        <v>-1800</v>
      </c>
      <c r="S856" s="16">
        <v>46266</v>
      </c>
    </row>
    <row r="857" spans="1:19">
      <c r="A857" s="16">
        <v>46263</v>
      </c>
      <c r="B857" s="8" t="s">
        <v>26</v>
      </c>
      <c r="C857" s="8" t="s">
        <v>6</v>
      </c>
      <c r="D857" s="15">
        <v>75000</v>
      </c>
      <c r="E857" s="15"/>
      <c r="F857" s="15" t="s">
        <v>513</v>
      </c>
      <c r="G857" s="8" t="s">
        <v>512</v>
      </c>
      <c r="H857" s="14">
        <v>1</v>
      </c>
      <c r="I857" s="13"/>
      <c r="J857" s="8" t="s">
        <v>511</v>
      </c>
      <c r="K857" s="8" t="s">
        <v>34</v>
      </c>
      <c r="L857" s="8"/>
      <c r="M857" s="8" t="str">
        <f>IF(C857="Caixa","-",VLOOKUP(J857,[1]Estrutura!C:E,3,FALSE))</f>
        <v>1.3</v>
      </c>
      <c r="N857" s="8"/>
      <c r="O857" s="7">
        <f t="shared" si="52"/>
        <v>29</v>
      </c>
      <c r="P857" s="7">
        <f t="shared" si="53"/>
        <v>8</v>
      </c>
      <c r="Q857" s="7">
        <f t="shared" si="54"/>
        <v>2026</v>
      </c>
      <c r="R857" s="6">
        <f t="shared" si="55"/>
        <v>75000</v>
      </c>
      <c r="S857" s="12">
        <v>46266</v>
      </c>
    </row>
    <row r="858" spans="1:19">
      <c r="A858" s="12">
        <v>46263</v>
      </c>
      <c r="B858" s="7" t="s">
        <v>26</v>
      </c>
      <c r="C858" s="7" t="s">
        <v>6</v>
      </c>
      <c r="D858" s="11"/>
      <c r="E858" s="11">
        <v>12500</v>
      </c>
      <c r="F858" s="11" t="s">
        <v>406</v>
      </c>
      <c r="G858" s="11" t="s">
        <v>510</v>
      </c>
      <c r="H858" s="7"/>
      <c r="I858" s="9"/>
      <c r="J858" s="7" t="s">
        <v>17</v>
      </c>
      <c r="K858" s="7" t="s">
        <v>34</v>
      </c>
      <c r="L858" s="7"/>
      <c r="M858" s="7" t="str">
        <f>IF(C858="Caixa","-",VLOOKUP(J858,[1]Estrutura!C:E,3,FALSE))</f>
        <v>4.4</v>
      </c>
      <c r="N858" s="7"/>
      <c r="O858" s="7">
        <f t="shared" si="52"/>
        <v>29</v>
      </c>
      <c r="P858" s="7">
        <f t="shared" si="53"/>
        <v>8</v>
      </c>
      <c r="Q858" s="7">
        <f t="shared" si="54"/>
        <v>2026</v>
      </c>
      <c r="R858" s="6">
        <f t="shared" si="55"/>
        <v>-12500</v>
      </c>
      <c r="S858" s="16">
        <v>46266</v>
      </c>
    </row>
    <row r="859" spans="1:19">
      <c r="A859" s="16">
        <v>46263</v>
      </c>
      <c r="B859" s="8" t="s">
        <v>26</v>
      </c>
      <c r="C859" s="8" t="s">
        <v>6</v>
      </c>
      <c r="D859" s="15"/>
      <c r="E859" s="15">
        <v>13500</v>
      </c>
      <c r="F859" s="15" t="s">
        <v>406</v>
      </c>
      <c r="G859" s="15" t="s">
        <v>509</v>
      </c>
      <c r="H859" s="8"/>
      <c r="I859" s="13"/>
      <c r="J859" s="8" t="s">
        <v>17</v>
      </c>
      <c r="K859" s="8" t="s">
        <v>44</v>
      </c>
      <c r="L859" s="8"/>
      <c r="M859" s="8" t="str">
        <f>IF(C859="Caixa","-",VLOOKUP(J859,[1]Estrutura!C:E,3,FALSE))</f>
        <v>4.4</v>
      </c>
      <c r="N859" s="8"/>
      <c r="O859" s="7">
        <f t="shared" si="52"/>
        <v>29</v>
      </c>
      <c r="P859" s="7">
        <f t="shared" si="53"/>
        <v>8</v>
      </c>
      <c r="Q859" s="7">
        <f t="shared" si="54"/>
        <v>2026</v>
      </c>
      <c r="R859" s="6">
        <f t="shared" si="55"/>
        <v>-13500</v>
      </c>
      <c r="S859" s="16">
        <v>46266</v>
      </c>
    </row>
    <row r="860" spans="1:19">
      <c r="A860" s="12">
        <v>46263</v>
      </c>
      <c r="B860" s="7" t="s">
        <v>26</v>
      </c>
      <c r="C860" s="7" t="s">
        <v>6</v>
      </c>
      <c r="D860" s="11"/>
      <c r="E860" s="11">
        <v>131.46</v>
      </c>
      <c r="F860" s="11" t="s">
        <v>157</v>
      </c>
      <c r="G860" s="11" t="s">
        <v>508</v>
      </c>
      <c r="H860" s="7"/>
      <c r="I860" s="9"/>
      <c r="J860" s="7" t="s">
        <v>326</v>
      </c>
      <c r="K860" s="7" t="s">
        <v>40</v>
      </c>
      <c r="L860" s="7"/>
      <c r="M860" s="7" t="str">
        <f>IF(C860="Caixa","-",VLOOKUP(J860,[1]Estrutura!C:E,3,FALSE))</f>
        <v>4.10</v>
      </c>
      <c r="N860" s="7"/>
      <c r="O860" s="7">
        <f t="shared" si="52"/>
        <v>29</v>
      </c>
      <c r="P860" s="7">
        <f t="shared" si="53"/>
        <v>8</v>
      </c>
      <c r="Q860" s="7">
        <f t="shared" si="54"/>
        <v>2026</v>
      </c>
      <c r="R860" s="6">
        <f t="shared" si="55"/>
        <v>-131.46</v>
      </c>
      <c r="S860" s="12">
        <v>46266</v>
      </c>
    </row>
    <row r="861" spans="1:19">
      <c r="A861" s="16">
        <v>46263</v>
      </c>
      <c r="B861" s="7" t="s">
        <v>7</v>
      </c>
      <c r="C861" s="7" t="s">
        <v>9</v>
      </c>
      <c r="D861" s="15">
        <v>5930.17</v>
      </c>
      <c r="E861" s="15"/>
      <c r="F861" s="15"/>
      <c r="G861" s="8" t="s">
        <v>11</v>
      </c>
      <c r="H861" s="8"/>
      <c r="I861" s="17"/>
      <c r="J861" s="8" t="s">
        <v>10</v>
      </c>
      <c r="K861" s="8"/>
      <c r="L861" s="8"/>
      <c r="M861" s="8" t="str">
        <f>IF(C861="Caixa","-",VLOOKUP(J861,[1]Estrutura!C:E,3,FALSE))</f>
        <v>1.1</v>
      </c>
      <c r="N861" s="8"/>
      <c r="O861" s="7">
        <f t="shared" si="52"/>
        <v>29</v>
      </c>
      <c r="P861" s="7">
        <f t="shared" si="53"/>
        <v>8</v>
      </c>
      <c r="Q861" s="7">
        <f t="shared" si="54"/>
        <v>2026</v>
      </c>
      <c r="R861" s="6">
        <f t="shared" si="55"/>
        <v>5930.17</v>
      </c>
      <c r="S861" s="16">
        <v>46266</v>
      </c>
    </row>
    <row r="862" spans="1:19">
      <c r="A862" s="16">
        <v>46264</v>
      </c>
      <c r="B862" s="8" t="s">
        <v>14</v>
      </c>
      <c r="C862" s="7" t="s">
        <v>9</v>
      </c>
      <c r="D862" s="15">
        <v>1569.63</v>
      </c>
      <c r="E862" s="15"/>
      <c r="F862" s="15"/>
      <c r="G862" s="8" t="s">
        <v>11</v>
      </c>
      <c r="H862" s="8"/>
      <c r="I862" s="17"/>
      <c r="J862" s="8" t="s">
        <v>10</v>
      </c>
      <c r="K862" s="8"/>
      <c r="L862" s="7"/>
      <c r="M862" s="7" t="str">
        <f>IF(C862="Caixa","-",VLOOKUP(J862,[1]Estrutura!C:E,3,FALSE))</f>
        <v>1.1</v>
      </c>
      <c r="N862" s="7"/>
      <c r="O862" s="7">
        <f t="shared" si="52"/>
        <v>30</v>
      </c>
      <c r="P862" s="7">
        <f t="shared" si="53"/>
        <v>8</v>
      </c>
      <c r="Q862" s="7">
        <f t="shared" si="54"/>
        <v>2026</v>
      </c>
      <c r="R862" s="6">
        <f t="shared" si="55"/>
        <v>1569.63</v>
      </c>
      <c r="S862" s="12">
        <v>46266</v>
      </c>
    </row>
    <row r="863" spans="1:19">
      <c r="A863" s="12">
        <v>46264</v>
      </c>
      <c r="B863" s="7" t="s">
        <v>26</v>
      </c>
      <c r="C863" s="7" t="s">
        <v>6</v>
      </c>
      <c r="D863" s="11"/>
      <c r="E863" s="11">
        <v>19000</v>
      </c>
      <c r="F863" s="11" t="s">
        <v>414</v>
      </c>
      <c r="G863" s="7" t="s">
        <v>413</v>
      </c>
      <c r="H863" s="10"/>
      <c r="I863" s="9"/>
      <c r="J863" s="7" t="s">
        <v>116</v>
      </c>
      <c r="K863" s="7" t="s">
        <v>21</v>
      </c>
      <c r="L863" s="8"/>
      <c r="M863" s="8" t="str">
        <f>IF(C863="Caixa","-",VLOOKUP(J863,[1]Estrutura!C:E,3,FALSE))</f>
        <v>4.12</v>
      </c>
      <c r="N863" s="8"/>
      <c r="O863" s="7">
        <f t="shared" si="52"/>
        <v>30</v>
      </c>
      <c r="P863" s="7">
        <f t="shared" si="53"/>
        <v>8</v>
      </c>
      <c r="Q863" s="7">
        <f t="shared" si="54"/>
        <v>2026</v>
      </c>
      <c r="R863" s="6">
        <f t="shared" si="55"/>
        <v>-19000</v>
      </c>
      <c r="S863" s="16">
        <v>46266</v>
      </c>
    </row>
    <row r="864" spans="1:19">
      <c r="A864" s="16">
        <v>46264</v>
      </c>
      <c r="B864" s="7" t="s">
        <v>7</v>
      </c>
      <c r="C864" s="7" t="s">
        <v>9</v>
      </c>
      <c r="D864" s="15">
        <v>8278.2000000000007</v>
      </c>
      <c r="E864" s="15"/>
      <c r="F864" s="15"/>
      <c r="G864" s="8" t="s">
        <v>11</v>
      </c>
      <c r="H864" s="8"/>
      <c r="I864" s="17"/>
      <c r="J864" s="8" t="s">
        <v>10</v>
      </c>
      <c r="K864" s="8"/>
      <c r="L864" s="7"/>
      <c r="M864" s="7" t="str">
        <f>IF(C864="Caixa","-",VLOOKUP(J864,[1]Estrutura!C:E,3,FALSE))</f>
        <v>1.1</v>
      </c>
      <c r="N864" s="7"/>
      <c r="O864" s="7">
        <f t="shared" si="52"/>
        <v>30</v>
      </c>
      <c r="P864" s="7">
        <f t="shared" si="53"/>
        <v>8</v>
      </c>
      <c r="Q864" s="7">
        <f t="shared" si="54"/>
        <v>2026</v>
      </c>
      <c r="R864" s="6">
        <f t="shared" si="55"/>
        <v>8278.2000000000007</v>
      </c>
      <c r="S864" s="12">
        <v>46266</v>
      </c>
    </row>
    <row r="865" spans="1:19">
      <c r="A865" s="16">
        <v>46264</v>
      </c>
      <c r="B865" s="8" t="s">
        <v>7</v>
      </c>
      <c r="C865" s="8" t="s">
        <v>9</v>
      </c>
      <c r="D865" s="15">
        <v>15892.369999998249</v>
      </c>
      <c r="E865" s="15"/>
      <c r="F865" s="15"/>
      <c r="G865" s="8" t="s">
        <v>507</v>
      </c>
      <c r="H865" s="8"/>
      <c r="I865" s="17"/>
      <c r="J865" s="8" t="s">
        <v>0</v>
      </c>
      <c r="K865" s="8"/>
      <c r="L865" s="8"/>
      <c r="M865" s="8" t="str">
        <f>IF(C865="Caixa","-",VLOOKUP(J865,[1]Estrutura!C:E,3,FALSE))</f>
        <v>5.1</v>
      </c>
      <c r="N865" s="8"/>
      <c r="O865" s="7">
        <f t="shared" si="52"/>
        <v>30</v>
      </c>
      <c r="P865" s="7">
        <f t="shared" si="53"/>
        <v>8</v>
      </c>
      <c r="Q865" s="7">
        <f t="shared" si="54"/>
        <v>2026</v>
      </c>
      <c r="R865" s="6">
        <f t="shared" si="55"/>
        <v>15892.369999998249</v>
      </c>
      <c r="S865" s="12">
        <v>46266</v>
      </c>
    </row>
    <row r="866" spans="1:19">
      <c r="A866" s="12">
        <v>46265</v>
      </c>
      <c r="B866" s="7" t="s">
        <v>7</v>
      </c>
      <c r="C866" s="7" t="s">
        <v>6</v>
      </c>
      <c r="D866" s="11"/>
      <c r="E866" s="11">
        <v>512.15</v>
      </c>
      <c r="F866" s="11"/>
      <c r="G866" s="7" t="s">
        <v>5</v>
      </c>
      <c r="H866" s="10"/>
      <c r="I866" s="9"/>
      <c r="J866" s="7" t="s">
        <v>4</v>
      </c>
      <c r="K866" s="7"/>
      <c r="L866" s="7"/>
      <c r="M866" s="7" t="str">
        <f>IF(C866="Caixa","-",VLOOKUP(J866,[1]Estrutura!C:E,3,FALSE))</f>
        <v>5.2</v>
      </c>
      <c r="N866" s="7"/>
      <c r="O866" s="7">
        <f t="shared" si="52"/>
        <v>31</v>
      </c>
      <c r="P866" s="7">
        <f t="shared" si="53"/>
        <v>8</v>
      </c>
      <c r="Q866" s="7">
        <f t="shared" si="54"/>
        <v>2026</v>
      </c>
      <c r="R866" s="6">
        <f t="shared" si="55"/>
        <v>-512.15</v>
      </c>
      <c r="S866" s="16">
        <v>46266</v>
      </c>
    </row>
    <row r="867" spans="1:19">
      <c r="A867" s="12">
        <v>46265</v>
      </c>
      <c r="B867" s="8" t="s">
        <v>7</v>
      </c>
      <c r="C867" s="8" t="s">
        <v>6</v>
      </c>
      <c r="D867" s="15"/>
      <c r="E867" s="15">
        <v>486.42</v>
      </c>
      <c r="F867" s="15"/>
      <c r="G867" s="8" t="s">
        <v>5</v>
      </c>
      <c r="H867" s="14"/>
      <c r="I867" s="13"/>
      <c r="J867" s="8" t="s">
        <v>4</v>
      </c>
      <c r="K867" s="8"/>
      <c r="L867" s="8"/>
      <c r="M867" s="8" t="str">
        <f>IF(C867="Caixa","-",VLOOKUP(J867,[1]Estrutura!C:E,3,FALSE))</f>
        <v>5.2</v>
      </c>
      <c r="N867" s="8"/>
      <c r="O867" s="7">
        <f t="shared" si="52"/>
        <v>31</v>
      </c>
      <c r="P867" s="7">
        <f t="shared" si="53"/>
        <v>8</v>
      </c>
      <c r="Q867" s="7">
        <f t="shared" si="54"/>
        <v>2026</v>
      </c>
      <c r="R867" s="6">
        <f t="shared" si="55"/>
        <v>-486.42</v>
      </c>
      <c r="S867" s="12">
        <v>46266</v>
      </c>
    </row>
    <row r="868" spans="1:19">
      <c r="A868" s="12">
        <v>46265</v>
      </c>
      <c r="B868" s="7" t="s">
        <v>3</v>
      </c>
      <c r="C868" s="7" t="s">
        <v>2</v>
      </c>
      <c r="D868" s="11">
        <v>7181.359999999986</v>
      </c>
      <c r="E868" s="11"/>
      <c r="F868" s="11"/>
      <c r="G868" s="7" t="s">
        <v>1</v>
      </c>
      <c r="H868" s="10"/>
      <c r="I868" s="9"/>
      <c r="J868" s="7" t="s">
        <v>0</v>
      </c>
      <c r="K868" s="7"/>
      <c r="L868" s="7"/>
      <c r="M868" s="7" t="str">
        <f>IF(C868="Caixa","-",VLOOKUP(J868,[1]Estrutura!C:E,3,FALSE))</f>
        <v>5.1</v>
      </c>
      <c r="N868" s="7"/>
      <c r="O868" s="7">
        <f t="shared" si="52"/>
        <v>31</v>
      </c>
      <c r="P868" s="7">
        <f t="shared" si="53"/>
        <v>8</v>
      </c>
      <c r="Q868" s="7">
        <f t="shared" si="54"/>
        <v>2026</v>
      </c>
      <c r="R868" s="6">
        <f t="shared" si="55"/>
        <v>7181.359999999986</v>
      </c>
      <c r="S868" s="16">
        <v>46266</v>
      </c>
    </row>
    <row r="869" spans="1:19">
      <c r="A869" s="16">
        <v>46266</v>
      </c>
      <c r="B869" s="8" t="s">
        <v>122</v>
      </c>
      <c r="C869" s="8" t="s">
        <v>9</v>
      </c>
      <c r="D869" s="15"/>
      <c r="E869" s="15">
        <v>96.6</v>
      </c>
      <c r="F869" s="15" t="s">
        <v>228</v>
      </c>
      <c r="G869" s="8" t="s">
        <v>394</v>
      </c>
      <c r="H869" s="14"/>
      <c r="I869" s="13"/>
      <c r="J869" s="8" t="s">
        <v>144</v>
      </c>
      <c r="K869" s="8"/>
      <c r="L869" s="8"/>
      <c r="M869" s="8" t="str">
        <f>IF(C869="Caixa","-",VLOOKUP(J869,[1]Estrutura!C:E,3,FALSE))</f>
        <v>4.2</v>
      </c>
      <c r="N869" s="8"/>
      <c r="O869" s="7">
        <f t="shared" si="52"/>
        <v>1</v>
      </c>
      <c r="P869" s="7">
        <f t="shared" si="53"/>
        <v>9</v>
      </c>
      <c r="Q869" s="7">
        <f t="shared" si="54"/>
        <v>2026</v>
      </c>
      <c r="R869" s="6">
        <f t="shared" si="55"/>
        <v>-96.6</v>
      </c>
      <c r="S869" s="12">
        <v>46266</v>
      </c>
    </row>
    <row r="870" spans="1:19">
      <c r="A870" s="12">
        <v>46266</v>
      </c>
      <c r="B870" s="8" t="s">
        <v>122</v>
      </c>
      <c r="C870" s="7" t="s">
        <v>9</v>
      </c>
      <c r="D870" s="11"/>
      <c r="E870" s="11">
        <v>11.63</v>
      </c>
      <c r="F870" s="11" t="s">
        <v>228</v>
      </c>
      <c r="G870" s="7" t="s">
        <v>232</v>
      </c>
      <c r="H870" s="10"/>
      <c r="I870" s="9"/>
      <c r="J870" s="7" t="s">
        <v>144</v>
      </c>
      <c r="K870" s="7"/>
      <c r="L870" s="7"/>
      <c r="M870" s="7" t="str">
        <f>IF(C870="Caixa","-",VLOOKUP(J870,[1]Estrutura!C:E,3,FALSE))</f>
        <v>4.2</v>
      </c>
      <c r="N870" s="7"/>
      <c r="O870" s="7">
        <f t="shared" si="52"/>
        <v>1</v>
      </c>
      <c r="P870" s="7">
        <f t="shared" si="53"/>
        <v>9</v>
      </c>
      <c r="Q870" s="7">
        <f t="shared" si="54"/>
        <v>2026</v>
      </c>
      <c r="R870" s="6">
        <f t="shared" si="55"/>
        <v>-11.63</v>
      </c>
      <c r="S870" s="16">
        <v>46266</v>
      </c>
    </row>
    <row r="871" spans="1:19">
      <c r="A871" s="16">
        <v>46266</v>
      </c>
      <c r="B871" s="8" t="s">
        <v>122</v>
      </c>
      <c r="C871" s="8" t="s">
        <v>6</v>
      </c>
      <c r="D871" s="15"/>
      <c r="E871" s="15">
        <v>-221.29</v>
      </c>
      <c r="F871" s="15" t="s">
        <v>184</v>
      </c>
      <c r="G871" s="8" t="s">
        <v>287</v>
      </c>
      <c r="H871" s="14"/>
      <c r="I871" s="13"/>
      <c r="J871" s="8" t="s">
        <v>144</v>
      </c>
      <c r="K871" s="8"/>
      <c r="L871" s="8"/>
      <c r="M871" s="8" t="str">
        <f>IF(C871="Caixa","-",VLOOKUP(J871,[1]Estrutura!C:E,3,FALSE))</f>
        <v>4.2</v>
      </c>
      <c r="N871" s="8"/>
      <c r="O871" s="7">
        <f t="shared" si="52"/>
        <v>1</v>
      </c>
      <c r="P871" s="7">
        <f t="shared" si="53"/>
        <v>9</v>
      </c>
      <c r="Q871" s="7">
        <f t="shared" si="54"/>
        <v>2026</v>
      </c>
      <c r="R871" s="6">
        <f t="shared" si="55"/>
        <v>221.29</v>
      </c>
      <c r="S871" s="12">
        <v>46266</v>
      </c>
    </row>
    <row r="872" spans="1:19">
      <c r="A872" s="12">
        <v>46266</v>
      </c>
      <c r="B872" s="7" t="s">
        <v>122</v>
      </c>
      <c r="C872" s="7" t="s">
        <v>6</v>
      </c>
      <c r="D872" s="11"/>
      <c r="E872" s="11">
        <v>678.48</v>
      </c>
      <c r="F872" s="15" t="s">
        <v>184</v>
      </c>
      <c r="G872" s="7" t="s">
        <v>286</v>
      </c>
      <c r="H872" s="10"/>
      <c r="I872" s="9"/>
      <c r="J872" s="7" t="s">
        <v>144</v>
      </c>
      <c r="K872" s="7"/>
      <c r="L872" s="7"/>
      <c r="M872" s="7" t="str">
        <f>IF(C872="Caixa","-",VLOOKUP(J872,[1]Estrutura!C:E,3,FALSE))</f>
        <v>4.2</v>
      </c>
      <c r="N872" s="7"/>
      <c r="O872" s="7">
        <f t="shared" si="52"/>
        <v>1</v>
      </c>
      <c r="P872" s="7">
        <f t="shared" si="53"/>
        <v>9</v>
      </c>
      <c r="Q872" s="7">
        <f t="shared" si="54"/>
        <v>2026</v>
      </c>
      <c r="R872" s="6">
        <f t="shared" si="55"/>
        <v>-678.48</v>
      </c>
      <c r="S872" s="16">
        <v>46266</v>
      </c>
    </row>
    <row r="873" spans="1:19">
      <c r="A873" s="16">
        <v>46266</v>
      </c>
      <c r="B873" s="8" t="s">
        <v>122</v>
      </c>
      <c r="C873" s="8" t="s">
        <v>6</v>
      </c>
      <c r="D873" s="15"/>
      <c r="E873" s="15">
        <v>353.73</v>
      </c>
      <c r="F873" s="15" t="s">
        <v>184</v>
      </c>
      <c r="G873" s="8" t="s">
        <v>188</v>
      </c>
      <c r="H873" s="14"/>
      <c r="I873" s="13"/>
      <c r="J873" s="8" t="s">
        <v>144</v>
      </c>
      <c r="K873" s="8"/>
      <c r="L873" s="8"/>
      <c r="M873" s="8" t="str">
        <f>IF(C873="Caixa","-",VLOOKUP(J873,[1]Estrutura!C:E,3,FALSE))</f>
        <v>4.2</v>
      </c>
      <c r="N873" s="8"/>
      <c r="O873" s="7">
        <f t="shared" si="52"/>
        <v>1</v>
      </c>
      <c r="P873" s="7">
        <f t="shared" si="53"/>
        <v>9</v>
      </c>
      <c r="Q873" s="7">
        <f t="shared" si="54"/>
        <v>2026</v>
      </c>
      <c r="R873" s="6">
        <f t="shared" si="55"/>
        <v>-353.73</v>
      </c>
      <c r="S873" s="16">
        <v>46266</v>
      </c>
    </row>
    <row r="874" spans="1:19">
      <c r="A874" s="16">
        <v>46266</v>
      </c>
      <c r="B874" s="8" t="s">
        <v>122</v>
      </c>
      <c r="C874" s="8" t="s">
        <v>9</v>
      </c>
      <c r="D874" s="15"/>
      <c r="E874" s="15">
        <v>3458.51</v>
      </c>
      <c r="F874" s="15" t="s">
        <v>228</v>
      </c>
      <c r="G874" s="8" t="s">
        <v>231</v>
      </c>
      <c r="H874" s="14"/>
      <c r="I874" s="13"/>
      <c r="J874" s="8" t="s">
        <v>144</v>
      </c>
      <c r="K874" s="8"/>
      <c r="L874" s="7"/>
      <c r="M874" s="7" t="str">
        <f>IF(C874="Caixa","-",VLOOKUP(J874,[1]Estrutura!C:E,3,FALSE))</f>
        <v>4.2</v>
      </c>
      <c r="N874" s="7"/>
      <c r="O874" s="7">
        <f t="shared" si="52"/>
        <v>1</v>
      </c>
      <c r="P874" s="7">
        <f t="shared" si="53"/>
        <v>9</v>
      </c>
      <c r="Q874" s="7">
        <f t="shared" si="54"/>
        <v>2026</v>
      </c>
      <c r="R874" s="6">
        <f t="shared" si="55"/>
        <v>-3458.51</v>
      </c>
      <c r="S874" s="16">
        <v>46266</v>
      </c>
    </row>
    <row r="875" spans="1:19">
      <c r="A875" s="12">
        <v>46266</v>
      </c>
      <c r="B875" s="7" t="s">
        <v>122</v>
      </c>
      <c r="C875" s="7" t="s">
        <v>6</v>
      </c>
      <c r="D875" s="11"/>
      <c r="E875" s="11">
        <v>5072.82</v>
      </c>
      <c r="F875" s="15" t="s">
        <v>184</v>
      </c>
      <c r="G875" s="7" t="s">
        <v>506</v>
      </c>
      <c r="H875" s="10"/>
      <c r="I875" s="9"/>
      <c r="J875" s="7" t="s">
        <v>144</v>
      </c>
      <c r="K875" s="7"/>
      <c r="L875" s="8"/>
      <c r="M875" s="8" t="str">
        <f>IF(C875="Caixa","-",VLOOKUP(J875,[1]Estrutura!C:E,3,FALSE))</f>
        <v>4.2</v>
      </c>
      <c r="N875" s="8"/>
      <c r="O875" s="7">
        <f t="shared" si="52"/>
        <v>1</v>
      </c>
      <c r="P875" s="7">
        <f t="shared" si="53"/>
        <v>9</v>
      </c>
      <c r="Q875" s="7">
        <f t="shared" si="54"/>
        <v>2026</v>
      </c>
      <c r="R875" s="6">
        <f t="shared" si="55"/>
        <v>-5072.82</v>
      </c>
      <c r="S875" s="12">
        <v>46266</v>
      </c>
    </row>
    <row r="876" spans="1:19">
      <c r="A876" s="16">
        <v>46266</v>
      </c>
      <c r="B876" s="8" t="s">
        <v>122</v>
      </c>
      <c r="C876" s="8" t="s">
        <v>6</v>
      </c>
      <c r="D876" s="15"/>
      <c r="E876" s="15">
        <v>253.64</v>
      </c>
      <c r="F876" s="15" t="s">
        <v>184</v>
      </c>
      <c r="G876" s="8" t="s">
        <v>185</v>
      </c>
      <c r="H876" s="14"/>
      <c r="I876" s="13"/>
      <c r="J876" s="8" t="s">
        <v>144</v>
      </c>
      <c r="K876" s="8"/>
      <c r="L876" s="7"/>
      <c r="M876" s="7" t="str">
        <f>IF(C876="Caixa","-",VLOOKUP(J876,[1]Estrutura!C:E,3,FALSE))</f>
        <v>4.2</v>
      </c>
      <c r="N876" s="7"/>
      <c r="O876" s="7">
        <f t="shared" si="52"/>
        <v>1</v>
      </c>
      <c r="P876" s="7">
        <f t="shared" si="53"/>
        <v>9</v>
      </c>
      <c r="Q876" s="7">
        <f t="shared" si="54"/>
        <v>2026</v>
      </c>
      <c r="R876" s="6">
        <f t="shared" si="55"/>
        <v>-253.64</v>
      </c>
      <c r="S876" s="16">
        <v>46266</v>
      </c>
    </row>
    <row r="877" spans="1:19">
      <c r="A877" s="12">
        <v>46266</v>
      </c>
      <c r="B877" s="8" t="s">
        <v>122</v>
      </c>
      <c r="C877" s="7" t="s">
        <v>9</v>
      </c>
      <c r="D877" s="11"/>
      <c r="E877" s="11">
        <v>172.93</v>
      </c>
      <c r="F877" s="11" t="s">
        <v>228</v>
      </c>
      <c r="G877" s="7" t="s">
        <v>230</v>
      </c>
      <c r="H877" s="10"/>
      <c r="I877" s="9"/>
      <c r="J877" s="7" t="s">
        <v>144</v>
      </c>
      <c r="K877" s="7"/>
      <c r="L877" s="8"/>
      <c r="M877" s="8" t="str">
        <f>IF(C877="Caixa","-",VLOOKUP(J877,[1]Estrutura!C:E,3,FALSE))</f>
        <v>4.2</v>
      </c>
      <c r="N877" s="8"/>
      <c r="O877" s="7">
        <f t="shared" si="52"/>
        <v>1</v>
      </c>
      <c r="P877" s="7">
        <f t="shared" si="53"/>
        <v>9</v>
      </c>
      <c r="Q877" s="7">
        <f t="shared" si="54"/>
        <v>2026</v>
      </c>
      <c r="R877" s="6">
        <f t="shared" si="55"/>
        <v>-172.93</v>
      </c>
      <c r="S877" s="12">
        <v>46266</v>
      </c>
    </row>
    <row r="878" spans="1:19">
      <c r="A878" s="16">
        <v>46266</v>
      </c>
      <c r="B878" s="8" t="s">
        <v>122</v>
      </c>
      <c r="C878" s="24" t="s">
        <v>9</v>
      </c>
      <c r="D878" s="15"/>
      <c r="E878" s="15">
        <v>568.79</v>
      </c>
      <c r="F878" s="15" t="s">
        <v>228</v>
      </c>
      <c r="G878" s="8" t="s">
        <v>229</v>
      </c>
      <c r="H878" s="14"/>
      <c r="I878" s="13"/>
      <c r="J878" s="8" t="s">
        <v>144</v>
      </c>
      <c r="K878" s="8"/>
      <c r="L878" s="7"/>
      <c r="M878" s="7" t="str">
        <f>IF(C878="Caixa","-",VLOOKUP(J878,[1]Estrutura!C:E,3,FALSE))</f>
        <v>4.2</v>
      </c>
      <c r="N878" s="7"/>
      <c r="O878" s="7">
        <f t="shared" si="52"/>
        <v>1</v>
      </c>
      <c r="P878" s="7">
        <f t="shared" si="53"/>
        <v>9</v>
      </c>
      <c r="Q878" s="7">
        <f t="shared" si="54"/>
        <v>2026</v>
      </c>
      <c r="R878" s="6">
        <f t="shared" si="55"/>
        <v>-568.79</v>
      </c>
      <c r="S878" s="16">
        <v>46266</v>
      </c>
    </row>
    <row r="879" spans="1:19">
      <c r="A879" s="12">
        <v>46266</v>
      </c>
      <c r="B879" s="8" t="s">
        <v>122</v>
      </c>
      <c r="C879" s="18" t="s">
        <v>9</v>
      </c>
      <c r="D879" s="11"/>
      <c r="E879" s="11">
        <v>349.25</v>
      </c>
      <c r="F879" s="11" t="s">
        <v>228</v>
      </c>
      <c r="G879" s="7" t="s">
        <v>227</v>
      </c>
      <c r="H879" s="10"/>
      <c r="I879" s="9"/>
      <c r="J879" s="7" t="s">
        <v>144</v>
      </c>
      <c r="K879" s="7"/>
      <c r="L879" s="8"/>
      <c r="M879" s="8" t="str">
        <f>IF(C879="Caixa","-",VLOOKUP(J879,[1]Estrutura!C:E,3,FALSE))</f>
        <v>4.2</v>
      </c>
      <c r="N879" s="8"/>
      <c r="O879" s="7">
        <f t="shared" si="52"/>
        <v>1</v>
      </c>
      <c r="P879" s="7">
        <f t="shared" si="53"/>
        <v>9</v>
      </c>
      <c r="Q879" s="7">
        <f t="shared" si="54"/>
        <v>2026</v>
      </c>
      <c r="R879" s="6">
        <f t="shared" si="55"/>
        <v>-349.25</v>
      </c>
      <c r="S879" s="12">
        <v>46266</v>
      </c>
    </row>
    <row r="880" spans="1:19">
      <c r="A880" s="12">
        <v>46266</v>
      </c>
      <c r="B880" s="7" t="s">
        <v>122</v>
      </c>
      <c r="C880" s="7" t="s">
        <v>6</v>
      </c>
      <c r="D880" s="11"/>
      <c r="E880" s="11">
        <v>212.52</v>
      </c>
      <c r="F880" s="15" t="s">
        <v>184</v>
      </c>
      <c r="G880" s="7" t="s">
        <v>183</v>
      </c>
      <c r="H880" s="10"/>
      <c r="I880" s="9"/>
      <c r="J880" s="7" t="s">
        <v>144</v>
      </c>
      <c r="K880" s="7"/>
      <c r="L880" s="7"/>
      <c r="M880" s="7" t="str">
        <f>IF(C880="Caixa","-",VLOOKUP(J880,[1]Estrutura!C:E,3,FALSE))</f>
        <v>4.2</v>
      </c>
      <c r="N880" s="7"/>
      <c r="O880" s="7">
        <f t="shared" si="52"/>
        <v>1</v>
      </c>
      <c r="P880" s="7">
        <f t="shared" si="53"/>
        <v>9</v>
      </c>
      <c r="Q880" s="7">
        <f t="shared" si="54"/>
        <v>2026</v>
      </c>
      <c r="R880" s="6">
        <f t="shared" si="55"/>
        <v>-212.52</v>
      </c>
      <c r="S880" s="16">
        <v>46266</v>
      </c>
    </row>
    <row r="881" spans="1:19">
      <c r="A881" s="16">
        <v>46266</v>
      </c>
      <c r="B881" s="8" t="s">
        <v>122</v>
      </c>
      <c r="C881" s="8" t="s">
        <v>6</v>
      </c>
      <c r="D881" s="15"/>
      <c r="E881" s="15">
        <v>212.52</v>
      </c>
      <c r="F881" s="15" t="s">
        <v>184</v>
      </c>
      <c r="G881" s="8" t="s">
        <v>183</v>
      </c>
      <c r="H881" s="14"/>
      <c r="I881" s="13"/>
      <c r="J881" s="8" t="s">
        <v>144</v>
      </c>
      <c r="K881" s="8"/>
      <c r="L881" s="8"/>
      <c r="M881" s="8" t="str">
        <f>IF(C881="Caixa","-",VLOOKUP(J881,[1]Estrutura!C:E,3,FALSE))</f>
        <v>4.2</v>
      </c>
      <c r="N881" s="8"/>
      <c r="O881" s="7">
        <f t="shared" si="52"/>
        <v>1</v>
      </c>
      <c r="P881" s="7">
        <f t="shared" si="53"/>
        <v>9</v>
      </c>
      <c r="Q881" s="7">
        <f t="shared" si="54"/>
        <v>2026</v>
      </c>
      <c r="R881" s="6">
        <f t="shared" si="55"/>
        <v>-212.52</v>
      </c>
      <c r="S881" s="12">
        <v>46266</v>
      </c>
    </row>
    <row r="882" spans="1:19">
      <c r="A882" s="12">
        <v>46266</v>
      </c>
      <c r="B882" s="18" t="s">
        <v>14</v>
      </c>
      <c r="C882" s="7" t="s">
        <v>9</v>
      </c>
      <c r="D882" s="11"/>
      <c r="E882" s="15">
        <v>4953</v>
      </c>
      <c r="F882" s="15" t="s">
        <v>146</v>
      </c>
      <c r="G882" s="7" t="s">
        <v>505</v>
      </c>
      <c r="H882" s="10"/>
      <c r="I882" s="9"/>
      <c r="J882" s="7" t="s">
        <v>144</v>
      </c>
      <c r="K882" s="7"/>
      <c r="L882" s="7"/>
      <c r="M882" s="7" t="str">
        <f>IF(C882="Caixa","-",VLOOKUP(J882,[1]Estrutura!C:E,3,FALSE))</f>
        <v>4.2</v>
      </c>
      <c r="N882" s="7"/>
      <c r="O882" s="7">
        <f t="shared" si="52"/>
        <v>1</v>
      </c>
      <c r="P882" s="7">
        <f t="shared" si="53"/>
        <v>9</v>
      </c>
      <c r="Q882" s="7">
        <f t="shared" si="54"/>
        <v>2026</v>
      </c>
      <c r="R882" s="6">
        <f t="shared" si="55"/>
        <v>-4953</v>
      </c>
      <c r="S882" s="16">
        <v>46266</v>
      </c>
    </row>
    <row r="883" spans="1:19">
      <c r="A883" s="16">
        <v>46266</v>
      </c>
      <c r="B883" s="24" t="s">
        <v>14</v>
      </c>
      <c r="C883" s="8" t="s">
        <v>9</v>
      </c>
      <c r="D883" s="15"/>
      <c r="E883" s="15">
        <v>4953</v>
      </c>
      <c r="F883" s="15" t="s">
        <v>146</v>
      </c>
      <c r="G883" s="8" t="s">
        <v>505</v>
      </c>
      <c r="H883" s="14"/>
      <c r="I883" s="13"/>
      <c r="J883" s="8" t="s">
        <v>144</v>
      </c>
      <c r="K883" s="8"/>
      <c r="L883" s="8"/>
      <c r="M883" s="8" t="str">
        <f>IF(C883="Caixa","-",VLOOKUP(J883,[1]Estrutura!C:E,3,FALSE))</f>
        <v>4.2</v>
      </c>
      <c r="N883" s="8"/>
      <c r="O883" s="7">
        <f t="shared" si="52"/>
        <v>1</v>
      </c>
      <c r="P883" s="7">
        <f t="shared" si="53"/>
        <v>9</v>
      </c>
      <c r="Q883" s="7">
        <f t="shared" si="54"/>
        <v>2026</v>
      </c>
      <c r="R883" s="6">
        <f t="shared" si="55"/>
        <v>-4953</v>
      </c>
      <c r="S883" s="12">
        <v>46266</v>
      </c>
    </row>
    <row r="884" spans="1:19">
      <c r="A884" s="12">
        <v>46266</v>
      </c>
      <c r="B884" s="18" t="s">
        <v>14</v>
      </c>
      <c r="C884" s="7" t="s">
        <v>9</v>
      </c>
      <c r="D884" s="11"/>
      <c r="E884" s="11">
        <v>100</v>
      </c>
      <c r="F884" s="15" t="s">
        <v>146</v>
      </c>
      <c r="G884" s="8" t="s">
        <v>504</v>
      </c>
      <c r="H884" s="14"/>
      <c r="I884" s="9"/>
      <c r="J884" s="7" t="s">
        <v>144</v>
      </c>
      <c r="K884" s="7"/>
      <c r="L884" s="7"/>
      <c r="M884" s="7" t="str">
        <f>IF(C884="Caixa","-",VLOOKUP(J884,[1]Estrutura!C:E,3,FALSE))</f>
        <v>4.2</v>
      </c>
      <c r="N884" s="7"/>
      <c r="O884" s="7">
        <f t="shared" si="52"/>
        <v>1</v>
      </c>
      <c r="P884" s="7">
        <f t="shared" si="53"/>
        <v>9</v>
      </c>
      <c r="Q884" s="7">
        <f t="shared" si="54"/>
        <v>2026</v>
      </c>
      <c r="R884" s="6">
        <f t="shared" si="55"/>
        <v>-100</v>
      </c>
      <c r="S884" s="16">
        <v>46266</v>
      </c>
    </row>
    <row r="885" spans="1:19">
      <c r="A885" s="16">
        <v>46266</v>
      </c>
      <c r="B885" s="24" t="s">
        <v>14</v>
      </c>
      <c r="C885" s="8" t="s">
        <v>9</v>
      </c>
      <c r="D885" s="15"/>
      <c r="E885" s="11">
        <v>100</v>
      </c>
      <c r="F885" s="15" t="s">
        <v>146</v>
      </c>
      <c r="G885" s="8" t="s">
        <v>504</v>
      </c>
      <c r="H885" s="14"/>
      <c r="I885" s="13"/>
      <c r="J885" s="8" t="s">
        <v>144</v>
      </c>
      <c r="K885" s="8"/>
      <c r="L885" s="8"/>
      <c r="M885" s="8" t="str">
        <f>IF(C885="Caixa","-",VLOOKUP(J885,[1]Estrutura!C:E,3,FALSE))</f>
        <v>4.2</v>
      </c>
      <c r="N885" s="8"/>
      <c r="O885" s="7">
        <f t="shared" si="52"/>
        <v>1</v>
      </c>
      <c r="P885" s="7">
        <f t="shared" si="53"/>
        <v>9</v>
      </c>
      <c r="Q885" s="7">
        <f t="shared" si="54"/>
        <v>2026</v>
      </c>
      <c r="R885" s="6">
        <f t="shared" si="55"/>
        <v>-100</v>
      </c>
      <c r="S885" s="16">
        <v>46267</v>
      </c>
    </row>
    <row r="886" spans="1:19">
      <c r="A886" s="12">
        <v>46266</v>
      </c>
      <c r="B886" s="18" t="s">
        <v>14</v>
      </c>
      <c r="C886" s="7" t="s">
        <v>9</v>
      </c>
      <c r="D886" s="11"/>
      <c r="E886" s="11">
        <v>100</v>
      </c>
      <c r="F886" s="15" t="s">
        <v>146</v>
      </c>
      <c r="G886" s="7" t="s">
        <v>213</v>
      </c>
      <c r="H886" s="10"/>
      <c r="I886" s="9"/>
      <c r="J886" s="7" t="s">
        <v>144</v>
      </c>
      <c r="K886" s="7"/>
      <c r="L886" s="7"/>
      <c r="M886" s="7" t="str">
        <f>IF(C886="Caixa","-",VLOOKUP(J886,[1]Estrutura!C:E,3,FALSE))</f>
        <v>4.2</v>
      </c>
      <c r="N886" s="7"/>
      <c r="O886" s="7">
        <f t="shared" si="52"/>
        <v>1</v>
      </c>
      <c r="P886" s="7">
        <f t="shared" si="53"/>
        <v>9</v>
      </c>
      <c r="Q886" s="7">
        <f t="shared" si="54"/>
        <v>2026</v>
      </c>
      <c r="R886" s="6">
        <f t="shared" si="55"/>
        <v>-100</v>
      </c>
      <c r="S886" s="16">
        <v>46267</v>
      </c>
    </row>
    <row r="887" spans="1:19">
      <c r="A887" s="16">
        <v>46266</v>
      </c>
      <c r="B887" s="24" t="s">
        <v>14</v>
      </c>
      <c r="C887" s="8" t="s">
        <v>9</v>
      </c>
      <c r="D887" s="15"/>
      <c r="E887" s="15">
        <v>100</v>
      </c>
      <c r="F887" s="15" t="s">
        <v>146</v>
      </c>
      <c r="G887" s="8" t="s">
        <v>213</v>
      </c>
      <c r="H887" s="14"/>
      <c r="I887" s="13"/>
      <c r="J887" s="8" t="s">
        <v>144</v>
      </c>
      <c r="K887" s="8"/>
      <c r="L887" s="8"/>
      <c r="M887" s="8" t="str">
        <f>IF(C887="Caixa","-",VLOOKUP(J887,[1]Estrutura!C:E,3,FALSE))</f>
        <v>4.2</v>
      </c>
      <c r="N887" s="8"/>
      <c r="O887" s="7">
        <f t="shared" si="52"/>
        <v>1</v>
      </c>
      <c r="P887" s="7">
        <f t="shared" si="53"/>
        <v>9</v>
      </c>
      <c r="Q887" s="7">
        <f t="shared" si="54"/>
        <v>2026</v>
      </c>
      <c r="R887" s="6">
        <f t="shared" si="55"/>
        <v>-100</v>
      </c>
      <c r="S887" s="16">
        <v>46267</v>
      </c>
    </row>
    <row r="888" spans="1:19">
      <c r="A888" s="16">
        <v>46266</v>
      </c>
      <c r="B888" s="8" t="s">
        <v>14</v>
      </c>
      <c r="C888" s="8" t="s">
        <v>9</v>
      </c>
      <c r="D888" s="15"/>
      <c r="E888" s="15">
        <v>35838.239999999998</v>
      </c>
      <c r="F888" s="15" t="s">
        <v>212</v>
      </c>
      <c r="G888" s="8" t="s">
        <v>503</v>
      </c>
      <c r="H888" s="14">
        <v>62346158</v>
      </c>
      <c r="I888" s="13"/>
      <c r="J888" s="21" t="s">
        <v>210</v>
      </c>
      <c r="K888" s="8"/>
      <c r="L888" s="7"/>
      <c r="M888" s="7" t="str">
        <f>IF(C888="Caixa","-",VLOOKUP(J888,[1]Estrutura!C:E,3,FALSE))</f>
        <v>4.12</v>
      </c>
      <c r="N888" s="7"/>
      <c r="O888" s="7">
        <f t="shared" si="52"/>
        <v>1</v>
      </c>
      <c r="P888" s="7">
        <f t="shared" si="53"/>
        <v>9</v>
      </c>
      <c r="Q888" s="7">
        <f t="shared" si="54"/>
        <v>2026</v>
      </c>
      <c r="R888" s="6">
        <f t="shared" si="55"/>
        <v>-35838.239999999998</v>
      </c>
      <c r="S888" s="16">
        <v>46267</v>
      </c>
    </row>
    <row r="889" spans="1:19">
      <c r="A889" s="16">
        <v>46266</v>
      </c>
      <c r="B889" s="8" t="s">
        <v>14</v>
      </c>
      <c r="C889" s="8" t="s">
        <v>9</v>
      </c>
      <c r="D889" s="15"/>
      <c r="E889" s="15">
        <v>210.68</v>
      </c>
      <c r="F889" s="15" t="s">
        <v>125</v>
      </c>
      <c r="G889" s="8" t="s">
        <v>392</v>
      </c>
      <c r="H889" s="14"/>
      <c r="I889" s="13"/>
      <c r="J889" s="8" t="s">
        <v>99</v>
      </c>
      <c r="K889" s="8"/>
      <c r="L889" s="8"/>
      <c r="M889" s="8" t="str">
        <f>IF(C889="Caixa","-",VLOOKUP(J889,[1]Estrutura!C:E,3,FALSE))</f>
        <v>4.3</v>
      </c>
      <c r="N889" s="8"/>
      <c r="O889" s="7">
        <f t="shared" si="52"/>
        <v>1</v>
      </c>
      <c r="P889" s="7">
        <f t="shared" si="53"/>
        <v>9</v>
      </c>
      <c r="Q889" s="7">
        <f t="shared" si="54"/>
        <v>2026</v>
      </c>
      <c r="R889" s="6">
        <f t="shared" si="55"/>
        <v>-210.68</v>
      </c>
      <c r="S889" s="16">
        <v>46268</v>
      </c>
    </row>
    <row r="890" spans="1:19">
      <c r="A890" s="12">
        <v>46266</v>
      </c>
      <c r="B890" s="18" t="s">
        <v>14</v>
      </c>
      <c r="C890" s="7" t="s">
        <v>9</v>
      </c>
      <c r="D890" s="11"/>
      <c r="E890" s="11">
        <v>950</v>
      </c>
      <c r="F890" s="11" t="s">
        <v>226</v>
      </c>
      <c r="G890" s="7" t="s">
        <v>502</v>
      </c>
      <c r="H890" s="10"/>
      <c r="I890" s="9"/>
      <c r="J890" s="7" t="s">
        <v>17</v>
      </c>
      <c r="K890" s="7"/>
      <c r="L890" s="7"/>
      <c r="M890" s="7" t="str">
        <f>IF(C890="Caixa","-",VLOOKUP(J890,[1]Estrutura!C:E,3,FALSE))</f>
        <v>4.4</v>
      </c>
      <c r="N890" s="7"/>
      <c r="O890" s="7">
        <f t="shared" si="52"/>
        <v>1</v>
      </c>
      <c r="P890" s="7">
        <f t="shared" si="53"/>
        <v>9</v>
      </c>
      <c r="Q890" s="7">
        <f t="shared" si="54"/>
        <v>2026</v>
      </c>
      <c r="R890" s="6">
        <f t="shared" si="55"/>
        <v>-950</v>
      </c>
      <c r="S890" s="16">
        <v>46268</v>
      </c>
    </row>
    <row r="891" spans="1:19">
      <c r="A891" s="16">
        <v>46266</v>
      </c>
      <c r="B891" s="24" t="s">
        <v>14</v>
      </c>
      <c r="C891" s="8" t="s">
        <v>9</v>
      </c>
      <c r="D891" s="15"/>
      <c r="E891" s="15">
        <v>419.81</v>
      </c>
      <c r="F891" s="15" t="s">
        <v>24</v>
      </c>
      <c r="G891" s="8" t="s">
        <v>501</v>
      </c>
      <c r="H891" s="14"/>
      <c r="I891" s="13"/>
      <c r="J891" s="8" t="s">
        <v>77</v>
      </c>
      <c r="K891" s="8"/>
      <c r="L891" s="8"/>
      <c r="M891" s="8" t="str">
        <f>IF(C891="Caixa","-",VLOOKUP(J891,[1]Estrutura!C:E,3,FALSE))</f>
        <v>4.3</v>
      </c>
      <c r="N891" s="8"/>
      <c r="O891" s="7">
        <f t="shared" si="52"/>
        <v>1</v>
      </c>
      <c r="P891" s="7">
        <f t="shared" si="53"/>
        <v>9</v>
      </c>
      <c r="Q891" s="7">
        <f t="shared" si="54"/>
        <v>2026</v>
      </c>
      <c r="R891" s="6">
        <f t="shared" si="55"/>
        <v>-419.81</v>
      </c>
      <c r="S891" s="12">
        <v>46268</v>
      </c>
    </row>
    <row r="892" spans="1:19">
      <c r="A892" s="12">
        <v>46266</v>
      </c>
      <c r="B892" s="7" t="s">
        <v>26</v>
      </c>
      <c r="C892" s="7" t="s">
        <v>6</v>
      </c>
      <c r="D892" s="11"/>
      <c r="E892" s="11">
        <v>1440</v>
      </c>
      <c r="F892" s="11" t="s">
        <v>223</v>
      </c>
      <c r="G892" s="7" t="s">
        <v>222</v>
      </c>
      <c r="H892" s="10"/>
      <c r="I892" s="9"/>
      <c r="J892" s="7" t="s">
        <v>201</v>
      </c>
      <c r="K892" s="7" t="s">
        <v>21</v>
      </c>
      <c r="L892" s="7"/>
      <c r="M892" s="7" t="str">
        <f>IF(C892="Caixa","-",VLOOKUP(J892,[1]Estrutura!C:E,3,FALSE))</f>
        <v>4.4</v>
      </c>
      <c r="N892" s="7"/>
      <c r="O892" s="7">
        <f t="shared" si="52"/>
        <v>1</v>
      </c>
      <c r="P892" s="7">
        <f t="shared" si="53"/>
        <v>9</v>
      </c>
      <c r="Q892" s="7">
        <f t="shared" si="54"/>
        <v>2026</v>
      </c>
      <c r="R892" s="6">
        <f t="shared" si="55"/>
        <v>-1440</v>
      </c>
      <c r="S892" s="16">
        <v>46268</v>
      </c>
    </row>
    <row r="893" spans="1:19">
      <c r="A893" s="16">
        <v>46266</v>
      </c>
      <c r="B893" s="8" t="s">
        <v>26</v>
      </c>
      <c r="C893" s="8" t="s">
        <v>6</v>
      </c>
      <c r="D893" s="15"/>
      <c r="E893" s="15">
        <v>1440</v>
      </c>
      <c r="F893" s="15" t="s">
        <v>223</v>
      </c>
      <c r="G893" s="8" t="s">
        <v>222</v>
      </c>
      <c r="H893" s="14"/>
      <c r="I893" s="13"/>
      <c r="J893" s="8" t="s">
        <v>201</v>
      </c>
      <c r="K893" s="8" t="s">
        <v>21</v>
      </c>
      <c r="L893" s="8"/>
      <c r="M893" s="8" t="str">
        <f>IF(C893="Caixa","-",VLOOKUP(J893,[1]Estrutura!C:E,3,FALSE))</f>
        <v>4.4</v>
      </c>
      <c r="N893" s="8"/>
      <c r="O893" s="7">
        <f t="shared" si="52"/>
        <v>1</v>
      </c>
      <c r="P893" s="7">
        <f t="shared" si="53"/>
        <v>9</v>
      </c>
      <c r="Q893" s="7">
        <f t="shared" si="54"/>
        <v>2026</v>
      </c>
      <c r="R893" s="6">
        <f t="shared" si="55"/>
        <v>-1440</v>
      </c>
      <c r="S893" s="12">
        <v>46269</v>
      </c>
    </row>
    <row r="894" spans="1:19">
      <c r="A894" s="12">
        <v>46266</v>
      </c>
      <c r="B894" s="7" t="s">
        <v>26</v>
      </c>
      <c r="C894" s="7" t="s">
        <v>6</v>
      </c>
      <c r="D894" s="11"/>
      <c r="E894" s="11">
        <v>283.32</v>
      </c>
      <c r="F894" s="11" t="s">
        <v>219</v>
      </c>
      <c r="G894" s="7" t="s">
        <v>221</v>
      </c>
      <c r="H894" s="10"/>
      <c r="I894" s="9"/>
      <c r="J894" s="7" t="s">
        <v>144</v>
      </c>
      <c r="K894" s="7" t="s">
        <v>21</v>
      </c>
      <c r="L894" s="7"/>
      <c r="M894" s="7" t="str">
        <f>IF(C894="Caixa","-",VLOOKUP(J894,[1]Estrutura!C:E,3,FALSE))</f>
        <v>4.2</v>
      </c>
      <c r="N894" s="7"/>
      <c r="O894" s="7">
        <f t="shared" si="52"/>
        <v>1</v>
      </c>
      <c r="P894" s="7">
        <f t="shared" si="53"/>
        <v>9</v>
      </c>
      <c r="Q894" s="7">
        <f t="shared" si="54"/>
        <v>2026</v>
      </c>
      <c r="R894" s="6">
        <f t="shared" si="55"/>
        <v>-283.32</v>
      </c>
      <c r="S894" s="16">
        <v>46270</v>
      </c>
    </row>
    <row r="895" spans="1:19">
      <c r="A895" s="16">
        <v>46266</v>
      </c>
      <c r="B895" s="8" t="s">
        <v>26</v>
      </c>
      <c r="C895" s="8" t="s">
        <v>6</v>
      </c>
      <c r="D895" s="15"/>
      <c r="E895" s="15">
        <v>7515.24</v>
      </c>
      <c r="F895" s="15" t="s">
        <v>219</v>
      </c>
      <c r="G895" s="8" t="s">
        <v>500</v>
      </c>
      <c r="H895" s="14"/>
      <c r="I895" s="13"/>
      <c r="J895" s="8" t="s">
        <v>144</v>
      </c>
      <c r="K895" s="8" t="s">
        <v>21</v>
      </c>
      <c r="L895" s="8"/>
      <c r="M895" s="8" t="str">
        <f>IF(C895="Caixa","-",VLOOKUP(J895,[1]Estrutura!C:E,3,FALSE))</f>
        <v>4.2</v>
      </c>
      <c r="N895" s="8"/>
      <c r="O895" s="7">
        <f t="shared" si="52"/>
        <v>1</v>
      </c>
      <c r="P895" s="7">
        <f t="shared" si="53"/>
        <v>9</v>
      </c>
      <c r="Q895" s="7">
        <f t="shared" si="54"/>
        <v>2026</v>
      </c>
      <c r="R895" s="6">
        <f t="shared" si="55"/>
        <v>-7515.24</v>
      </c>
      <c r="S895" s="16">
        <v>46270</v>
      </c>
    </row>
    <row r="896" spans="1:19">
      <c r="A896" s="12">
        <v>46266</v>
      </c>
      <c r="B896" s="7" t="s">
        <v>26</v>
      </c>
      <c r="C896" s="7" t="s">
        <v>6</v>
      </c>
      <c r="D896" s="11"/>
      <c r="E896" s="11">
        <v>681.34</v>
      </c>
      <c r="F896" s="11" t="s">
        <v>219</v>
      </c>
      <c r="G896" s="7" t="s">
        <v>218</v>
      </c>
      <c r="H896" s="10"/>
      <c r="I896" s="9"/>
      <c r="J896" s="7" t="s">
        <v>144</v>
      </c>
      <c r="K896" s="7" t="s">
        <v>21</v>
      </c>
      <c r="L896" s="7"/>
      <c r="M896" s="7" t="str">
        <f>IF(C896="Caixa","-",VLOOKUP(J896,[1]Estrutura!C:E,3,FALSE))</f>
        <v>4.2</v>
      </c>
      <c r="N896" s="7"/>
      <c r="O896" s="7">
        <f t="shared" si="52"/>
        <v>1</v>
      </c>
      <c r="P896" s="7">
        <f t="shared" si="53"/>
        <v>9</v>
      </c>
      <c r="Q896" s="7">
        <f t="shared" si="54"/>
        <v>2026</v>
      </c>
      <c r="R896" s="6">
        <f t="shared" si="55"/>
        <v>-681.34</v>
      </c>
      <c r="S896" s="12">
        <v>46270</v>
      </c>
    </row>
    <row r="897" spans="1:19">
      <c r="A897" s="16">
        <v>46266</v>
      </c>
      <c r="B897" s="8" t="s">
        <v>26</v>
      </c>
      <c r="C897" s="8" t="s">
        <v>6</v>
      </c>
      <c r="D897" s="15"/>
      <c r="E897" s="15">
        <v>1000</v>
      </c>
      <c r="F897" s="15" t="s">
        <v>199</v>
      </c>
      <c r="G897" s="8" t="s">
        <v>57</v>
      </c>
      <c r="H897" s="14"/>
      <c r="I897" s="13"/>
      <c r="J897" s="8" t="s">
        <v>56</v>
      </c>
      <c r="K897" s="7" t="s">
        <v>21</v>
      </c>
      <c r="L897" s="8"/>
      <c r="M897" s="8" t="str">
        <f>IF(C897="Caixa","-",VLOOKUP(J897,[1]Estrutura!C:E,3,FALSE))</f>
        <v>6.1</v>
      </c>
      <c r="N897" s="8"/>
      <c r="O897" s="7">
        <f t="shared" si="52"/>
        <v>1</v>
      </c>
      <c r="P897" s="7">
        <f t="shared" si="53"/>
        <v>9</v>
      </c>
      <c r="Q897" s="7">
        <f t="shared" si="54"/>
        <v>2026</v>
      </c>
      <c r="R897" s="6">
        <f t="shared" si="55"/>
        <v>-1000</v>
      </c>
      <c r="S897" s="16">
        <v>46270</v>
      </c>
    </row>
    <row r="898" spans="1:19">
      <c r="A898" s="12">
        <v>46266</v>
      </c>
      <c r="B898" s="7" t="s">
        <v>26</v>
      </c>
      <c r="C898" s="7" t="s">
        <v>6</v>
      </c>
      <c r="D898" s="11"/>
      <c r="E898" s="11">
        <v>149.85</v>
      </c>
      <c r="F898" s="11" t="s">
        <v>101</v>
      </c>
      <c r="G898" s="7" t="s">
        <v>295</v>
      </c>
      <c r="H898" s="10"/>
      <c r="I898" s="9"/>
      <c r="J898" s="8" t="s">
        <v>99</v>
      </c>
      <c r="K898" s="7" t="s">
        <v>34</v>
      </c>
      <c r="L898" s="7"/>
      <c r="M898" s="7" t="str">
        <f>IF(C898="Caixa","-",VLOOKUP(J898,[1]Estrutura!C:E,3,FALSE))</f>
        <v>4.3</v>
      </c>
      <c r="N898" s="7"/>
      <c r="O898" s="7">
        <f t="shared" si="52"/>
        <v>1</v>
      </c>
      <c r="P898" s="7">
        <f t="shared" si="53"/>
        <v>9</v>
      </c>
      <c r="Q898" s="7">
        <f t="shared" si="54"/>
        <v>2026</v>
      </c>
      <c r="R898" s="6">
        <f t="shared" si="55"/>
        <v>-149.85</v>
      </c>
      <c r="S898" s="12">
        <v>46270</v>
      </c>
    </row>
    <row r="899" spans="1:19">
      <c r="A899" s="16">
        <v>46266</v>
      </c>
      <c r="B899" s="8" t="s">
        <v>7</v>
      </c>
      <c r="C899" s="8" t="s">
        <v>9</v>
      </c>
      <c r="D899" s="15"/>
      <c r="E899" s="15">
        <v>116.57</v>
      </c>
      <c r="F899" s="15" t="s">
        <v>198</v>
      </c>
      <c r="G899" s="8" t="s">
        <v>290</v>
      </c>
      <c r="H899" s="14"/>
      <c r="I899" s="13"/>
      <c r="J899" s="8" t="s">
        <v>196</v>
      </c>
      <c r="K899" s="8"/>
      <c r="L899" s="8"/>
      <c r="M899" s="8" t="str">
        <f>IF(C899="Caixa","-",VLOOKUP(J899,[1]Estrutura!C:E,3,FALSE))</f>
        <v>4.3</v>
      </c>
      <c r="N899" s="8"/>
      <c r="O899" s="7">
        <f t="shared" si="52"/>
        <v>1</v>
      </c>
      <c r="P899" s="7">
        <f t="shared" si="53"/>
        <v>9</v>
      </c>
      <c r="Q899" s="7">
        <f t="shared" si="54"/>
        <v>2026</v>
      </c>
      <c r="R899" s="6">
        <f t="shared" si="55"/>
        <v>-116.57</v>
      </c>
      <c r="S899" s="16">
        <v>46270</v>
      </c>
    </row>
    <row r="900" spans="1:19">
      <c r="A900" s="16">
        <v>46267</v>
      </c>
      <c r="B900" s="8" t="s">
        <v>14</v>
      </c>
      <c r="C900" s="7" t="s">
        <v>9</v>
      </c>
      <c r="D900" s="15">
        <v>3450</v>
      </c>
      <c r="E900" s="15"/>
      <c r="F900" s="15"/>
      <c r="G900" s="8" t="s">
        <v>11</v>
      </c>
      <c r="H900" s="8"/>
      <c r="I900" s="17"/>
      <c r="J900" s="8" t="s">
        <v>10</v>
      </c>
      <c r="K900" s="8"/>
      <c r="L900" s="7"/>
      <c r="M900" s="7" t="str">
        <f>IF(C900="Caixa","-",VLOOKUP(J900,[1]Estrutura!C:E,3,FALSE))</f>
        <v>1.1</v>
      </c>
      <c r="N900" s="7"/>
      <c r="O900" s="7">
        <f t="shared" si="52"/>
        <v>2</v>
      </c>
      <c r="P900" s="7">
        <f t="shared" si="53"/>
        <v>9</v>
      </c>
      <c r="Q900" s="7">
        <f t="shared" si="54"/>
        <v>2026</v>
      </c>
      <c r="R900" s="6">
        <f t="shared" si="55"/>
        <v>3450</v>
      </c>
      <c r="S900" s="16">
        <v>46270</v>
      </c>
    </row>
    <row r="901" spans="1:19">
      <c r="A901" s="16">
        <v>46267</v>
      </c>
      <c r="B901" s="8" t="s">
        <v>14</v>
      </c>
      <c r="C901" s="8" t="s">
        <v>9</v>
      </c>
      <c r="D901" s="15"/>
      <c r="E901" s="15">
        <v>388.2</v>
      </c>
      <c r="F901" s="15" t="s">
        <v>390</v>
      </c>
      <c r="G901" s="8" t="s">
        <v>499</v>
      </c>
      <c r="H901" s="14"/>
      <c r="I901" s="13"/>
      <c r="J901" s="8" t="s">
        <v>388</v>
      </c>
      <c r="K901" s="8"/>
      <c r="L901" s="8"/>
      <c r="M901" s="8" t="str">
        <f>IF(C901="Caixa","-",VLOOKUP(J901,[1]Estrutura!C:E,3,FALSE))</f>
        <v>4.7</v>
      </c>
      <c r="N901" s="8"/>
      <c r="O901" s="7">
        <f t="shared" si="52"/>
        <v>2</v>
      </c>
      <c r="P901" s="7">
        <f t="shared" si="53"/>
        <v>9</v>
      </c>
      <c r="Q901" s="7">
        <f t="shared" si="54"/>
        <v>2026</v>
      </c>
      <c r="R901" s="6">
        <f t="shared" si="55"/>
        <v>-388.2</v>
      </c>
      <c r="S901" s="16">
        <v>46270</v>
      </c>
    </row>
    <row r="902" spans="1:19">
      <c r="A902" s="16">
        <v>46267</v>
      </c>
      <c r="B902" s="8" t="s">
        <v>26</v>
      </c>
      <c r="C902" s="8" t="s">
        <v>25</v>
      </c>
      <c r="D902" s="15"/>
      <c r="E902" s="15">
        <v>86.8</v>
      </c>
      <c r="F902" s="15"/>
      <c r="G902" s="8" t="s">
        <v>200</v>
      </c>
      <c r="H902" s="14"/>
      <c r="I902" s="13"/>
      <c r="J902" s="8" t="s">
        <v>4</v>
      </c>
      <c r="K902" s="8" t="s">
        <v>21</v>
      </c>
      <c r="L902" s="7"/>
      <c r="M902" s="7" t="str">
        <f>IF(C902="Caixa","-",VLOOKUP(J902,[1]Estrutura!C:E,3,FALSE))</f>
        <v>5.2</v>
      </c>
      <c r="N902" s="7"/>
      <c r="O902" s="7">
        <f t="shared" si="52"/>
        <v>2</v>
      </c>
      <c r="P902" s="7">
        <f t="shared" si="53"/>
        <v>9</v>
      </c>
      <c r="Q902" s="7">
        <f t="shared" si="54"/>
        <v>2026</v>
      </c>
      <c r="R902" s="6">
        <f t="shared" si="55"/>
        <v>-86.8</v>
      </c>
      <c r="S902" s="12">
        <v>46270</v>
      </c>
    </row>
    <row r="903" spans="1:19">
      <c r="A903" s="16">
        <v>46267</v>
      </c>
      <c r="B903" s="7" t="s">
        <v>7</v>
      </c>
      <c r="C903" s="7" t="s">
        <v>9</v>
      </c>
      <c r="D903" s="15">
        <v>1194.29</v>
      </c>
      <c r="E903" s="15"/>
      <c r="F903" s="15"/>
      <c r="G903" s="8" t="s">
        <v>11</v>
      </c>
      <c r="H903" s="8"/>
      <c r="I903" s="17"/>
      <c r="J903" s="8" t="s">
        <v>10</v>
      </c>
      <c r="K903" s="8"/>
      <c r="L903" s="8"/>
      <c r="M903" s="8" t="str">
        <f>IF(C903="Caixa","-",VLOOKUP(J903,[1]Estrutura!C:E,3,FALSE))</f>
        <v>1.1</v>
      </c>
      <c r="N903" s="8"/>
      <c r="O903" s="7">
        <f t="shared" si="52"/>
        <v>2</v>
      </c>
      <c r="P903" s="7">
        <f t="shared" si="53"/>
        <v>9</v>
      </c>
      <c r="Q903" s="7">
        <f t="shared" si="54"/>
        <v>2026</v>
      </c>
      <c r="R903" s="6">
        <f t="shared" si="55"/>
        <v>1194.29</v>
      </c>
      <c r="S903" s="16">
        <v>46271</v>
      </c>
    </row>
    <row r="904" spans="1:19">
      <c r="A904" s="16">
        <v>46268</v>
      </c>
      <c r="B904" s="8" t="s">
        <v>14</v>
      </c>
      <c r="C904" s="7" t="s">
        <v>9</v>
      </c>
      <c r="D904" s="15">
        <v>1593.26</v>
      </c>
      <c r="E904" s="15"/>
      <c r="F904" s="15"/>
      <c r="G904" s="8" t="s">
        <v>11</v>
      </c>
      <c r="H904" s="8"/>
      <c r="I904" s="17"/>
      <c r="J904" s="8" t="s">
        <v>10</v>
      </c>
      <c r="K904" s="8"/>
      <c r="L904" s="7"/>
      <c r="M904" s="7" t="str">
        <f>IF(C904="Caixa","-",VLOOKUP(J904,[1]Estrutura!C:E,3,FALSE))</f>
        <v>1.1</v>
      </c>
      <c r="N904" s="7"/>
      <c r="O904" s="7">
        <f t="shared" si="52"/>
        <v>3</v>
      </c>
      <c r="P904" s="7">
        <f t="shared" si="53"/>
        <v>9</v>
      </c>
      <c r="Q904" s="7">
        <f t="shared" si="54"/>
        <v>2026</v>
      </c>
      <c r="R904" s="6">
        <f t="shared" si="55"/>
        <v>1593.26</v>
      </c>
      <c r="S904" s="16">
        <v>46271</v>
      </c>
    </row>
    <row r="905" spans="1:19">
      <c r="A905" s="16">
        <v>46268</v>
      </c>
      <c r="B905" s="8" t="s">
        <v>26</v>
      </c>
      <c r="C905" s="8" t="s">
        <v>25</v>
      </c>
      <c r="D905" s="34">
        <v>1518</v>
      </c>
      <c r="E905" s="15"/>
      <c r="F905" s="15" t="s">
        <v>95</v>
      </c>
      <c r="G905" s="8" t="s">
        <v>205</v>
      </c>
      <c r="H905" s="14"/>
      <c r="I905" s="13"/>
      <c r="J905" s="8" t="s">
        <v>107</v>
      </c>
      <c r="K905" s="8" t="s">
        <v>21</v>
      </c>
      <c r="L905" s="8"/>
      <c r="M905" s="8" t="str">
        <f>IF(C905="Caixa","-",VLOOKUP(J905,[1]Estrutura!C:E,3,FALSE))</f>
        <v>1.4</v>
      </c>
      <c r="N905" s="8"/>
      <c r="O905" s="7">
        <f t="shared" si="52"/>
        <v>3</v>
      </c>
      <c r="P905" s="7">
        <f t="shared" si="53"/>
        <v>9</v>
      </c>
      <c r="Q905" s="7">
        <f t="shared" si="54"/>
        <v>2026</v>
      </c>
      <c r="R905" s="6">
        <f t="shared" si="55"/>
        <v>1518</v>
      </c>
      <c r="S905" s="16">
        <v>46272</v>
      </c>
    </row>
    <row r="906" spans="1:19">
      <c r="A906" s="12">
        <v>46268</v>
      </c>
      <c r="B906" s="7" t="s">
        <v>26</v>
      </c>
      <c r="C906" s="7" t="s">
        <v>25</v>
      </c>
      <c r="D906" s="33">
        <v>6920.56</v>
      </c>
      <c r="E906" s="11"/>
      <c r="F906" s="11" t="s">
        <v>95</v>
      </c>
      <c r="G906" s="49" t="s">
        <v>204</v>
      </c>
      <c r="H906" s="10"/>
      <c r="I906" s="9"/>
      <c r="J906" s="7" t="s">
        <v>107</v>
      </c>
      <c r="K906" s="7" t="s">
        <v>21</v>
      </c>
      <c r="L906" s="7"/>
      <c r="M906" s="7" t="str">
        <f>IF(C906="Caixa","-",VLOOKUP(J906,[1]Estrutura!C:E,3,FALSE))</f>
        <v>1.4</v>
      </c>
      <c r="N906" s="7"/>
      <c r="O906" s="7">
        <f t="shared" si="52"/>
        <v>3</v>
      </c>
      <c r="P906" s="7">
        <f t="shared" si="53"/>
        <v>9</v>
      </c>
      <c r="Q906" s="7">
        <f t="shared" si="54"/>
        <v>2026</v>
      </c>
      <c r="R906" s="6">
        <f t="shared" si="55"/>
        <v>6920.56</v>
      </c>
      <c r="S906" s="16">
        <v>46272</v>
      </c>
    </row>
    <row r="907" spans="1:19">
      <c r="A907" s="16">
        <v>46268</v>
      </c>
      <c r="B907" s="7" t="s">
        <v>7</v>
      </c>
      <c r="C907" s="7" t="s">
        <v>9</v>
      </c>
      <c r="D907" s="15">
        <v>1142.57</v>
      </c>
      <c r="E907" s="15"/>
      <c r="F907" s="15"/>
      <c r="G907" s="8" t="s">
        <v>11</v>
      </c>
      <c r="H907" s="8"/>
      <c r="I907" s="17"/>
      <c r="J907" s="8" t="s">
        <v>10</v>
      </c>
      <c r="K907" s="8"/>
      <c r="L907" s="8"/>
      <c r="M907" s="8" t="str">
        <f>IF(C907="Caixa","-",VLOOKUP(J907,[1]Estrutura!C:E,3,FALSE))</f>
        <v>1.1</v>
      </c>
      <c r="N907" s="8"/>
      <c r="O907" s="7">
        <f t="shared" si="52"/>
        <v>3</v>
      </c>
      <c r="P907" s="7">
        <f t="shared" si="53"/>
        <v>9</v>
      </c>
      <c r="Q907" s="7">
        <f t="shared" si="54"/>
        <v>2026</v>
      </c>
      <c r="R907" s="6">
        <f t="shared" si="55"/>
        <v>1142.57</v>
      </c>
      <c r="S907" s="16">
        <v>46273</v>
      </c>
    </row>
    <row r="908" spans="1:19">
      <c r="A908" s="12">
        <v>46269</v>
      </c>
      <c r="B908" s="7" t="s">
        <v>26</v>
      </c>
      <c r="C908" s="7" t="s">
        <v>25</v>
      </c>
      <c r="D908" s="11"/>
      <c r="E908" s="11">
        <v>5000</v>
      </c>
      <c r="F908" s="11" t="s">
        <v>109</v>
      </c>
      <c r="G908" s="7" t="s">
        <v>278</v>
      </c>
      <c r="H908" s="10">
        <v>9932</v>
      </c>
      <c r="I908" s="9"/>
      <c r="J908" s="7" t="s">
        <v>17</v>
      </c>
      <c r="K908" s="7" t="s">
        <v>21</v>
      </c>
      <c r="L908" s="7"/>
      <c r="M908" s="7" t="str">
        <f>IF(C908="Caixa","-",VLOOKUP(J908,[1]Estrutura!C:E,3,FALSE))</f>
        <v>4.4</v>
      </c>
      <c r="N908" s="7"/>
      <c r="O908" s="7">
        <f t="shared" si="52"/>
        <v>4</v>
      </c>
      <c r="P908" s="7">
        <f t="shared" si="53"/>
        <v>9</v>
      </c>
      <c r="Q908" s="7">
        <f t="shared" si="54"/>
        <v>2026</v>
      </c>
      <c r="R908" s="6">
        <f t="shared" si="55"/>
        <v>-5000</v>
      </c>
      <c r="S908" s="12">
        <v>46273</v>
      </c>
    </row>
    <row r="909" spans="1:19">
      <c r="A909" s="16">
        <v>46270</v>
      </c>
      <c r="B909" s="8" t="s">
        <v>14</v>
      </c>
      <c r="C909" s="7" t="s">
        <v>9</v>
      </c>
      <c r="D909" s="15">
        <v>4953</v>
      </c>
      <c r="E909" s="15"/>
      <c r="F909" s="15"/>
      <c r="G909" s="8" t="s">
        <v>11</v>
      </c>
      <c r="H909" s="8"/>
      <c r="I909" s="17"/>
      <c r="J909" s="8" t="s">
        <v>10</v>
      </c>
      <c r="K909" s="8"/>
      <c r="L909" s="8"/>
      <c r="M909" s="8" t="str">
        <f>IF(C909="Caixa","-",VLOOKUP(J909,[1]Estrutura!C:E,3,FALSE))</f>
        <v>1.1</v>
      </c>
      <c r="N909" s="8"/>
      <c r="O909" s="7">
        <f t="shared" si="52"/>
        <v>5</v>
      </c>
      <c r="P909" s="7">
        <f t="shared" si="53"/>
        <v>9</v>
      </c>
      <c r="Q909" s="7">
        <f t="shared" si="54"/>
        <v>2026</v>
      </c>
      <c r="R909" s="6">
        <f t="shared" si="55"/>
        <v>4953</v>
      </c>
      <c r="S909" s="16">
        <v>46273</v>
      </c>
    </row>
    <row r="910" spans="1:19">
      <c r="A910" s="16">
        <v>46270</v>
      </c>
      <c r="B910" s="8" t="s">
        <v>14</v>
      </c>
      <c r="C910" s="8" t="s">
        <v>9</v>
      </c>
      <c r="D910" s="15"/>
      <c r="E910" s="15">
        <v>210.5</v>
      </c>
      <c r="F910" s="15" t="s">
        <v>194</v>
      </c>
      <c r="G910" s="8" t="s">
        <v>498</v>
      </c>
      <c r="H910" s="14"/>
      <c r="I910" s="13"/>
      <c r="J910" s="21" t="s">
        <v>67</v>
      </c>
      <c r="K910" s="8"/>
      <c r="L910" s="7"/>
      <c r="M910" s="7" t="str">
        <f>IF(C910="Caixa","-",VLOOKUP(J910,[1]Estrutura!C:E,3,FALSE))</f>
        <v>4.5</v>
      </c>
      <c r="N910" s="7"/>
      <c r="O910" s="7">
        <f t="shared" ref="O910:O973" si="56">DAY(A910)</f>
        <v>5</v>
      </c>
      <c r="P910" s="7">
        <f t="shared" ref="P910:P973" si="57">MONTH(A910)</f>
        <v>9</v>
      </c>
      <c r="Q910" s="7">
        <f t="shared" ref="Q910:Q973" si="58">YEAR(A910)</f>
        <v>2026</v>
      </c>
      <c r="R910" s="6">
        <f t="shared" ref="R910:R973" si="59">D910-E910</f>
        <v>-210.5</v>
      </c>
      <c r="S910" s="16">
        <v>46273</v>
      </c>
    </row>
    <row r="911" spans="1:19">
      <c r="A911" s="12">
        <v>46270</v>
      </c>
      <c r="B911" s="7" t="s">
        <v>26</v>
      </c>
      <c r="C911" s="7" t="s">
        <v>6</v>
      </c>
      <c r="D911" s="11"/>
      <c r="E911" s="11">
        <v>800</v>
      </c>
      <c r="F911" s="11" t="s">
        <v>132</v>
      </c>
      <c r="G911" s="7" t="s">
        <v>496</v>
      </c>
      <c r="H911" s="10"/>
      <c r="I911" s="9"/>
      <c r="J911" s="7" t="s">
        <v>56</v>
      </c>
      <c r="K911" s="7" t="s">
        <v>136</v>
      </c>
      <c r="L911" s="8"/>
      <c r="M911" s="8" t="str">
        <f>IF(C911="Caixa","-",VLOOKUP(J911,[1]Estrutura!C:E,3,FALSE))</f>
        <v>6.1</v>
      </c>
      <c r="N911" s="8"/>
      <c r="O911" s="7">
        <f t="shared" si="56"/>
        <v>5</v>
      </c>
      <c r="P911" s="7">
        <f t="shared" si="57"/>
        <v>9</v>
      </c>
      <c r="Q911" s="7">
        <f t="shared" si="58"/>
        <v>2026</v>
      </c>
      <c r="R911" s="6">
        <f t="shared" si="59"/>
        <v>-800</v>
      </c>
      <c r="S911" s="12">
        <v>46273</v>
      </c>
    </row>
    <row r="912" spans="1:19">
      <c r="A912" s="16">
        <v>46270</v>
      </c>
      <c r="B912" s="8" t="s">
        <v>26</v>
      </c>
      <c r="C912" s="8" t="s">
        <v>6</v>
      </c>
      <c r="D912" s="15"/>
      <c r="E912" s="15">
        <v>800</v>
      </c>
      <c r="F912" s="15" t="s">
        <v>497</v>
      </c>
      <c r="G912" s="8" t="s">
        <v>496</v>
      </c>
      <c r="H912" s="14"/>
      <c r="I912" s="13"/>
      <c r="J912" s="8" t="s">
        <v>56</v>
      </c>
      <c r="K912" s="7" t="s">
        <v>136</v>
      </c>
      <c r="L912" s="7"/>
      <c r="M912" s="7" t="str">
        <f>IF(C912="Caixa","-",VLOOKUP(J912,[1]Estrutura!C:E,3,FALSE))</f>
        <v>6.1</v>
      </c>
      <c r="N912" s="7"/>
      <c r="O912" s="7">
        <f t="shared" si="56"/>
        <v>5</v>
      </c>
      <c r="P912" s="7">
        <f t="shared" si="57"/>
        <v>9</v>
      </c>
      <c r="Q912" s="7">
        <f t="shared" si="58"/>
        <v>2026</v>
      </c>
      <c r="R912" s="6">
        <f t="shared" si="59"/>
        <v>-800</v>
      </c>
      <c r="S912" s="16">
        <v>46273</v>
      </c>
    </row>
    <row r="913" spans="1:19">
      <c r="A913" s="12">
        <v>46270</v>
      </c>
      <c r="B913" s="7" t="s">
        <v>26</v>
      </c>
      <c r="C913" s="7" t="s">
        <v>6</v>
      </c>
      <c r="D913" s="11"/>
      <c r="E913" s="11">
        <v>330</v>
      </c>
      <c r="F913" s="11" t="s">
        <v>494</v>
      </c>
      <c r="G913" s="7" t="s">
        <v>495</v>
      </c>
      <c r="H913" s="10"/>
      <c r="I913" s="9"/>
      <c r="J913" s="7" t="s">
        <v>17</v>
      </c>
      <c r="K913" s="7" t="s">
        <v>40</v>
      </c>
      <c r="L913" s="8"/>
      <c r="M913" s="8" t="str">
        <f>IF(C913="Caixa","-",VLOOKUP(J913,[1]Estrutura!C:E,3,FALSE))</f>
        <v>4.4</v>
      </c>
      <c r="N913" s="8"/>
      <c r="O913" s="7">
        <f t="shared" si="56"/>
        <v>5</v>
      </c>
      <c r="P913" s="7">
        <f t="shared" si="57"/>
        <v>9</v>
      </c>
      <c r="Q913" s="7">
        <f t="shared" si="58"/>
        <v>2026</v>
      </c>
      <c r="R913" s="6">
        <f t="shared" si="59"/>
        <v>-330</v>
      </c>
      <c r="S913" s="16">
        <v>46273</v>
      </c>
    </row>
    <row r="914" spans="1:19">
      <c r="A914" s="16">
        <v>46270</v>
      </c>
      <c r="B914" s="8" t="s">
        <v>26</v>
      </c>
      <c r="C914" s="8" t="s">
        <v>6</v>
      </c>
      <c r="D914" s="15"/>
      <c r="E914" s="15">
        <v>980</v>
      </c>
      <c r="F914" s="15" t="s">
        <v>494</v>
      </c>
      <c r="G914" s="8" t="s">
        <v>493</v>
      </c>
      <c r="H914" s="14"/>
      <c r="I914" s="13"/>
      <c r="J914" s="8" t="s">
        <v>17</v>
      </c>
      <c r="K914" s="8" t="s">
        <v>40</v>
      </c>
      <c r="L914" s="7"/>
      <c r="M914" s="7" t="str">
        <f>IF(C914="Caixa","-",VLOOKUP(J914,[1]Estrutura!C:E,3,FALSE))</f>
        <v>4.4</v>
      </c>
      <c r="N914" s="7"/>
      <c r="O914" s="7">
        <f t="shared" si="56"/>
        <v>5</v>
      </c>
      <c r="P914" s="7">
        <f t="shared" si="57"/>
        <v>9</v>
      </c>
      <c r="Q914" s="7">
        <f t="shared" si="58"/>
        <v>2026</v>
      </c>
      <c r="R914" s="6">
        <f t="shared" si="59"/>
        <v>-980</v>
      </c>
      <c r="S914" s="12">
        <v>46273</v>
      </c>
    </row>
    <row r="915" spans="1:19">
      <c r="A915" s="16">
        <v>46270</v>
      </c>
      <c r="B915" s="7" t="s">
        <v>7</v>
      </c>
      <c r="C915" s="7" t="s">
        <v>9</v>
      </c>
      <c r="D915" s="15">
        <v>1386.9</v>
      </c>
      <c r="E915" s="15"/>
      <c r="F915" s="15"/>
      <c r="G915" s="8" t="s">
        <v>11</v>
      </c>
      <c r="H915" s="8"/>
      <c r="I915" s="17"/>
      <c r="J915" s="8" t="s">
        <v>10</v>
      </c>
      <c r="K915" s="8"/>
      <c r="L915" s="8"/>
      <c r="M915" s="8" t="str">
        <f>IF(C915="Caixa","-",VLOOKUP(J915,[1]Estrutura!C:E,3,FALSE))</f>
        <v>1.1</v>
      </c>
      <c r="N915" s="8"/>
      <c r="O915" s="7">
        <f t="shared" si="56"/>
        <v>5</v>
      </c>
      <c r="P915" s="7">
        <f t="shared" si="57"/>
        <v>9</v>
      </c>
      <c r="Q915" s="7">
        <f t="shared" si="58"/>
        <v>2026</v>
      </c>
      <c r="R915" s="6">
        <f t="shared" si="59"/>
        <v>1386.9</v>
      </c>
      <c r="S915" s="16">
        <v>46273</v>
      </c>
    </row>
    <row r="916" spans="1:19">
      <c r="A916" s="16">
        <v>46270</v>
      </c>
      <c r="B916" s="8" t="s">
        <v>7</v>
      </c>
      <c r="C916" s="8" t="s">
        <v>9</v>
      </c>
      <c r="D916" s="15"/>
      <c r="E916" s="15">
        <v>3500</v>
      </c>
      <c r="F916" s="15" t="s">
        <v>132</v>
      </c>
      <c r="G916" s="8" t="s">
        <v>492</v>
      </c>
      <c r="H916" s="14">
        <v>41</v>
      </c>
      <c r="I916" s="13"/>
      <c r="J916" s="8" t="s">
        <v>29</v>
      </c>
      <c r="K916" s="8"/>
      <c r="L916" s="7"/>
      <c r="M916" s="7" t="str">
        <f>IF(C916="Caixa","-",VLOOKUP(J916,[1]Estrutura!C:E,3,FALSE))</f>
        <v>4.8</v>
      </c>
      <c r="N916" s="7"/>
      <c r="O916" s="7">
        <f t="shared" si="56"/>
        <v>5</v>
      </c>
      <c r="P916" s="7">
        <f t="shared" si="57"/>
        <v>9</v>
      </c>
      <c r="Q916" s="7">
        <f t="shared" si="58"/>
        <v>2026</v>
      </c>
      <c r="R916" s="6">
        <f t="shared" si="59"/>
        <v>-3500</v>
      </c>
      <c r="S916" s="12">
        <v>46273</v>
      </c>
    </row>
    <row r="917" spans="1:19">
      <c r="A917" s="12">
        <v>46270</v>
      </c>
      <c r="B917" s="7" t="s">
        <v>7</v>
      </c>
      <c r="C917" s="7" t="s">
        <v>9</v>
      </c>
      <c r="D917" s="11"/>
      <c r="E917" s="11">
        <v>946.67</v>
      </c>
      <c r="F917" s="11" t="s">
        <v>280</v>
      </c>
      <c r="G917" s="7" t="s">
        <v>279</v>
      </c>
      <c r="H917" s="10"/>
      <c r="I917" s="9"/>
      <c r="J917" s="7" t="s">
        <v>27</v>
      </c>
      <c r="K917" s="7"/>
      <c r="L917" s="8"/>
      <c r="M917" s="8" t="str">
        <f>IF(C917="Caixa","-",VLOOKUP(J917,[1]Estrutura!C:E,3,FALSE))</f>
        <v>7.3</v>
      </c>
      <c r="N917" s="8"/>
      <c r="O917" s="7">
        <f t="shared" si="56"/>
        <v>5</v>
      </c>
      <c r="P917" s="7">
        <f t="shared" si="57"/>
        <v>9</v>
      </c>
      <c r="Q917" s="7">
        <f t="shared" si="58"/>
        <v>2026</v>
      </c>
      <c r="R917" s="6">
        <f t="shared" si="59"/>
        <v>-946.67</v>
      </c>
      <c r="S917" s="12">
        <v>46274</v>
      </c>
    </row>
    <row r="918" spans="1:19">
      <c r="A918" s="16">
        <v>46271</v>
      </c>
      <c r="B918" s="8" t="s">
        <v>14</v>
      </c>
      <c r="C918" s="8" t="s">
        <v>9</v>
      </c>
      <c r="D918" s="15">
        <v>9751.4500000000007</v>
      </c>
      <c r="E918" s="15"/>
      <c r="F918" s="15" t="s">
        <v>181</v>
      </c>
      <c r="G918" s="8" t="s">
        <v>180</v>
      </c>
      <c r="H918" s="14"/>
      <c r="I918" s="13"/>
      <c r="J918" s="8" t="s">
        <v>179</v>
      </c>
      <c r="K918" s="8"/>
      <c r="L918" s="7"/>
      <c r="M918" s="7" t="str">
        <f>IF(C918="Caixa","-",VLOOKUP(J918,[1]Estrutura!C:E,3,FALSE))</f>
        <v>1.2</v>
      </c>
      <c r="N918" s="7"/>
      <c r="O918" s="7">
        <f t="shared" si="56"/>
        <v>6</v>
      </c>
      <c r="P918" s="7">
        <f t="shared" si="57"/>
        <v>9</v>
      </c>
      <c r="Q918" s="7">
        <f t="shared" si="58"/>
        <v>2026</v>
      </c>
      <c r="R918" s="6">
        <f t="shared" si="59"/>
        <v>9751.4500000000007</v>
      </c>
      <c r="S918" s="16">
        <v>46274</v>
      </c>
    </row>
    <row r="919" spans="1:19">
      <c r="A919" s="16">
        <v>46271</v>
      </c>
      <c r="B919" s="7" t="s">
        <v>7</v>
      </c>
      <c r="C919" s="7" t="s">
        <v>9</v>
      </c>
      <c r="D919" s="15">
        <v>7715.4800000000005</v>
      </c>
      <c r="E919" s="15"/>
      <c r="F919" s="15"/>
      <c r="G919" s="8" t="s">
        <v>11</v>
      </c>
      <c r="H919" s="8"/>
      <c r="I919" s="17"/>
      <c r="J919" s="8" t="s">
        <v>10</v>
      </c>
      <c r="K919" s="8"/>
      <c r="L919" s="8"/>
      <c r="M919" s="8" t="str">
        <f>IF(C919="Caixa","-",VLOOKUP(J919,[1]Estrutura!C:E,3,FALSE))</f>
        <v>1.1</v>
      </c>
      <c r="N919" s="8"/>
      <c r="O919" s="7">
        <f t="shared" si="56"/>
        <v>6</v>
      </c>
      <c r="P919" s="7">
        <f t="shared" si="57"/>
        <v>9</v>
      </c>
      <c r="Q919" s="7">
        <f t="shared" si="58"/>
        <v>2026</v>
      </c>
      <c r="R919" s="6">
        <f t="shared" si="59"/>
        <v>7715.4800000000005</v>
      </c>
      <c r="S919" s="16">
        <v>46275</v>
      </c>
    </row>
    <row r="920" spans="1:19">
      <c r="A920" s="16">
        <v>46272</v>
      </c>
      <c r="B920" s="8" t="s">
        <v>26</v>
      </c>
      <c r="C920" s="8" t="s">
        <v>6</v>
      </c>
      <c r="D920" s="15"/>
      <c r="E920" s="15">
        <v>8500</v>
      </c>
      <c r="F920" s="11" t="s">
        <v>263</v>
      </c>
      <c r="G920" s="7" t="s">
        <v>262</v>
      </c>
      <c r="H920" s="10"/>
      <c r="I920" s="9"/>
      <c r="J920" s="7" t="s">
        <v>116</v>
      </c>
      <c r="K920" s="8" t="s">
        <v>21</v>
      </c>
      <c r="L920" s="7"/>
      <c r="M920" s="7" t="str">
        <f>IF(C920="Caixa","-",VLOOKUP(J920,[1]Estrutura!C:E,3,FALSE))</f>
        <v>4.12</v>
      </c>
      <c r="N920" s="7"/>
      <c r="O920" s="7">
        <f t="shared" si="56"/>
        <v>7</v>
      </c>
      <c r="P920" s="7">
        <f t="shared" si="57"/>
        <v>9</v>
      </c>
      <c r="Q920" s="7">
        <f t="shared" si="58"/>
        <v>2026</v>
      </c>
      <c r="R920" s="6">
        <f t="shared" si="59"/>
        <v>-8500</v>
      </c>
      <c r="S920" s="16">
        <v>46275</v>
      </c>
    </row>
    <row r="921" spans="1:19">
      <c r="A921" s="16">
        <v>46272</v>
      </c>
      <c r="B921" s="7" t="s">
        <v>7</v>
      </c>
      <c r="C921" s="7" t="s">
        <v>9</v>
      </c>
      <c r="D921" s="15">
        <v>1248.33</v>
      </c>
      <c r="E921" s="15"/>
      <c r="F921" s="15"/>
      <c r="G921" s="8" t="s">
        <v>11</v>
      </c>
      <c r="H921" s="8"/>
      <c r="I921" s="17"/>
      <c r="J921" s="8" t="s">
        <v>10</v>
      </c>
      <c r="K921" s="8"/>
      <c r="L921" s="8"/>
      <c r="M921" s="8" t="str">
        <f>IF(C921="Caixa","-",VLOOKUP(J921,[1]Estrutura!C:E,3,FALSE))</f>
        <v>1.1</v>
      </c>
      <c r="N921" s="8"/>
      <c r="O921" s="7">
        <f t="shared" si="56"/>
        <v>7</v>
      </c>
      <c r="P921" s="7">
        <f t="shared" si="57"/>
        <v>9</v>
      </c>
      <c r="Q921" s="7">
        <f t="shared" si="58"/>
        <v>2026</v>
      </c>
      <c r="R921" s="6">
        <f t="shared" si="59"/>
        <v>1248.33</v>
      </c>
      <c r="S921" s="12">
        <v>46275</v>
      </c>
    </row>
    <row r="922" spans="1:19">
      <c r="A922" s="16">
        <v>46273</v>
      </c>
      <c r="B922" s="8" t="s">
        <v>14</v>
      </c>
      <c r="C922" s="7" t="s">
        <v>9</v>
      </c>
      <c r="D922" s="15">
        <v>1273.52</v>
      </c>
      <c r="E922" s="15"/>
      <c r="F922" s="15"/>
      <c r="G922" s="8" t="s">
        <v>11</v>
      </c>
      <c r="H922" s="8"/>
      <c r="I922" s="17"/>
      <c r="J922" s="8" t="s">
        <v>10</v>
      </c>
      <c r="K922" s="8"/>
      <c r="L922" s="7"/>
      <c r="M922" s="7" t="str">
        <f>IF(C922="Caixa","-",VLOOKUP(J922,[1]Estrutura!C:E,3,FALSE))</f>
        <v>1.1</v>
      </c>
      <c r="N922" s="7"/>
      <c r="O922" s="7">
        <f t="shared" si="56"/>
        <v>8</v>
      </c>
      <c r="P922" s="7">
        <f t="shared" si="57"/>
        <v>9</v>
      </c>
      <c r="Q922" s="7">
        <f t="shared" si="58"/>
        <v>2026</v>
      </c>
      <c r="R922" s="6">
        <f t="shared" si="59"/>
        <v>1273.52</v>
      </c>
      <c r="S922" s="16">
        <v>46275</v>
      </c>
    </row>
    <row r="923" spans="1:19">
      <c r="A923" s="12">
        <v>46273</v>
      </c>
      <c r="B923" s="7" t="s">
        <v>14</v>
      </c>
      <c r="C923" s="7" t="s">
        <v>6</v>
      </c>
      <c r="D923" s="11">
        <v>200000</v>
      </c>
      <c r="E923" s="11"/>
      <c r="F923" s="11" t="s">
        <v>148</v>
      </c>
      <c r="G923" s="8" t="s">
        <v>129</v>
      </c>
      <c r="H923" s="10"/>
      <c r="I923" s="9"/>
      <c r="J923" s="7" t="s">
        <v>128</v>
      </c>
      <c r="K923" s="7"/>
      <c r="L923" s="8"/>
      <c r="M923" s="8" t="str">
        <f>IF(C923="Caixa","-",VLOOKUP(J923,[1]Estrutura!C:E,3,FALSE))</f>
        <v>9.1</v>
      </c>
      <c r="N923" s="8"/>
      <c r="O923" s="7">
        <f t="shared" si="56"/>
        <v>8</v>
      </c>
      <c r="P923" s="7">
        <f t="shared" si="57"/>
        <v>9</v>
      </c>
      <c r="Q923" s="7">
        <f t="shared" si="58"/>
        <v>2026</v>
      </c>
      <c r="R923" s="6">
        <f t="shared" si="59"/>
        <v>200000</v>
      </c>
      <c r="S923" s="16">
        <v>46275</v>
      </c>
    </row>
    <row r="924" spans="1:19">
      <c r="A924" s="16">
        <v>46273</v>
      </c>
      <c r="B924" s="8" t="s">
        <v>14</v>
      </c>
      <c r="C924" s="8" t="s">
        <v>6</v>
      </c>
      <c r="D924" s="15"/>
      <c r="E924" s="15">
        <v>1060.9000000000001</v>
      </c>
      <c r="F924" s="15" t="s">
        <v>171</v>
      </c>
      <c r="G924" s="8" t="s">
        <v>491</v>
      </c>
      <c r="H924" s="14"/>
      <c r="I924" s="13"/>
      <c r="J924" s="8" t="s">
        <v>150</v>
      </c>
      <c r="K924" s="8"/>
      <c r="L924" s="7"/>
      <c r="M924" s="7" t="str">
        <f>IF(C924="Caixa","-",VLOOKUP(J924,[1]Estrutura!C:E,3,FALSE))</f>
        <v>4.4</v>
      </c>
      <c r="N924" s="7"/>
      <c r="O924" s="7">
        <f t="shared" si="56"/>
        <v>8</v>
      </c>
      <c r="P924" s="7">
        <f t="shared" si="57"/>
        <v>9</v>
      </c>
      <c r="Q924" s="7">
        <f t="shared" si="58"/>
        <v>2026</v>
      </c>
      <c r="R924" s="6">
        <f t="shared" si="59"/>
        <v>-1060.9000000000001</v>
      </c>
      <c r="S924" s="16">
        <v>46276</v>
      </c>
    </row>
    <row r="925" spans="1:19">
      <c r="A925" s="16">
        <v>46273</v>
      </c>
      <c r="B925" s="8" t="s">
        <v>14</v>
      </c>
      <c r="C925" s="8" t="s">
        <v>25</v>
      </c>
      <c r="D925" s="15"/>
      <c r="E925" s="15">
        <v>54.97</v>
      </c>
      <c r="F925" s="15" t="s">
        <v>125</v>
      </c>
      <c r="G925" s="8" t="s">
        <v>490</v>
      </c>
      <c r="H925" s="14"/>
      <c r="I925" s="13"/>
      <c r="J925" s="8" t="s">
        <v>99</v>
      </c>
      <c r="K925" s="8"/>
      <c r="L925" s="8"/>
      <c r="M925" s="8" t="str">
        <f>IF(C925="Caixa","-",VLOOKUP(J925,[1]Estrutura!C:E,3,FALSE))</f>
        <v>4.3</v>
      </c>
      <c r="N925" s="8"/>
      <c r="O925" s="7">
        <f t="shared" si="56"/>
        <v>8</v>
      </c>
      <c r="P925" s="7">
        <f t="shared" si="57"/>
        <v>9</v>
      </c>
      <c r="Q925" s="7">
        <f t="shared" si="58"/>
        <v>2026</v>
      </c>
      <c r="R925" s="6">
        <f t="shared" si="59"/>
        <v>-54.97</v>
      </c>
      <c r="S925" s="16">
        <v>46276</v>
      </c>
    </row>
    <row r="926" spans="1:19">
      <c r="A926" s="12">
        <v>46273</v>
      </c>
      <c r="B926" s="7" t="s">
        <v>14</v>
      </c>
      <c r="C926" s="7" t="s">
        <v>25</v>
      </c>
      <c r="D926" s="11"/>
      <c r="E926" s="11">
        <v>59.47</v>
      </c>
      <c r="F926" s="11" t="s">
        <v>125</v>
      </c>
      <c r="G926" s="7" t="s">
        <v>489</v>
      </c>
      <c r="H926" s="10"/>
      <c r="I926" s="9"/>
      <c r="J926" s="8" t="s">
        <v>99</v>
      </c>
      <c r="K926" s="7"/>
      <c r="L926" s="7"/>
      <c r="M926" s="7" t="str">
        <f>IF(C926="Caixa","-",VLOOKUP(J926,[1]Estrutura!C:E,3,FALSE))</f>
        <v>4.3</v>
      </c>
      <c r="N926" s="7"/>
      <c r="O926" s="7">
        <f t="shared" si="56"/>
        <v>8</v>
      </c>
      <c r="P926" s="7">
        <f t="shared" si="57"/>
        <v>9</v>
      </c>
      <c r="Q926" s="7">
        <f t="shared" si="58"/>
        <v>2026</v>
      </c>
      <c r="R926" s="6">
        <f t="shared" si="59"/>
        <v>-59.47</v>
      </c>
      <c r="S926" s="16">
        <v>46277</v>
      </c>
    </row>
    <row r="927" spans="1:19">
      <c r="A927" s="16">
        <v>46273</v>
      </c>
      <c r="B927" s="8" t="s">
        <v>14</v>
      </c>
      <c r="C927" s="8" t="s">
        <v>6</v>
      </c>
      <c r="D927" s="15"/>
      <c r="E927" s="15">
        <v>100000</v>
      </c>
      <c r="F927" s="15" t="s">
        <v>138</v>
      </c>
      <c r="G927" s="8" t="s">
        <v>129</v>
      </c>
      <c r="H927" s="14"/>
      <c r="I927" s="13"/>
      <c r="J927" s="8" t="s">
        <v>128</v>
      </c>
      <c r="K927" s="8"/>
      <c r="L927" s="8"/>
      <c r="M927" s="8" t="str">
        <f>IF(C927="Caixa","-",VLOOKUP(J927,[1]Estrutura!C:E,3,FALSE))</f>
        <v>9.1</v>
      </c>
      <c r="N927" s="8"/>
      <c r="O927" s="7">
        <f t="shared" si="56"/>
        <v>8</v>
      </c>
      <c r="P927" s="7">
        <f t="shared" si="57"/>
        <v>9</v>
      </c>
      <c r="Q927" s="7">
        <f t="shared" si="58"/>
        <v>2026</v>
      </c>
      <c r="R927" s="6">
        <f t="shared" si="59"/>
        <v>-100000</v>
      </c>
      <c r="S927" s="12">
        <v>46277</v>
      </c>
    </row>
    <row r="928" spans="1:19">
      <c r="A928" s="16">
        <v>46273</v>
      </c>
      <c r="B928" s="8" t="s">
        <v>26</v>
      </c>
      <c r="C928" s="8" t="s">
        <v>6</v>
      </c>
      <c r="D928" s="15"/>
      <c r="E928" s="15">
        <v>31670</v>
      </c>
      <c r="F928" s="15" t="s">
        <v>165</v>
      </c>
      <c r="G928" s="8" t="s">
        <v>164</v>
      </c>
      <c r="H928" s="14"/>
      <c r="I928" s="13"/>
      <c r="J928" s="8" t="s">
        <v>17</v>
      </c>
      <c r="K928" s="8" t="s">
        <v>21</v>
      </c>
      <c r="L928" s="7"/>
      <c r="M928" s="7" t="str">
        <f>IF(C928="Caixa","-",VLOOKUP(J928,[1]Estrutura!C:E,3,FALSE))</f>
        <v>4.4</v>
      </c>
      <c r="N928" s="7"/>
      <c r="O928" s="7">
        <f t="shared" si="56"/>
        <v>8</v>
      </c>
      <c r="P928" s="7">
        <f t="shared" si="57"/>
        <v>9</v>
      </c>
      <c r="Q928" s="7">
        <f t="shared" si="58"/>
        <v>2026</v>
      </c>
      <c r="R928" s="6">
        <f t="shared" si="59"/>
        <v>-31670</v>
      </c>
      <c r="S928" s="16">
        <v>46277</v>
      </c>
    </row>
    <row r="929" spans="1:19">
      <c r="A929" s="12">
        <v>46273</v>
      </c>
      <c r="B929" s="7" t="s">
        <v>26</v>
      </c>
      <c r="C929" s="7" t="s">
        <v>6</v>
      </c>
      <c r="D929" s="11"/>
      <c r="E929" s="11">
        <v>272.95</v>
      </c>
      <c r="F929" s="11" t="s">
        <v>106</v>
      </c>
      <c r="G929" s="7" t="s">
        <v>477</v>
      </c>
      <c r="H929" s="10"/>
      <c r="I929" s="9"/>
      <c r="J929" s="7" t="s">
        <v>77</v>
      </c>
      <c r="K929" s="7" t="s">
        <v>40</v>
      </c>
      <c r="L929" s="8"/>
      <c r="M929" s="8" t="str">
        <f>IF(C929="Caixa","-",VLOOKUP(J929,[1]Estrutura!C:E,3,FALSE))</f>
        <v>4.3</v>
      </c>
      <c r="N929" s="8"/>
      <c r="O929" s="7">
        <f t="shared" si="56"/>
        <v>8</v>
      </c>
      <c r="P929" s="7">
        <f t="shared" si="57"/>
        <v>9</v>
      </c>
      <c r="Q929" s="7">
        <f t="shared" si="58"/>
        <v>2026</v>
      </c>
      <c r="R929" s="6">
        <f t="shared" si="59"/>
        <v>-272.95</v>
      </c>
      <c r="S929" s="16">
        <v>46277</v>
      </c>
    </row>
    <row r="930" spans="1:19">
      <c r="A930" s="16">
        <v>46273</v>
      </c>
      <c r="B930" s="7" t="s">
        <v>7</v>
      </c>
      <c r="C930" s="7" t="s">
        <v>9</v>
      </c>
      <c r="D930" s="15">
        <v>911.88</v>
      </c>
      <c r="E930" s="15"/>
      <c r="F930" s="15"/>
      <c r="G930" s="8" t="s">
        <v>11</v>
      </c>
      <c r="H930" s="8"/>
      <c r="I930" s="17"/>
      <c r="J930" s="8" t="s">
        <v>10</v>
      </c>
      <c r="K930" s="8"/>
      <c r="L930" s="7"/>
      <c r="M930" s="7" t="str">
        <f>IF(C930="Caixa","-",VLOOKUP(J930,[1]Estrutura!C:E,3,FALSE))</f>
        <v>1.1</v>
      </c>
      <c r="N930" s="7"/>
      <c r="O930" s="7">
        <f t="shared" si="56"/>
        <v>8</v>
      </c>
      <c r="P930" s="7">
        <f t="shared" si="57"/>
        <v>9</v>
      </c>
      <c r="Q930" s="7">
        <f t="shared" si="58"/>
        <v>2026</v>
      </c>
      <c r="R930" s="6">
        <f t="shared" si="59"/>
        <v>911.88</v>
      </c>
      <c r="S930" s="12">
        <v>46277</v>
      </c>
    </row>
    <row r="931" spans="1:19">
      <c r="A931" s="12">
        <v>46273</v>
      </c>
      <c r="B931" s="7" t="s">
        <v>7</v>
      </c>
      <c r="C931" s="7" t="s">
        <v>9</v>
      </c>
      <c r="D931" s="11"/>
      <c r="E931" s="11">
        <v>200000</v>
      </c>
      <c r="F931" s="11" t="s">
        <v>157</v>
      </c>
      <c r="G931" s="7" t="s">
        <v>129</v>
      </c>
      <c r="H931" s="10"/>
      <c r="I931" s="9"/>
      <c r="J931" s="7" t="s">
        <v>128</v>
      </c>
      <c r="K931" s="7"/>
      <c r="L931" s="8"/>
      <c r="M931" s="8" t="str">
        <f>IF(C931="Caixa","-",VLOOKUP(J931,[1]Estrutura!C:E,3,FALSE))</f>
        <v>9.1</v>
      </c>
      <c r="N931" s="8"/>
      <c r="O931" s="7">
        <f t="shared" si="56"/>
        <v>8</v>
      </c>
      <c r="P931" s="7">
        <f t="shared" si="57"/>
        <v>9</v>
      </c>
      <c r="Q931" s="7">
        <f t="shared" si="58"/>
        <v>2026</v>
      </c>
      <c r="R931" s="6">
        <f t="shared" si="59"/>
        <v>-200000</v>
      </c>
      <c r="S931" s="16">
        <v>46277</v>
      </c>
    </row>
    <row r="932" spans="1:19">
      <c r="A932" s="12">
        <v>46274</v>
      </c>
      <c r="B932" s="7" t="s">
        <v>26</v>
      </c>
      <c r="C932" s="7" t="s">
        <v>25</v>
      </c>
      <c r="D932" s="11"/>
      <c r="E932" s="11">
        <v>664.98</v>
      </c>
      <c r="F932" s="11" t="s">
        <v>101</v>
      </c>
      <c r="G932" s="7" t="s">
        <v>488</v>
      </c>
      <c r="H932" s="10"/>
      <c r="I932" s="9"/>
      <c r="J932" s="8" t="s">
        <v>99</v>
      </c>
      <c r="K932" s="7" t="s">
        <v>34</v>
      </c>
      <c r="L932" s="7"/>
      <c r="M932" s="7" t="str">
        <f>IF(C932="Caixa","-",VLOOKUP(J932,[1]Estrutura!C:E,3,FALSE))</f>
        <v>4.3</v>
      </c>
      <c r="N932" s="7"/>
      <c r="O932" s="7">
        <f t="shared" si="56"/>
        <v>9</v>
      </c>
      <c r="P932" s="7">
        <f t="shared" si="57"/>
        <v>9</v>
      </c>
      <c r="Q932" s="7">
        <f t="shared" si="58"/>
        <v>2026</v>
      </c>
      <c r="R932" s="6">
        <f t="shared" si="59"/>
        <v>-664.98</v>
      </c>
      <c r="S932" s="12">
        <v>46277</v>
      </c>
    </row>
    <row r="933" spans="1:19">
      <c r="A933" s="16">
        <v>46274</v>
      </c>
      <c r="B933" s="8" t="s">
        <v>26</v>
      </c>
      <c r="C933" s="8" t="s">
        <v>25</v>
      </c>
      <c r="D933" s="15"/>
      <c r="E933" s="15">
        <v>1085.42</v>
      </c>
      <c r="F933" s="15" t="s">
        <v>101</v>
      </c>
      <c r="G933" s="8" t="s">
        <v>487</v>
      </c>
      <c r="H933" s="14"/>
      <c r="I933" s="13"/>
      <c r="J933" s="8" t="s">
        <v>99</v>
      </c>
      <c r="K933" s="8" t="s">
        <v>40</v>
      </c>
      <c r="L933" s="8"/>
      <c r="M933" s="8" t="str">
        <f>IF(C933="Caixa","-",VLOOKUP(J933,[1]Estrutura!C:E,3,FALSE))</f>
        <v>4.3</v>
      </c>
      <c r="N933" s="8"/>
      <c r="O933" s="7">
        <f t="shared" si="56"/>
        <v>9</v>
      </c>
      <c r="P933" s="7">
        <f t="shared" si="57"/>
        <v>9</v>
      </c>
      <c r="Q933" s="7">
        <f t="shared" si="58"/>
        <v>2026</v>
      </c>
      <c r="R933" s="6">
        <f t="shared" si="59"/>
        <v>-1085.42</v>
      </c>
      <c r="S933" s="16">
        <v>46277</v>
      </c>
    </row>
    <row r="934" spans="1:19">
      <c r="A934" s="16">
        <v>46275</v>
      </c>
      <c r="B934" s="8" t="s">
        <v>14</v>
      </c>
      <c r="C934" s="7" t="s">
        <v>9</v>
      </c>
      <c r="D934" s="15">
        <v>5286.0999999999995</v>
      </c>
      <c r="E934" s="15"/>
      <c r="F934" s="15"/>
      <c r="G934" s="8" t="s">
        <v>11</v>
      </c>
      <c r="H934" s="8"/>
      <c r="I934" s="17"/>
      <c r="J934" s="8" t="s">
        <v>10</v>
      </c>
      <c r="K934" s="8"/>
      <c r="L934" s="7"/>
      <c r="M934" s="7" t="str">
        <f>IF(C934="Caixa","-",VLOOKUP(J934,[1]Estrutura!C:E,3,FALSE))</f>
        <v>1.1</v>
      </c>
      <c r="N934" s="7"/>
      <c r="O934" s="7">
        <f t="shared" si="56"/>
        <v>10</v>
      </c>
      <c r="P934" s="7">
        <f t="shared" si="57"/>
        <v>9</v>
      </c>
      <c r="Q934" s="7">
        <f t="shared" si="58"/>
        <v>2026</v>
      </c>
      <c r="R934" s="6">
        <f t="shared" si="59"/>
        <v>5286.0999999999995</v>
      </c>
      <c r="S934" s="16">
        <v>46277</v>
      </c>
    </row>
    <row r="935" spans="1:19">
      <c r="A935" s="16">
        <v>46275</v>
      </c>
      <c r="B935" s="7" t="s">
        <v>14</v>
      </c>
      <c r="C935" s="7" t="s">
        <v>9</v>
      </c>
      <c r="D935" s="11"/>
      <c r="E935" s="11">
        <v>410</v>
      </c>
      <c r="F935" s="11" t="s">
        <v>177</v>
      </c>
      <c r="G935" s="7" t="s">
        <v>176</v>
      </c>
      <c r="H935" s="10"/>
      <c r="I935" s="9"/>
      <c r="J935" s="7" t="s">
        <v>22</v>
      </c>
      <c r="K935" s="8"/>
      <c r="L935" s="8"/>
      <c r="M935" s="8" t="str">
        <f>IF(C935="Caixa","-",VLOOKUP(J935,[1]Estrutura!C:E,3,FALSE))</f>
        <v>4.3</v>
      </c>
      <c r="N935" s="8"/>
      <c r="O935" s="7">
        <f t="shared" si="56"/>
        <v>10</v>
      </c>
      <c r="P935" s="7">
        <f t="shared" si="57"/>
        <v>9</v>
      </c>
      <c r="Q935" s="7">
        <f t="shared" si="58"/>
        <v>2026</v>
      </c>
      <c r="R935" s="6">
        <f t="shared" si="59"/>
        <v>-410</v>
      </c>
      <c r="S935" s="12">
        <v>46277</v>
      </c>
    </row>
    <row r="936" spans="1:19">
      <c r="A936" s="12">
        <v>46275</v>
      </c>
      <c r="B936" s="7" t="s">
        <v>26</v>
      </c>
      <c r="C936" s="7" t="s">
        <v>25</v>
      </c>
      <c r="D936" s="11"/>
      <c r="E936" s="11">
        <v>5000</v>
      </c>
      <c r="F936" s="11" t="s">
        <v>109</v>
      </c>
      <c r="G936" s="7" t="s">
        <v>278</v>
      </c>
      <c r="H936" s="10">
        <v>9933</v>
      </c>
      <c r="I936" s="9"/>
      <c r="J936" s="7" t="s">
        <v>17</v>
      </c>
      <c r="K936" s="7" t="s">
        <v>21</v>
      </c>
      <c r="L936" s="7"/>
      <c r="M936" s="7" t="str">
        <f>IF(C936="Caixa","-",VLOOKUP(J936,[1]Estrutura!C:E,3,FALSE))</f>
        <v>4.4</v>
      </c>
      <c r="N936" s="7"/>
      <c r="O936" s="7">
        <f t="shared" si="56"/>
        <v>10</v>
      </c>
      <c r="P936" s="7">
        <f t="shared" si="57"/>
        <v>9</v>
      </c>
      <c r="Q936" s="7">
        <f t="shared" si="58"/>
        <v>2026</v>
      </c>
      <c r="R936" s="6">
        <f t="shared" si="59"/>
        <v>-5000</v>
      </c>
      <c r="S936" s="16">
        <v>46277</v>
      </c>
    </row>
    <row r="937" spans="1:19">
      <c r="A937" s="16">
        <v>46275</v>
      </c>
      <c r="B937" s="8" t="s">
        <v>26</v>
      </c>
      <c r="C937" s="8" t="s">
        <v>6</v>
      </c>
      <c r="D937" s="15"/>
      <c r="E937" s="15">
        <v>313.29000000000002</v>
      </c>
      <c r="F937" s="15" t="s">
        <v>161</v>
      </c>
      <c r="G937" s="8" t="s">
        <v>160</v>
      </c>
      <c r="H937" s="14"/>
      <c r="I937" s="13"/>
      <c r="J937" s="7" t="s">
        <v>35</v>
      </c>
      <c r="K937" s="8" t="s">
        <v>21</v>
      </c>
      <c r="L937" s="8"/>
      <c r="M937" s="8" t="str">
        <f>IF(C937="Caixa","-",VLOOKUP(J937,[1]Estrutura!C:E,3,FALSE))</f>
        <v>4.1</v>
      </c>
      <c r="N937" s="8"/>
      <c r="O937" s="7">
        <f t="shared" si="56"/>
        <v>10</v>
      </c>
      <c r="P937" s="7">
        <f t="shared" si="57"/>
        <v>9</v>
      </c>
      <c r="Q937" s="7">
        <f t="shared" si="58"/>
        <v>2026</v>
      </c>
      <c r="R937" s="6">
        <f t="shared" si="59"/>
        <v>-313.29000000000002</v>
      </c>
      <c r="S937" s="16">
        <v>46278</v>
      </c>
    </row>
    <row r="938" spans="1:19">
      <c r="A938" s="16">
        <v>46275</v>
      </c>
      <c r="B938" s="7" t="s">
        <v>7</v>
      </c>
      <c r="C938" s="7" t="s">
        <v>9</v>
      </c>
      <c r="D938" s="15">
        <v>14477.349999999999</v>
      </c>
      <c r="E938" s="15"/>
      <c r="F938" s="15"/>
      <c r="G938" s="8" t="s">
        <v>11</v>
      </c>
      <c r="H938" s="8"/>
      <c r="I938" s="17"/>
      <c r="J938" s="8" t="s">
        <v>10</v>
      </c>
      <c r="K938" s="8"/>
      <c r="L938" s="7"/>
      <c r="M938" s="7" t="str">
        <f>IF(C938="Caixa","-",VLOOKUP(J938,[1]Estrutura!C:E,3,FALSE))</f>
        <v>1.1</v>
      </c>
      <c r="N938" s="7"/>
      <c r="O938" s="7">
        <f t="shared" si="56"/>
        <v>10</v>
      </c>
      <c r="P938" s="7">
        <f t="shared" si="57"/>
        <v>9</v>
      </c>
      <c r="Q938" s="7">
        <f t="shared" si="58"/>
        <v>2026</v>
      </c>
      <c r="R938" s="6">
        <f t="shared" si="59"/>
        <v>14477.349999999999</v>
      </c>
      <c r="S938" s="16">
        <v>46278</v>
      </c>
    </row>
    <row r="939" spans="1:19">
      <c r="A939" s="16">
        <v>46276</v>
      </c>
      <c r="B939" s="8" t="s">
        <v>14</v>
      </c>
      <c r="C939" s="7" t="s">
        <v>9</v>
      </c>
      <c r="D939" s="15">
        <v>4430.58</v>
      </c>
      <c r="E939" s="15"/>
      <c r="F939" s="15"/>
      <c r="G939" s="8" t="s">
        <v>11</v>
      </c>
      <c r="H939" s="8"/>
      <c r="I939" s="17"/>
      <c r="J939" s="8" t="s">
        <v>10</v>
      </c>
      <c r="K939" s="8"/>
      <c r="L939" s="8"/>
      <c r="M939" s="8" t="str">
        <f>IF(C939="Caixa","-",VLOOKUP(J939,[1]Estrutura!C:E,3,FALSE))</f>
        <v>1.1</v>
      </c>
      <c r="N939" s="8"/>
      <c r="O939" s="7">
        <f t="shared" si="56"/>
        <v>11</v>
      </c>
      <c r="P939" s="7">
        <f t="shared" si="57"/>
        <v>9</v>
      </c>
      <c r="Q939" s="7">
        <f t="shared" si="58"/>
        <v>2026</v>
      </c>
      <c r="R939" s="6">
        <f t="shared" si="59"/>
        <v>4430.58</v>
      </c>
      <c r="S939" s="16">
        <v>46279</v>
      </c>
    </row>
    <row r="940" spans="1:19">
      <c r="A940" s="16">
        <v>46276</v>
      </c>
      <c r="B940" s="7" t="s">
        <v>7</v>
      </c>
      <c r="C940" s="7" t="s">
        <v>9</v>
      </c>
      <c r="D940" s="15">
        <v>3860.34</v>
      </c>
      <c r="E940" s="15"/>
      <c r="F940" s="15"/>
      <c r="G940" s="8" t="s">
        <v>11</v>
      </c>
      <c r="H940" s="8"/>
      <c r="I940" s="17"/>
      <c r="J940" s="8" t="s">
        <v>10</v>
      </c>
      <c r="K940" s="8"/>
      <c r="L940" s="7"/>
      <c r="M940" s="7" t="str">
        <f>IF(C940="Caixa","-",VLOOKUP(J940,[1]Estrutura!C:E,3,FALSE))</f>
        <v>1.1</v>
      </c>
      <c r="N940" s="7"/>
      <c r="O940" s="7">
        <f t="shared" si="56"/>
        <v>11</v>
      </c>
      <c r="P940" s="7">
        <f t="shared" si="57"/>
        <v>9</v>
      </c>
      <c r="Q940" s="7">
        <f t="shared" si="58"/>
        <v>2026</v>
      </c>
      <c r="R940" s="6">
        <f t="shared" si="59"/>
        <v>3860.34</v>
      </c>
      <c r="S940" s="12">
        <v>46280</v>
      </c>
    </row>
    <row r="941" spans="1:19">
      <c r="A941" s="16">
        <v>46277</v>
      </c>
      <c r="B941" s="8" t="s">
        <v>14</v>
      </c>
      <c r="C941" s="7" t="s">
        <v>9</v>
      </c>
      <c r="D941" s="15">
        <v>1242.69</v>
      </c>
      <c r="E941" s="15"/>
      <c r="F941" s="15"/>
      <c r="G941" s="8" t="s">
        <v>11</v>
      </c>
      <c r="H941" s="8"/>
      <c r="I941" s="17"/>
      <c r="J941" s="8" t="s">
        <v>10</v>
      </c>
      <c r="K941" s="8"/>
      <c r="L941" s="8"/>
      <c r="M941" s="8" t="str">
        <f>IF(C941="Caixa","-",VLOOKUP(J941,[1]Estrutura!C:E,3,FALSE))</f>
        <v>1.1</v>
      </c>
      <c r="N941" s="8"/>
      <c r="O941" s="7">
        <f t="shared" si="56"/>
        <v>12</v>
      </c>
      <c r="P941" s="7">
        <f t="shared" si="57"/>
        <v>9</v>
      </c>
      <c r="Q941" s="7">
        <f t="shared" si="58"/>
        <v>2026</v>
      </c>
      <c r="R941" s="6">
        <f t="shared" si="59"/>
        <v>1242.69</v>
      </c>
      <c r="S941" s="12">
        <v>46280</v>
      </c>
    </row>
    <row r="942" spans="1:19">
      <c r="A942" s="12">
        <v>46277</v>
      </c>
      <c r="B942" s="7" t="s">
        <v>14</v>
      </c>
      <c r="C942" s="7" t="s">
        <v>9</v>
      </c>
      <c r="D942" s="11"/>
      <c r="E942" s="11">
        <v>1134.42</v>
      </c>
      <c r="F942" s="11" t="s">
        <v>159</v>
      </c>
      <c r="G942" s="7" t="s">
        <v>158</v>
      </c>
      <c r="H942" s="10"/>
      <c r="I942" s="9"/>
      <c r="J942" s="7" t="s">
        <v>29</v>
      </c>
      <c r="K942" s="7"/>
      <c r="L942" s="7"/>
      <c r="M942" s="7" t="str">
        <f>IF(C942="Caixa","-",VLOOKUP(J942,[1]Estrutura!C:E,3,FALSE))</f>
        <v>4.8</v>
      </c>
      <c r="N942" s="7"/>
      <c r="O942" s="7">
        <f t="shared" si="56"/>
        <v>12</v>
      </c>
      <c r="P942" s="7">
        <f t="shared" si="57"/>
        <v>9</v>
      </c>
      <c r="Q942" s="7">
        <f t="shared" si="58"/>
        <v>2026</v>
      </c>
      <c r="R942" s="6">
        <f t="shared" si="59"/>
        <v>-1134.42</v>
      </c>
      <c r="S942" s="16">
        <v>46280</v>
      </c>
    </row>
    <row r="943" spans="1:19">
      <c r="A943" s="16">
        <v>46277</v>
      </c>
      <c r="B943" s="8" t="s">
        <v>26</v>
      </c>
      <c r="C943" s="8" t="s">
        <v>6</v>
      </c>
      <c r="D943" s="15">
        <v>550</v>
      </c>
      <c r="E943" s="15"/>
      <c r="F943" s="15" t="s">
        <v>455</v>
      </c>
      <c r="G943" s="8" t="s">
        <v>486</v>
      </c>
      <c r="H943" s="14"/>
      <c r="I943" s="13"/>
      <c r="J943" s="8" t="s">
        <v>52</v>
      </c>
      <c r="K943" s="7" t="s">
        <v>34</v>
      </c>
      <c r="L943" s="8"/>
      <c r="M943" s="8" t="str">
        <f>IF(C943="Caixa","-",VLOOKUP(J943,[1]Estrutura!C:E,3,FALSE))</f>
        <v>4.2</v>
      </c>
      <c r="N943" s="8"/>
      <c r="O943" s="7">
        <f t="shared" si="56"/>
        <v>12</v>
      </c>
      <c r="P943" s="7">
        <f t="shared" si="57"/>
        <v>9</v>
      </c>
      <c r="Q943" s="7">
        <f t="shared" si="58"/>
        <v>2026</v>
      </c>
      <c r="R943" s="6">
        <f t="shared" si="59"/>
        <v>550</v>
      </c>
      <c r="S943" s="16">
        <v>46280</v>
      </c>
    </row>
    <row r="944" spans="1:19">
      <c r="A944" s="16">
        <v>46277</v>
      </c>
      <c r="B944" s="8" t="s">
        <v>26</v>
      </c>
      <c r="C944" s="8" t="s">
        <v>25</v>
      </c>
      <c r="D944" s="15"/>
      <c r="E944" s="15">
        <v>5000</v>
      </c>
      <c r="F944" s="15" t="s">
        <v>109</v>
      </c>
      <c r="G944" s="8" t="s">
        <v>278</v>
      </c>
      <c r="H944" s="14">
        <v>9934</v>
      </c>
      <c r="I944" s="13"/>
      <c r="J944" s="8" t="s">
        <v>17</v>
      </c>
      <c r="K944" s="8" t="s">
        <v>21</v>
      </c>
      <c r="L944" s="7"/>
      <c r="M944" s="7" t="str">
        <f>IF(C944="Caixa","-",VLOOKUP(J944,[1]Estrutura!C:E,3,FALSE))</f>
        <v>4.4</v>
      </c>
      <c r="N944" s="7"/>
      <c r="O944" s="7">
        <f t="shared" si="56"/>
        <v>12</v>
      </c>
      <c r="P944" s="7">
        <f t="shared" si="57"/>
        <v>9</v>
      </c>
      <c r="Q944" s="7">
        <f t="shared" si="58"/>
        <v>2026</v>
      </c>
      <c r="R944" s="6">
        <f t="shared" si="59"/>
        <v>-5000</v>
      </c>
      <c r="S944" s="12">
        <v>46280</v>
      </c>
    </row>
    <row r="945" spans="1:19">
      <c r="A945" s="12">
        <v>46277</v>
      </c>
      <c r="B945" s="7" t="s">
        <v>26</v>
      </c>
      <c r="C945" s="7" t="s">
        <v>6</v>
      </c>
      <c r="D945" s="11"/>
      <c r="E945" s="11">
        <v>550</v>
      </c>
      <c r="F945" s="11" t="s">
        <v>455</v>
      </c>
      <c r="G945" s="7" t="s">
        <v>454</v>
      </c>
      <c r="H945" s="10"/>
      <c r="I945" s="9"/>
      <c r="J945" s="7" t="s">
        <v>52</v>
      </c>
      <c r="K945" s="7" t="s">
        <v>34</v>
      </c>
      <c r="L945" s="8"/>
      <c r="M945" s="8" t="str">
        <f>IF(C945="Caixa","-",VLOOKUP(J945,[1]Estrutura!C:E,3,FALSE))</f>
        <v>4.2</v>
      </c>
      <c r="N945" s="8"/>
      <c r="O945" s="7">
        <f t="shared" si="56"/>
        <v>12</v>
      </c>
      <c r="P945" s="7">
        <f t="shared" si="57"/>
        <v>9</v>
      </c>
      <c r="Q945" s="7">
        <f t="shared" si="58"/>
        <v>2026</v>
      </c>
      <c r="R945" s="6">
        <f t="shared" si="59"/>
        <v>-550</v>
      </c>
      <c r="S945" s="16">
        <v>46280</v>
      </c>
    </row>
    <row r="946" spans="1:19">
      <c r="A946" s="16">
        <v>46277</v>
      </c>
      <c r="B946" s="8" t="s">
        <v>26</v>
      </c>
      <c r="C946" s="8" t="s">
        <v>6</v>
      </c>
      <c r="D946" s="15"/>
      <c r="E946" s="15">
        <v>266.27</v>
      </c>
      <c r="F946" s="15" t="s">
        <v>132</v>
      </c>
      <c r="G946" s="8" t="s">
        <v>485</v>
      </c>
      <c r="H946" s="14"/>
      <c r="I946" s="13"/>
      <c r="J946" s="8" t="s">
        <v>52</v>
      </c>
      <c r="K946" s="8" t="s">
        <v>44</v>
      </c>
      <c r="L946" s="7"/>
      <c r="M946" s="7" t="str">
        <f>IF(C946="Caixa","-",VLOOKUP(J946,[1]Estrutura!C:E,3,FALSE))</f>
        <v>4.2</v>
      </c>
      <c r="N946" s="7"/>
      <c r="O946" s="7">
        <f t="shared" si="56"/>
        <v>12</v>
      </c>
      <c r="P946" s="7">
        <f t="shared" si="57"/>
        <v>9</v>
      </c>
      <c r="Q946" s="7">
        <f t="shared" si="58"/>
        <v>2026</v>
      </c>
      <c r="R946" s="6">
        <f t="shared" si="59"/>
        <v>-266.27</v>
      </c>
      <c r="S946" s="12">
        <v>46280</v>
      </c>
    </row>
    <row r="947" spans="1:19">
      <c r="A947" s="12">
        <v>46277</v>
      </c>
      <c r="B947" s="7" t="s">
        <v>26</v>
      </c>
      <c r="C947" s="7" t="s">
        <v>6</v>
      </c>
      <c r="D947" s="11"/>
      <c r="E947" s="11">
        <v>115</v>
      </c>
      <c r="F947" s="11" t="s">
        <v>132</v>
      </c>
      <c r="G947" s="7" t="s">
        <v>484</v>
      </c>
      <c r="H947" s="10"/>
      <c r="I947" s="9"/>
      <c r="J947" s="7" t="s">
        <v>52</v>
      </c>
      <c r="K947" s="8" t="s">
        <v>44</v>
      </c>
      <c r="L947" s="8"/>
      <c r="M947" s="8" t="str">
        <f>IF(C947="Caixa","-",VLOOKUP(J947,[1]Estrutura!C:E,3,FALSE))</f>
        <v>4.2</v>
      </c>
      <c r="N947" s="8"/>
      <c r="O947" s="7">
        <f t="shared" si="56"/>
        <v>12</v>
      </c>
      <c r="P947" s="7">
        <f t="shared" si="57"/>
        <v>9</v>
      </c>
      <c r="Q947" s="7">
        <f t="shared" si="58"/>
        <v>2026</v>
      </c>
      <c r="R947" s="6">
        <f t="shared" si="59"/>
        <v>-115</v>
      </c>
      <c r="S947" s="16">
        <v>46280</v>
      </c>
    </row>
    <row r="948" spans="1:19">
      <c r="A948" s="16">
        <v>46277</v>
      </c>
      <c r="B948" s="8" t="s">
        <v>26</v>
      </c>
      <c r="C948" s="8" t="s">
        <v>6</v>
      </c>
      <c r="D948" s="15"/>
      <c r="E948" s="15">
        <v>311.99</v>
      </c>
      <c r="F948" s="15" t="s">
        <v>24</v>
      </c>
      <c r="G948" s="8" t="s">
        <v>483</v>
      </c>
      <c r="H948" s="14"/>
      <c r="I948" s="13"/>
      <c r="J948" s="8" t="s">
        <v>22</v>
      </c>
      <c r="K948" s="8" t="s">
        <v>21</v>
      </c>
      <c r="L948" s="7"/>
      <c r="M948" s="7" t="str">
        <f>IF(C948="Caixa","-",VLOOKUP(J948,[1]Estrutura!C:E,3,FALSE))</f>
        <v>4.3</v>
      </c>
      <c r="N948" s="7"/>
      <c r="O948" s="7">
        <f t="shared" si="56"/>
        <v>12</v>
      </c>
      <c r="P948" s="7">
        <f t="shared" si="57"/>
        <v>9</v>
      </c>
      <c r="Q948" s="7">
        <f t="shared" si="58"/>
        <v>2026</v>
      </c>
      <c r="R948" s="6">
        <f t="shared" si="59"/>
        <v>-311.99</v>
      </c>
      <c r="S948" s="12">
        <v>46280</v>
      </c>
    </row>
    <row r="949" spans="1:19">
      <c r="A949" s="16">
        <v>46277</v>
      </c>
      <c r="B949" s="7" t="s">
        <v>7</v>
      </c>
      <c r="C949" s="7" t="s">
        <v>9</v>
      </c>
      <c r="D949" s="15">
        <v>6298.7300000000005</v>
      </c>
      <c r="E949" s="15"/>
      <c r="F949" s="15"/>
      <c r="G949" s="8" t="s">
        <v>11</v>
      </c>
      <c r="H949" s="8"/>
      <c r="I949" s="17"/>
      <c r="J949" s="8" t="s">
        <v>10</v>
      </c>
      <c r="K949" s="8"/>
      <c r="L949" s="8"/>
      <c r="M949" s="8" t="str">
        <f>IF(C949="Caixa","-",VLOOKUP(J949,[1]Estrutura!C:E,3,FALSE))</f>
        <v>1.1</v>
      </c>
      <c r="N949" s="8"/>
      <c r="O949" s="7">
        <f t="shared" si="56"/>
        <v>12</v>
      </c>
      <c r="P949" s="7">
        <f t="shared" si="57"/>
        <v>9</v>
      </c>
      <c r="Q949" s="7">
        <f t="shared" si="58"/>
        <v>2026</v>
      </c>
      <c r="R949" s="6">
        <f t="shared" si="59"/>
        <v>6298.7300000000005</v>
      </c>
      <c r="S949" s="16">
        <v>46280</v>
      </c>
    </row>
    <row r="950" spans="1:19">
      <c r="A950" s="12">
        <v>46277</v>
      </c>
      <c r="B950" s="7" t="s">
        <v>7</v>
      </c>
      <c r="C950" s="7" t="s">
        <v>9</v>
      </c>
      <c r="D950" s="11"/>
      <c r="E950" s="11">
        <v>2232.8000000000002</v>
      </c>
      <c r="F950" s="11" t="s">
        <v>303</v>
      </c>
      <c r="G950" s="8" t="s">
        <v>133</v>
      </c>
      <c r="H950" s="10"/>
      <c r="I950" s="9"/>
      <c r="J950" s="7" t="s">
        <v>119</v>
      </c>
      <c r="K950" s="7"/>
      <c r="L950" s="7"/>
      <c r="M950" s="7" t="str">
        <f>IF(C950="Caixa","-",VLOOKUP(J950,[1]Estrutura!C:E,3,FALSE))</f>
        <v>4.5</v>
      </c>
      <c r="N950" s="7"/>
      <c r="O950" s="7">
        <f t="shared" si="56"/>
        <v>12</v>
      </c>
      <c r="P950" s="7">
        <f t="shared" si="57"/>
        <v>9</v>
      </c>
      <c r="Q950" s="7">
        <f t="shared" si="58"/>
        <v>2026</v>
      </c>
      <c r="R950" s="6">
        <f t="shared" si="59"/>
        <v>-2232.8000000000002</v>
      </c>
      <c r="S950" s="12">
        <v>46280</v>
      </c>
    </row>
    <row r="951" spans="1:19">
      <c r="A951" s="16">
        <v>46277</v>
      </c>
      <c r="B951" s="8" t="s">
        <v>7</v>
      </c>
      <c r="C951" s="8" t="s">
        <v>9</v>
      </c>
      <c r="D951" s="15"/>
      <c r="E951" s="15">
        <v>3661.15</v>
      </c>
      <c r="F951" s="15" t="s">
        <v>159</v>
      </c>
      <c r="G951" s="8" t="s">
        <v>158</v>
      </c>
      <c r="H951" s="14"/>
      <c r="I951" s="13"/>
      <c r="J951" s="8" t="s">
        <v>29</v>
      </c>
      <c r="K951" s="8"/>
      <c r="L951" s="8"/>
      <c r="M951" s="8" t="str">
        <f>IF(C951="Caixa","-",VLOOKUP(J951,[1]Estrutura!C:E,3,FALSE))</f>
        <v>4.8</v>
      </c>
      <c r="N951" s="8"/>
      <c r="O951" s="7">
        <f t="shared" si="56"/>
        <v>12</v>
      </c>
      <c r="P951" s="7">
        <f t="shared" si="57"/>
        <v>9</v>
      </c>
      <c r="Q951" s="7">
        <f t="shared" si="58"/>
        <v>2026</v>
      </c>
      <c r="R951" s="6">
        <f t="shared" si="59"/>
        <v>-3661.15</v>
      </c>
      <c r="S951" s="16">
        <v>46280</v>
      </c>
    </row>
    <row r="952" spans="1:19">
      <c r="A952" s="16">
        <v>46278</v>
      </c>
      <c r="B952" s="8" t="s">
        <v>14</v>
      </c>
      <c r="C952" s="7" t="s">
        <v>9</v>
      </c>
      <c r="D952" s="15">
        <v>1469.47</v>
      </c>
      <c r="E952" s="15"/>
      <c r="F952" s="15"/>
      <c r="G952" s="8" t="s">
        <v>11</v>
      </c>
      <c r="H952" s="8"/>
      <c r="I952" s="17"/>
      <c r="J952" s="8" t="s">
        <v>10</v>
      </c>
      <c r="K952" s="8"/>
      <c r="L952" s="7"/>
      <c r="M952" s="7" t="str">
        <f>IF(C952="Caixa","-",VLOOKUP(J952,[1]Estrutura!C:E,3,FALSE))</f>
        <v>1.1</v>
      </c>
      <c r="N952" s="7"/>
      <c r="O952" s="7">
        <f t="shared" si="56"/>
        <v>13</v>
      </c>
      <c r="P952" s="7">
        <f t="shared" si="57"/>
        <v>9</v>
      </c>
      <c r="Q952" s="7">
        <f t="shared" si="58"/>
        <v>2026</v>
      </c>
      <c r="R952" s="6">
        <f t="shared" si="59"/>
        <v>1469.47</v>
      </c>
      <c r="S952" s="16">
        <v>46280</v>
      </c>
    </row>
    <row r="953" spans="1:19">
      <c r="A953" s="16">
        <v>46278</v>
      </c>
      <c r="B953" s="7" t="s">
        <v>7</v>
      </c>
      <c r="C953" s="7" t="s">
        <v>9</v>
      </c>
      <c r="D953" s="15">
        <v>9411.0300000000007</v>
      </c>
      <c r="E953" s="15"/>
      <c r="F953" s="15"/>
      <c r="G953" s="8" t="s">
        <v>11</v>
      </c>
      <c r="H953" s="8"/>
      <c r="I953" s="17"/>
      <c r="J953" s="8" t="s">
        <v>10</v>
      </c>
      <c r="K953" s="8"/>
      <c r="L953" s="8"/>
      <c r="M953" s="8" t="str">
        <f>IF(C953="Caixa","-",VLOOKUP(J953,[1]Estrutura!C:E,3,FALSE))</f>
        <v>1.1</v>
      </c>
      <c r="N953" s="8"/>
      <c r="O953" s="7">
        <f t="shared" si="56"/>
        <v>13</v>
      </c>
      <c r="P953" s="7">
        <f t="shared" si="57"/>
        <v>9</v>
      </c>
      <c r="Q953" s="7">
        <f t="shared" si="58"/>
        <v>2026</v>
      </c>
      <c r="R953" s="6">
        <f t="shared" si="59"/>
        <v>9411.0300000000007</v>
      </c>
      <c r="S953" s="12">
        <v>46280</v>
      </c>
    </row>
    <row r="954" spans="1:19">
      <c r="A954" s="16">
        <v>46279</v>
      </c>
      <c r="B954" s="7" t="s">
        <v>7</v>
      </c>
      <c r="C954" s="7" t="s">
        <v>9</v>
      </c>
      <c r="D954" s="15">
        <v>8261.0499999999993</v>
      </c>
      <c r="E954" s="15"/>
      <c r="F954" s="15"/>
      <c r="G954" s="8" t="s">
        <v>11</v>
      </c>
      <c r="H954" s="8"/>
      <c r="I954" s="17"/>
      <c r="J954" s="8" t="s">
        <v>10</v>
      </c>
      <c r="K954" s="8"/>
      <c r="L954" s="7"/>
      <c r="M954" s="7" t="str">
        <f>IF(C954="Caixa","-",VLOOKUP(J954,[1]Estrutura!C:E,3,FALSE))</f>
        <v>1.1</v>
      </c>
      <c r="N954" s="7"/>
      <c r="O954" s="7">
        <f t="shared" si="56"/>
        <v>14</v>
      </c>
      <c r="P954" s="7">
        <f t="shared" si="57"/>
        <v>9</v>
      </c>
      <c r="Q954" s="7">
        <f t="shared" si="58"/>
        <v>2026</v>
      </c>
      <c r="R954" s="6">
        <f t="shared" si="59"/>
        <v>8261.0499999999993</v>
      </c>
      <c r="S954" s="16">
        <v>46280</v>
      </c>
    </row>
    <row r="955" spans="1:19">
      <c r="A955" s="12">
        <v>46280</v>
      </c>
      <c r="B955" s="7" t="s">
        <v>122</v>
      </c>
      <c r="C955" s="7" t="s">
        <v>6</v>
      </c>
      <c r="D955" s="11"/>
      <c r="E955" s="11">
        <v>1726.84</v>
      </c>
      <c r="F955" s="11" t="s">
        <v>482</v>
      </c>
      <c r="G955" s="7" t="s">
        <v>481</v>
      </c>
      <c r="H955" s="10"/>
      <c r="I955" s="9"/>
      <c r="J955" s="7" t="s">
        <v>17</v>
      </c>
      <c r="K955" s="7"/>
      <c r="L955" s="8"/>
      <c r="M955" s="8" t="str">
        <f>IF(C955="Caixa","-",VLOOKUP(J955,[1]Estrutura!C:E,3,FALSE))</f>
        <v>4.4</v>
      </c>
      <c r="N955" s="8"/>
      <c r="O955" s="7">
        <f t="shared" si="56"/>
        <v>15</v>
      </c>
      <c r="P955" s="7">
        <f t="shared" si="57"/>
        <v>9</v>
      </c>
      <c r="Q955" s="7">
        <f t="shared" si="58"/>
        <v>2026</v>
      </c>
      <c r="R955" s="6">
        <f t="shared" si="59"/>
        <v>-1726.84</v>
      </c>
      <c r="S955" s="12">
        <v>46280</v>
      </c>
    </row>
    <row r="956" spans="1:19">
      <c r="A956" s="12">
        <v>46280</v>
      </c>
      <c r="B956" s="7" t="s">
        <v>14</v>
      </c>
      <c r="C956" s="7" t="s">
        <v>9</v>
      </c>
      <c r="D956" s="11"/>
      <c r="E956" s="11">
        <v>2874</v>
      </c>
      <c r="F956" s="15" t="s">
        <v>146</v>
      </c>
      <c r="G956" s="7" t="s">
        <v>147</v>
      </c>
      <c r="H956" s="7"/>
      <c r="I956" s="30"/>
      <c r="J956" s="7" t="s">
        <v>144</v>
      </c>
      <c r="K956" s="7"/>
      <c r="L956" s="7"/>
      <c r="M956" s="7" t="str">
        <f>IF(C956="Caixa","-",VLOOKUP(J956,[1]Estrutura!C:E,3,FALSE))</f>
        <v>4.2</v>
      </c>
      <c r="N956" s="7"/>
      <c r="O956" s="7">
        <f t="shared" si="56"/>
        <v>15</v>
      </c>
      <c r="P956" s="7">
        <f t="shared" si="57"/>
        <v>9</v>
      </c>
      <c r="Q956" s="7">
        <f t="shared" si="58"/>
        <v>2026</v>
      </c>
      <c r="R956" s="6">
        <f t="shared" si="59"/>
        <v>-2874</v>
      </c>
      <c r="S956" s="16">
        <v>46280</v>
      </c>
    </row>
    <row r="957" spans="1:19">
      <c r="A957" s="16">
        <v>46280</v>
      </c>
      <c r="B957" s="8" t="s">
        <v>14</v>
      </c>
      <c r="C957" s="8" t="s">
        <v>9</v>
      </c>
      <c r="D957" s="15"/>
      <c r="E957" s="15">
        <v>2874</v>
      </c>
      <c r="F957" s="15" t="s">
        <v>146</v>
      </c>
      <c r="G957" s="8" t="s">
        <v>145</v>
      </c>
      <c r="H957" s="8"/>
      <c r="I957" s="17"/>
      <c r="J957" s="8" t="s">
        <v>144</v>
      </c>
      <c r="K957" s="8"/>
      <c r="L957" s="8"/>
      <c r="M957" s="8" t="str">
        <f>IF(C957="Caixa","-",VLOOKUP(J957,[1]Estrutura!C:E,3,FALSE))</f>
        <v>4.2</v>
      </c>
      <c r="N957" s="8"/>
      <c r="O957" s="7">
        <f t="shared" si="56"/>
        <v>15</v>
      </c>
      <c r="P957" s="7">
        <f t="shared" si="57"/>
        <v>9</v>
      </c>
      <c r="Q957" s="7">
        <f t="shared" si="58"/>
        <v>2026</v>
      </c>
      <c r="R957" s="6">
        <f t="shared" si="59"/>
        <v>-2874</v>
      </c>
      <c r="S957" s="16">
        <v>46280</v>
      </c>
    </row>
    <row r="958" spans="1:19">
      <c r="A958" s="16">
        <v>46280</v>
      </c>
      <c r="B958" s="8" t="s">
        <v>14</v>
      </c>
      <c r="C958" s="8" t="s">
        <v>9</v>
      </c>
      <c r="D958" s="15"/>
      <c r="E958" s="15">
        <v>2874</v>
      </c>
      <c r="F958" s="15" t="s">
        <v>146</v>
      </c>
      <c r="G958" s="8" t="s">
        <v>480</v>
      </c>
      <c r="H958" s="14"/>
      <c r="I958" s="13"/>
      <c r="J958" s="8" t="s">
        <v>144</v>
      </c>
      <c r="K958" s="8"/>
      <c r="L958" s="7"/>
      <c r="M958" s="7" t="str">
        <f>IF(C958="Caixa","-",VLOOKUP(J958,[1]Estrutura!C:E,3,FALSE))</f>
        <v>4.2</v>
      </c>
      <c r="N958" s="7"/>
      <c r="O958" s="7">
        <f t="shared" si="56"/>
        <v>15</v>
      </c>
      <c r="P958" s="7">
        <f t="shared" si="57"/>
        <v>9</v>
      </c>
      <c r="Q958" s="7">
        <f t="shared" si="58"/>
        <v>2026</v>
      </c>
      <c r="R958" s="6">
        <f t="shared" si="59"/>
        <v>-2874</v>
      </c>
      <c r="S958" s="16">
        <v>46280</v>
      </c>
    </row>
    <row r="959" spans="1:19">
      <c r="A959" s="12">
        <v>46280</v>
      </c>
      <c r="B959" s="7" t="s">
        <v>14</v>
      </c>
      <c r="C959" s="7" t="s">
        <v>9</v>
      </c>
      <c r="D959" s="11"/>
      <c r="E959" s="11">
        <v>2874</v>
      </c>
      <c r="F959" s="15" t="s">
        <v>146</v>
      </c>
      <c r="G959" s="7" t="s">
        <v>480</v>
      </c>
      <c r="H959" s="10"/>
      <c r="I959" s="9"/>
      <c r="J959" s="7" t="s">
        <v>144</v>
      </c>
      <c r="K959" s="7"/>
      <c r="L959" s="8"/>
      <c r="M959" s="8" t="str">
        <f>IF(C959="Caixa","-",VLOOKUP(J959,[1]Estrutura!C:E,3,FALSE))</f>
        <v>4.2</v>
      </c>
      <c r="N959" s="8"/>
      <c r="O959" s="7">
        <f t="shared" si="56"/>
        <v>15</v>
      </c>
      <c r="P959" s="7">
        <f t="shared" si="57"/>
        <v>9</v>
      </c>
      <c r="Q959" s="7">
        <f t="shared" si="58"/>
        <v>2026</v>
      </c>
      <c r="R959" s="6">
        <f t="shared" si="59"/>
        <v>-2874</v>
      </c>
      <c r="S959" s="12">
        <v>46280</v>
      </c>
    </row>
    <row r="960" spans="1:19">
      <c r="A960" s="16">
        <v>46280</v>
      </c>
      <c r="B960" s="8" t="s">
        <v>14</v>
      </c>
      <c r="C960" s="8" t="s">
        <v>9</v>
      </c>
      <c r="D960" s="15"/>
      <c r="E960" s="15">
        <v>2832.92</v>
      </c>
      <c r="F960" s="15" t="s">
        <v>104</v>
      </c>
      <c r="G960" s="8" t="s">
        <v>479</v>
      </c>
      <c r="H960" s="14"/>
      <c r="I960" s="13"/>
      <c r="J960" s="8" t="s">
        <v>102</v>
      </c>
      <c r="K960" s="8"/>
      <c r="L960" s="7"/>
      <c r="M960" s="7" t="str">
        <f>IF(C960="Caixa","-",VLOOKUP(J960,[1]Estrutura!C:E,3,FALSE))</f>
        <v>4.5</v>
      </c>
      <c r="N960" s="7"/>
      <c r="O960" s="7">
        <f t="shared" si="56"/>
        <v>15</v>
      </c>
      <c r="P960" s="7">
        <f t="shared" si="57"/>
        <v>9</v>
      </c>
      <c r="Q960" s="7">
        <f t="shared" si="58"/>
        <v>2026</v>
      </c>
      <c r="R960" s="6">
        <f t="shared" si="59"/>
        <v>-2832.92</v>
      </c>
      <c r="S960" s="12">
        <v>46280</v>
      </c>
    </row>
    <row r="961" spans="1:19">
      <c r="A961" s="12">
        <v>46280</v>
      </c>
      <c r="B961" s="7" t="s">
        <v>14</v>
      </c>
      <c r="C961" s="7" t="s">
        <v>9</v>
      </c>
      <c r="D961" s="11"/>
      <c r="E961" s="11">
        <v>1159.4100000000001</v>
      </c>
      <c r="F961" s="11" t="s">
        <v>143</v>
      </c>
      <c r="G961" s="7" t="s">
        <v>478</v>
      </c>
      <c r="H961" s="10"/>
      <c r="I961" s="9"/>
      <c r="J961" s="7" t="s">
        <v>141</v>
      </c>
      <c r="K961" s="7"/>
      <c r="L961" s="8"/>
      <c r="M961" s="8" t="str">
        <f>IF(C961="Caixa","-",VLOOKUP(J961,[1]Estrutura!C:E,3,FALSE))</f>
        <v>4.6</v>
      </c>
      <c r="N961" s="8"/>
      <c r="O961" s="7">
        <f t="shared" si="56"/>
        <v>15</v>
      </c>
      <c r="P961" s="7">
        <f t="shared" si="57"/>
        <v>9</v>
      </c>
      <c r="Q961" s="7">
        <f t="shared" si="58"/>
        <v>2026</v>
      </c>
      <c r="R961" s="6">
        <f t="shared" si="59"/>
        <v>-1159.4100000000001</v>
      </c>
      <c r="S961" s="16">
        <v>46281</v>
      </c>
    </row>
    <row r="962" spans="1:19">
      <c r="A962" s="16">
        <v>46280</v>
      </c>
      <c r="B962" s="8" t="s">
        <v>14</v>
      </c>
      <c r="C962" s="8" t="s">
        <v>9</v>
      </c>
      <c r="D962" s="15"/>
      <c r="E962" s="15">
        <v>109.8</v>
      </c>
      <c r="F962" s="15" t="s">
        <v>168</v>
      </c>
      <c r="G962" s="15" t="s">
        <v>477</v>
      </c>
      <c r="H962" s="8"/>
      <c r="I962" s="13"/>
      <c r="J962" s="8" t="s">
        <v>77</v>
      </c>
      <c r="K962" s="8"/>
      <c r="L962" s="7"/>
      <c r="M962" s="7" t="str">
        <f>IF(C962="Caixa","-",VLOOKUP(J962,[1]Estrutura!C:E,3,FALSE))</f>
        <v>4.3</v>
      </c>
      <c r="N962" s="7"/>
      <c r="O962" s="7">
        <f t="shared" si="56"/>
        <v>15</v>
      </c>
      <c r="P962" s="7">
        <f t="shared" si="57"/>
        <v>9</v>
      </c>
      <c r="Q962" s="7">
        <f t="shared" si="58"/>
        <v>2026</v>
      </c>
      <c r="R962" s="6">
        <f t="shared" si="59"/>
        <v>-109.8</v>
      </c>
      <c r="S962" s="16">
        <v>46281</v>
      </c>
    </row>
    <row r="963" spans="1:19">
      <c r="A963" s="12">
        <v>46280</v>
      </c>
      <c r="B963" s="7" t="s">
        <v>14</v>
      </c>
      <c r="C963" s="7" t="s">
        <v>9</v>
      </c>
      <c r="D963" s="11"/>
      <c r="E963" s="11">
        <v>1265.19</v>
      </c>
      <c r="F963" s="11" t="s">
        <v>271</v>
      </c>
      <c r="G963" s="7" t="s">
        <v>476</v>
      </c>
      <c r="H963" s="10"/>
      <c r="I963" s="9"/>
      <c r="J963" s="7" t="s">
        <v>269</v>
      </c>
      <c r="K963" s="7"/>
      <c r="L963" s="8"/>
      <c r="M963" s="8" t="str">
        <f>IF(C963="Caixa","-",VLOOKUP(J963,[1]Estrutura!C:E,3,FALSE))</f>
        <v>4.7</v>
      </c>
      <c r="N963" s="8"/>
      <c r="O963" s="7">
        <f t="shared" si="56"/>
        <v>15</v>
      </c>
      <c r="P963" s="7">
        <f t="shared" si="57"/>
        <v>9</v>
      </c>
      <c r="Q963" s="7">
        <f t="shared" si="58"/>
        <v>2026</v>
      </c>
      <c r="R963" s="6">
        <f t="shared" si="59"/>
        <v>-1265.19</v>
      </c>
      <c r="S963" s="12">
        <v>46281</v>
      </c>
    </row>
    <row r="964" spans="1:19">
      <c r="A964" s="16">
        <v>46280</v>
      </c>
      <c r="B964" s="8" t="s">
        <v>14</v>
      </c>
      <c r="C964" s="8" t="s">
        <v>9</v>
      </c>
      <c r="D964" s="15"/>
      <c r="E964" s="15">
        <v>410</v>
      </c>
      <c r="F964" s="15" t="s">
        <v>475</v>
      </c>
      <c r="G964" s="8" t="s">
        <v>474</v>
      </c>
      <c r="H964" s="14">
        <v>13714</v>
      </c>
      <c r="I964" s="13"/>
      <c r="J964" s="8" t="s">
        <v>22</v>
      </c>
      <c r="K964" s="8"/>
      <c r="L964" s="7"/>
      <c r="M964" s="7" t="str">
        <f>IF(C964="Caixa","-",VLOOKUP(J964,[1]Estrutura!C:E,3,FALSE))</f>
        <v>4.3</v>
      </c>
      <c r="N964" s="7"/>
      <c r="O964" s="7">
        <f t="shared" si="56"/>
        <v>15</v>
      </c>
      <c r="P964" s="7">
        <f t="shared" si="57"/>
        <v>9</v>
      </c>
      <c r="Q964" s="7">
        <f t="shared" si="58"/>
        <v>2026</v>
      </c>
      <c r="R964" s="6">
        <f t="shared" si="59"/>
        <v>-410</v>
      </c>
      <c r="S964" s="16">
        <v>46281</v>
      </c>
    </row>
    <row r="965" spans="1:19">
      <c r="A965" s="12">
        <v>46280</v>
      </c>
      <c r="B965" s="7" t="s">
        <v>14</v>
      </c>
      <c r="C965" s="7" t="s">
        <v>9</v>
      </c>
      <c r="D965" s="11"/>
      <c r="E965" s="11">
        <v>129.99</v>
      </c>
      <c r="F965" s="11" t="s">
        <v>24</v>
      </c>
      <c r="G965" s="7" t="s">
        <v>371</v>
      </c>
      <c r="H965" s="10"/>
      <c r="I965" s="9"/>
      <c r="J965" s="7" t="s">
        <v>22</v>
      </c>
      <c r="K965" s="7"/>
      <c r="L965" s="8"/>
      <c r="M965" s="8" t="str">
        <f>IF(C965="Caixa","-",VLOOKUP(J965,[1]Estrutura!C:E,3,FALSE))</f>
        <v>4.3</v>
      </c>
      <c r="N965" s="8"/>
      <c r="O965" s="7">
        <f t="shared" si="56"/>
        <v>15</v>
      </c>
      <c r="P965" s="7">
        <f t="shared" si="57"/>
        <v>9</v>
      </c>
      <c r="Q965" s="7">
        <f t="shared" si="58"/>
        <v>2026</v>
      </c>
      <c r="R965" s="6">
        <f t="shared" si="59"/>
        <v>-129.99</v>
      </c>
      <c r="S965" s="16">
        <v>46281</v>
      </c>
    </row>
    <row r="966" spans="1:19">
      <c r="A966" s="16">
        <v>46280</v>
      </c>
      <c r="B966" s="8" t="s">
        <v>26</v>
      </c>
      <c r="C966" s="8" t="s">
        <v>6</v>
      </c>
      <c r="D966" s="15"/>
      <c r="E966" s="15">
        <v>1053.45</v>
      </c>
      <c r="F966" s="15" t="s">
        <v>104</v>
      </c>
      <c r="G966" s="8" t="s">
        <v>473</v>
      </c>
      <c r="H966" s="14"/>
      <c r="I966" s="13"/>
      <c r="J966" s="8" t="s">
        <v>102</v>
      </c>
      <c r="K966" s="8" t="s">
        <v>21</v>
      </c>
      <c r="L966" s="7"/>
      <c r="M966" s="7" t="str">
        <f>IF(C966="Caixa","-",VLOOKUP(J966,[1]Estrutura!C:E,3,FALSE))</f>
        <v>4.5</v>
      </c>
      <c r="N966" s="7"/>
      <c r="O966" s="7">
        <f t="shared" si="56"/>
        <v>15</v>
      </c>
      <c r="P966" s="7">
        <f t="shared" si="57"/>
        <v>9</v>
      </c>
      <c r="Q966" s="7">
        <f t="shared" si="58"/>
        <v>2026</v>
      </c>
      <c r="R966" s="6">
        <f t="shared" si="59"/>
        <v>-1053.45</v>
      </c>
      <c r="S966" s="12">
        <v>46281</v>
      </c>
    </row>
    <row r="967" spans="1:19">
      <c r="A967" s="16">
        <v>46280</v>
      </c>
      <c r="B967" s="7" t="s">
        <v>26</v>
      </c>
      <c r="C967" s="7" t="s">
        <v>6</v>
      </c>
      <c r="D967" s="11"/>
      <c r="E967" s="11">
        <v>2000</v>
      </c>
      <c r="F967" s="7" t="s">
        <v>136</v>
      </c>
      <c r="G967" s="11" t="s">
        <v>137</v>
      </c>
      <c r="H967" s="10"/>
      <c r="I967" s="9"/>
      <c r="J967" s="7" t="s">
        <v>56</v>
      </c>
      <c r="K967" s="7" t="s">
        <v>136</v>
      </c>
      <c r="L967" s="8"/>
      <c r="M967" s="8" t="str">
        <f>IF(C967="Caixa","-",VLOOKUP(J967,[1]Estrutura!C:E,3,FALSE))</f>
        <v>6.1</v>
      </c>
      <c r="N967" s="8"/>
      <c r="O967" s="7">
        <f t="shared" si="56"/>
        <v>15</v>
      </c>
      <c r="P967" s="7">
        <f t="shared" si="57"/>
        <v>9</v>
      </c>
      <c r="Q967" s="7">
        <f t="shared" si="58"/>
        <v>2026</v>
      </c>
      <c r="R967" s="6">
        <f t="shared" si="59"/>
        <v>-2000</v>
      </c>
      <c r="S967" s="16">
        <v>46282</v>
      </c>
    </row>
    <row r="968" spans="1:19">
      <c r="A968" s="12">
        <v>46280</v>
      </c>
      <c r="B968" s="7" t="s">
        <v>26</v>
      </c>
      <c r="C968" s="7" t="s">
        <v>6</v>
      </c>
      <c r="D968" s="11"/>
      <c r="E968" s="11">
        <v>11.86</v>
      </c>
      <c r="F968" s="11" t="s">
        <v>155</v>
      </c>
      <c r="G968" s="7" t="s">
        <v>472</v>
      </c>
      <c r="H968" s="10"/>
      <c r="I968" s="9"/>
      <c r="J968" s="7" t="s">
        <v>153</v>
      </c>
      <c r="K968" s="7" t="s">
        <v>21</v>
      </c>
      <c r="L968" s="7"/>
      <c r="M968" s="7" t="str">
        <f>IF(C968="Caixa","-",VLOOKUP(J968,[1]Estrutura!C:E,3,FALSE))</f>
        <v>4.3</v>
      </c>
      <c r="N968" s="7"/>
      <c r="O968" s="7">
        <f t="shared" si="56"/>
        <v>15</v>
      </c>
      <c r="P968" s="7">
        <f t="shared" si="57"/>
        <v>9</v>
      </c>
      <c r="Q968" s="7">
        <f t="shared" si="58"/>
        <v>2026</v>
      </c>
      <c r="R968" s="6">
        <f t="shared" si="59"/>
        <v>-11.86</v>
      </c>
      <c r="S968" s="16">
        <v>46283</v>
      </c>
    </row>
    <row r="969" spans="1:19">
      <c r="A969" s="16">
        <v>46280</v>
      </c>
      <c r="B969" s="8" t="s">
        <v>26</v>
      </c>
      <c r="C969" s="8" t="s">
        <v>25</v>
      </c>
      <c r="D969" s="15"/>
      <c r="E969" s="15">
        <v>10000</v>
      </c>
      <c r="F969" s="15" t="s">
        <v>109</v>
      </c>
      <c r="G969" s="8" t="s">
        <v>278</v>
      </c>
      <c r="H969" s="14">
        <v>9935</v>
      </c>
      <c r="I969" s="13"/>
      <c r="J969" s="8" t="s">
        <v>17</v>
      </c>
      <c r="K969" s="8" t="s">
        <v>21</v>
      </c>
      <c r="L969" s="8"/>
      <c r="M969" s="8" t="str">
        <f>IF(C969="Caixa","-",VLOOKUP(J969,[1]Estrutura!C:E,3,FALSE))</f>
        <v>4.4</v>
      </c>
      <c r="N969" s="8"/>
      <c r="O969" s="7">
        <f t="shared" si="56"/>
        <v>15</v>
      </c>
      <c r="P969" s="7">
        <f t="shared" si="57"/>
        <v>9</v>
      </c>
      <c r="Q969" s="7">
        <f t="shared" si="58"/>
        <v>2026</v>
      </c>
      <c r="R969" s="6">
        <f t="shared" si="59"/>
        <v>-10000</v>
      </c>
      <c r="S969" s="16">
        <v>46284</v>
      </c>
    </row>
    <row r="970" spans="1:19">
      <c r="A970" s="12">
        <v>46280</v>
      </c>
      <c r="B970" s="7" t="s">
        <v>26</v>
      </c>
      <c r="C970" s="7" t="s">
        <v>6</v>
      </c>
      <c r="D970" s="11"/>
      <c r="E970" s="11">
        <v>821.41</v>
      </c>
      <c r="F970" s="15" t="s">
        <v>32</v>
      </c>
      <c r="G970" s="7" t="s">
        <v>471</v>
      </c>
      <c r="H970" s="10"/>
      <c r="I970" s="9"/>
      <c r="J970" s="7" t="s">
        <v>95</v>
      </c>
      <c r="K970" s="7" t="s">
        <v>21</v>
      </c>
      <c r="L970" s="7"/>
      <c r="M970" s="7" t="str">
        <f>IF(C970="Caixa","-",VLOOKUP(J970,[1]Estrutura!C:E,3,FALSE))</f>
        <v>4.1</v>
      </c>
      <c r="N970" s="7"/>
      <c r="O970" s="7">
        <f t="shared" si="56"/>
        <v>15</v>
      </c>
      <c r="P970" s="7">
        <f t="shared" si="57"/>
        <v>9</v>
      </c>
      <c r="Q970" s="7">
        <f t="shared" si="58"/>
        <v>2026</v>
      </c>
      <c r="R970" s="6">
        <f t="shared" si="59"/>
        <v>-821.41</v>
      </c>
      <c r="S970" s="16">
        <v>46284</v>
      </c>
    </row>
    <row r="971" spans="1:19">
      <c r="A971" s="16">
        <v>46280</v>
      </c>
      <c r="B971" s="8" t="s">
        <v>26</v>
      </c>
      <c r="C971" s="8" t="s">
        <v>6</v>
      </c>
      <c r="D971" s="15"/>
      <c r="E971" s="15">
        <v>6243.4</v>
      </c>
      <c r="F971" s="15" t="s">
        <v>157</v>
      </c>
      <c r="G971" s="7" t="s">
        <v>251</v>
      </c>
      <c r="H971" s="14"/>
      <c r="I971" s="13"/>
      <c r="J971" s="8" t="s">
        <v>250</v>
      </c>
      <c r="K971" s="7" t="s">
        <v>21</v>
      </c>
      <c r="L971" s="8"/>
      <c r="M971" s="8" t="str">
        <f>IF(C971="Caixa","-",VLOOKUP(J971,[1]Estrutura!C:E,3,FALSE))</f>
        <v>4.9</v>
      </c>
      <c r="N971" s="8"/>
      <c r="O971" s="7">
        <f t="shared" si="56"/>
        <v>15</v>
      </c>
      <c r="P971" s="7">
        <f t="shared" si="57"/>
        <v>9</v>
      </c>
      <c r="Q971" s="7">
        <f t="shared" si="58"/>
        <v>2026</v>
      </c>
      <c r="R971" s="6">
        <f t="shared" si="59"/>
        <v>-6243.4</v>
      </c>
      <c r="S971" s="12">
        <v>46284</v>
      </c>
    </row>
    <row r="972" spans="1:19">
      <c r="A972" s="16">
        <v>46280</v>
      </c>
      <c r="B972" s="7" t="s">
        <v>7</v>
      </c>
      <c r="C972" s="7" t="s">
        <v>9</v>
      </c>
      <c r="D972" s="15">
        <v>8493.4600000000009</v>
      </c>
      <c r="E972" s="15"/>
      <c r="F972" s="15"/>
      <c r="G972" s="8" t="s">
        <v>11</v>
      </c>
      <c r="H972" s="8"/>
      <c r="I972" s="17"/>
      <c r="J972" s="8" t="s">
        <v>10</v>
      </c>
      <c r="K972" s="8"/>
      <c r="L972" s="7"/>
      <c r="M972" s="7" t="str">
        <f>IF(C972="Caixa","-",VLOOKUP(J972,[1]Estrutura!C:E,3,FALSE))</f>
        <v>1.1</v>
      </c>
      <c r="N972" s="7"/>
      <c r="O972" s="7">
        <f t="shared" si="56"/>
        <v>15</v>
      </c>
      <c r="P972" s="7">
        <f t="shared" si="57"/>
        <v>9</v>
      </c>
      <c r="Q972" s="7">
        <f t="shared" si="58"/>
        <v>2026</v>
      </c>
      <c r="R972" s="6">
        <f t="shared" si="59"/>
        <v>8493.4600000000009</v>
      </c>
      <c r="S972" s="12">
        <v>46284</v>
      </c>
    </row>
    <row r="973" spans="1:19">
      <c r="A973" s="16">
        <v>46280</v>
      </c>
      <c r="B973" s="8" t="s">
        <v>7</v>
      </c>
      <c r="C973" s="8" t="s">
        <v>9</v>
      </c>
      <c r="D973" s="15"/>
      <c r="E973" s="15">
        <v>1259.29</v>
      </c>
      <c r="F973" s="15" t="s">
        <v>470</v>
      </c>
      <c r="G973" s="8" t="s">
        <v>469</v>
      </c>
      <c r="H973" s="14">
        <v>7559</v>
      </c>
      <c r="I973" s="13"/>
      <c r="J973" s="8" t="s">
        <v>173</v>
      </c>
      <c r="K973" s="8"/>
      <c r="L973" s="8"/>
      <c r="M973" s="8" t="str">
        <f>IF(C973="Caixa","-",VLOOKUP(J973,[1]Estrutura!C:E,3,FALSE))</f>
        <v>4.3</v>
      </c>
      <c r="N973" s="8"/>
      <c r="O973" s="7">
        <f t="shared" si="56"/>
        <v>15</v>
      </c>
      <c r="P973" s="7">
        <f t="shared" si="57"/>
        <v>9</v>
      </c>
      <c r="Q973" s="7">
        <f t="shared" si="58"/>
        <v>2026</v>
      </c>
      <c r="R973" s="6">
        <f t="shared" si="59"/>
        <v>-1259.29</v>
      </c>
      <c r="S973" s="16">
        <v>46284</v>
      </c>
    </row>
    <row r="974" spans="1:19">
      <c r="A974" s="12">
        <v>46280</v>
      </c>
      <c r="B974" s="7" t="s">
        <v>7</v>
      </c>
      <c r="C974" s="7" t="s">
        <v>9</v>
      </c>
      <c r="D974" s="11"/>
      <c r="E974" s="11">
        <v>2717.81</v>
      </c>
      <c r="F974" s="11" t="s">
        <v>104</v>
      </c>
      <c r="G974" s="7" t="s">
        <v>468</v>
      </c>
      <c r="H974" s="10"/>
      <c r="I974" s="9"/>
      <c r="J974" s="8" t="s">
        <v>102</v>
      </c>
      <c r="K974" s="7"/>
      <c r="L974" s="7"/>
      <c r="M974" s="7" t="str">
        <f>IF(C974="Caixa","-",VLOOKUP(J974,[1]Estrutura!C:E,3,FALSE))</f>
        <v>4.5</v>
      </c>
      <c r="N974" s="7"/>
      <c r="O974" s="7">
        <f t="shared" ref="O974:O1037" si="60">DAY(A974)</f>
        <v>15</v>
      </c>
      <c r="P974" s="7">
        <f t="shared" ref="P974:P1037" si="61">MONTH(A974)</f>
        <v>9</v>
      </c>
      <c r="Q974" s="7">
        <f t="shared" ref="Q974:Q1037" si="62">YEAR(A974)</f>
        <v>2026</v>
      </c>
      <c r="R974" s="6">
        <f t="shared" ref="R974:R1037" si="63">D974-E974</f>
        <v>-2717.81</v>
      </c>
      <c r="S974" s="12">
        <v>46284</v>
      </c>
    </row>
    <row r="975" spans="1:19">
      <c r="A975" s="12">
        <v>46280</v>
      </c>
      <c r="B975" s="7" t="s">
        <v>7</v>
      </c>
      <c r="C975" s="7" t="s">
        <v>9</v>
      </c>
      <c r="D975" s="11"/>
      <c r="E975" s="11">
        <v>895.08</v>
      </c>
      <c r="F975" s="11" t="s">
        <v>97</v>
      </c>
      <c r="G975" s="7" t="s">
        <v>456</v>
      </c>
      <c r="H975" s="10"/>
      <c r="I975" s="9"/>
      <c r="J975" s="7" t="s">
        <v>95</v>
      </c>
      <c r="K975" s="7"/>
      <c r="L975" s="8"/>
      <c r="M975" s="8" t="str">
        <f>IF(C975="Caixa","-",VLOOKUP(J975,[1]Estrutura!C:E,3,FALSE))</f>
        <v>4.1</v>
      </c>
      <c r="N975" s="8"/>
      <c r="O975" s="7">
        <f t="shared" si="60"/>
        <v>15</v>
      </c>
      <c r="P975" s="7">
        <f t="shared" si="61"/>
        <v>9</v>
      </c>
      <c r="Q975" s="7">
        <f t="shared" si="62"/>
        <v>2026</v>
      </c>
      <c r="R975" s="6">
        <f t="shared" si="63"/>
        <v>-895.08</v>
      </c>
      <c r="S975" s="16">
        <v>46284</v>
      </c>
    </row>
    <row r="976" spans="1:19">
      <c r="A976" s="16">
        <v>46281</v>
      </c>
      <c r="B976" s="8" t="s">
        <v>14</v>
      </c>
      <c r="C976" s="7" t="s">
        <v>9</v>
      </c>
      <c r="D976" s="15">
        <v>2783.2</v>
      </c>
      <c r="E976" s="15"/>
      <c r="F976" s="15"/>
      <c r="G976" s="8" t="s">
        <v>11</v>
      </c>
      <c r="H976" s="8"/>
      <c r="I976" s="17"/>
      <c r="J976" s="8" t="s">
        <v>10</v>
      </c>
      <c r="K976" s="8"/>
      <c r="L976" s="7"/>
      <c r="M976" s="7" t="str">
        <f>IF(C976="Caixa","-",VLOOKUP(J976,[1]Estrutura!C:E,3,FALSE))</f>
        <v>1.1</v>
      </c>
      <c r="N976" s="7"/>
      <c r="O976" s="7">
        <f t="shared" si="60"/>
        <v>16</v>
      </c>
      <c r="P976" s="7">
        <f t="shared" si="61"/>
        <v>9</v>
      </c>
      <c r="Q976" s="7">
        <f t="shared" si="62"/>
        <v>2026</v>
      </c>
      <c r="R976" s="6">
        <f t="shared" si="63"/>
        <v>2783.2</v>
      </c>
      <c r="S976" s="12">
        <v>46284</v>
      </c>
    </row>
    <row r="977" spans="1:19">
      <c r="A977" s="16">
        <v>46281</v>
      </c>
      <c r="B977" s="7" t="s">
        <v>14</v>
      </c>
      <c r="C977" s="7" t="s">
        <v>9</v>
      </c>
      <c r="D977" s="11"/>
      <c r="E977" s="11">
        <v>700.74</v>
      </c>
      <c r="F977" s="11" t="s">
        <v>24</v>
      </c>
      <c r="G977" s="7" t="s">
        <v>126</v>
      </c>
      <c r="H977" s="10"/>
      <c r="I977" s="9"/>
      <c r="J977" s="7" t="s">
        <v>77</v>
      </c>
      <c r="K977" s="8"/>
      <c r="L977" s="8"/>
      <c r="M977" s="8" t="str">
        <f>IF(C977="Caixa","-",VLOOKUP(J977,[1]Estrutura!C:E,3,FALSE))</f>
        <v>4.3</v>
      </c>
      <c r="N977" s="8"/>
      <c r="O977" s="7">
        <f t="shared" si="60"/>
        <v>16</v>
      </c>
      <c r="P977" s="7">
        <f t="shared" si="61"/>
        <v>9</v>
      </c>
      <c r="Q977" s="7">
        <f t="shared" si="62"/>
        <v>2026</v>
      </c>
      <c r="R977" s="6">
        <f t="shared" si="63"/>
        <v>-700.74</v>
      </c>
      <c r="S977" s="16">
        <v>46284</v>
      </c>
    </row>
    <row r="978" spans="1:19">
      <c r="A978" s="12">
        <v>46281</v>
      </c>
      <c r="B978" s="7" t="s">
        <v>14</v>
      </c>
      <c r="C978" s="7" t="s">
        <v>9</v>
      </c>
      <c r="D978" s="11"/>
      <c r="E978" s="11">
        <v>682.64</v>
      </c>
      <c r="F978" s="11" t="s">
        <v>328</v>
      </c>
      <c r="G978" s="7" t="s">
        <v>467</v>
      </c>
      <c r="H978" s="10"/>
      <c r="I978" s="9"/>
      <c r="J978" s="7" t="s">
        <v>250</v>
      </c>
      <c r="K978" s="7"/>
      <c r="L978" s="7"/>
      <c r="M978" s="7" t="str">
        <f>IF(C978="Caixa","-",VLOOKUP(J978,[1]Estrutura!C:E,3,FALSE))</f>
        <v>4.9</v>
      </c>
      <c r="N978" s="7"/>
      <c r="O978" s="7">
        <f t="shared" si="60"/>
        <v>16</v>
      </c>
      <c r="P978" s="7">
        <f t="shared" si="61"/>
        <v>9</v>
      </c>
      <c r="Q978" s="7">
        <f t="shared" si="62"/>
        <v>2026</v>
      </c>
      <c r="R978" s="6">
        <f t="shared" si="63"/>
        <v>-682.64</v>
      </c>
      <c r="S978" s="12">
        <v>46284</v>
      </c>
    </row>
    <row r="979" spans="1:19">
      <c r="A979" s="16">
        <v>46281</v>
      </c>
      <c r="B979" s="7" t="s">
        <v>7</v>
      </c>
      <c r="C979" s="7" t="s">
        <v>9</v>
      </c>
      <c r="D979" s="15">
        <v>6941.13</v>
      </c>
      <c r="E979" s="15"/>
      <c r="F979" s="15"/>
      <c r="G979" s="8" t="s">
        <v>11</v>
      </c>
      <c r="H979" s="8"/>
      <c r="I979" s="17"/>
      <c r="J979" s="8" t="s">
        <v>10</v>
      </c>
      <c r="K979" s="8"/>
      <c r="L979" s="8"/>
      <c r="M979" s="8" t="str">
        <f>IF(C979="Caixa","-",VLOOKUP(J979,[1]Estrutura!C:E,3,FALSE))</f>
        <v>1.1</v>
      </c>
      <c r="N979" s="8"/>
      <c r="O979" s="7">
        <f t="shared" si="60"/>
        <v>16</v>
      </c>
      <c r="P979" s="7">
        <f t="shared" si="61"/>
        <v>9</v>
      </c>
      <c r="Q979" s="7">
        <f t="shared" si="62"/>
        <v>2026</v>
      </c>
      <c r="R979" s="6">
        <f t="shared" si="63"/>
        <v>6941.13</v>
      </c>
      <c r="S979" s="16">
        <v>46284</v>
      </c>
    </row>
    <row r="980" spans="1:19">
      <c r="A980" s="16">
        <v>46281</v>
      </c>
      <c r="B980" s="8" t="s">
        <v>7</v>
      </c>
      <c r="C980" s="8" t="s">
        <v>9</v>
      </c>
      <c r="D980" s="15"/>
      <c r="E980" s="15">
        <v>669.48</v>
      </c>
      <c r="F980" s="15" t="s">
        <v>328</v>
      </c>
      <c r="G980" s="8" t="s">
        <v>466</v>
      </c>
      <c r="H980" s="14"/>
      <c r="I980" s="13"/>
      <c r="J980" s="8" t="s">
        <v>250</v>
      </c>
      <c r="K980" s="8"/>
      <c r="L980" s="7"/>
      <c r="M980" s="7" t="str">
        <f>IF(C980="Caixa","-",VLOOKUP(J980,[1]Estrutura!C:E,3,FALSE))</f>
        <v>4.9</v>
      </c>
      <c r="N980" s="7"/>
      <c r="O980" s="7">
        <f t="shared" si="60"/>
        <v>16</v>
      </c>
      <c r="P980" s="7">
        <f t="shared" si="61"/>
        <v>9</v>
      </c>
      <c r="Q980" s="7">
        <f t="shared" si="62"/>
        <v>2026</v>
      </c>
      <c r="R980" s="6">
        <f t="shared" si="63"/>
        <v>-669.48</v>
      </c>
      <c r="S980" s="12">
        <v>46284</v>
      </c>
    </row>
    <row r="981" spans="1:19">
      <c r="A981" s="12">
        <v>46281</v>
      </c>
      <c r="B981" s="7" t="s">
        <v>7</v>
      </c>
      <c r="C981" s="7" t="s">
        <v>9</v>
      </c>
      <c r="D981" s="11"/>
      <c r="E981" s="11">
        <v>753.17</v>
      </c>
      <c r="F981" s="11" t="s">
        <v>328</v>
      </c>
      <c r="G981" s="7" t="s">
        <v>465</v>
      </c>
      <c r="H981" s="10"/>
      <c r="I981" s="9"/>
      <c r="J981" s="7" t="s">
        <v>250</v>
      </c>
      <c r="K981" s="7"/>
      <c r="L981" s="8"/>
      <c r="M981" s="8" t="str">
        <f>IF(C981="Caixa","-",VLOOKUP(J981,[1]Estrutura!C:E,3,FALSE))</f>
        <v>4.9</v>
      </c>
      <c r="N981" s="8"/>
      <c r="O981" s="7">
        <f t="shared" si="60"/>
        <v>16</v>
      </c>
      <c r="P981" s="7">
        <f t="shared" si="61"/>
        <v>9</v>
      </c>
      <c r="Q981" s="7">
        <f t="shared" si="62"/>
        <v>2026</v>
      </c>
      <c r="R981" s="6">
        <f t="shared" si="63"/>
        <v>-753.17</v>
      </c>
      <c r="S981" s="16">
        <v>46284</v>
      </c>
    </row>
    <row r="982" spans="1:19">
      <c r="A982" s="16">
        <v>46282</v>
      </c>
      <c r="B982" s="8" t="s">
        <v>14</v>
      </c>
      <c r="C982" s="7" t="s">
        <v>9</v>
      </c>
      <c r="D982" s="15">
        <v>1240.02</v>
      </c>
      <c r="E982" s="15"/>
      <c r="F982" s="15"/>
      <c r="G982" s="8" t="s">
        <v>11</v>
      </c>
      <c r="H982" s="8"/>
      <c r="I982" s="17"/>
      <c r="J982" s="8" t="s">
        <v>10</v>
      </c>
      <c r="K982" s="8"/>
      <c r="L982" s="7"/>
      <c r="M982" s="7" t="str">
        <f>IF(C982="Caixa","-",VLOOKUP(J982,[1]Estrutura!C:E,3,FALSE))</f>
        <v>1.1</v>
      </c>
      <c r="N982" s="7"/>
      <c r="O982" s="7">
        <f t="shared" si="60"/>
        <v>17</v>
      </c>
      <c r="P982" s="7">
        <f t="shared" si="61"/>
        <v>9</v>
      </c>
      <c r="Q982" s="7">
        <f t="shared" si="62"/>
        <v>2026</v>
      </c>
      <c r="R982" s="6">
        <f t="shared" si="63"/>
        <v>1240.02</v>
      </c>
      <c r="S982" s="12">
        <v>46284</v>
      </c>
    </row>
    <row r="983" spans="1:19">
      <c r="A983" s="16">
        <v>46283</v>
      </c>
      <c r="B983" s="7" t="s">
        <v>7</v>
      </c>
      <c r="C983" s="7" t="s">
        <v>9</v>
      </c>
      <c r="D983" s="15">
        <v>4132.76</v>
      </c>
      <c r="E983" s="15"/>
      <c r="F983" s="15"/>
      <c r="G983" s="8" t="s">
        <v>11</v>
      </c>
      <c r="H983" s="8"/>
      <c r="I983" s="17"/>
      <c r="J983" s="8" t="s">
        <v>10</v>
      </c>
      <c r="K983" s="8"/>
      <c r="L983" s="8"/>
      <c r="M983" s="8" t="str">
        <f>IF(C983="Caixa","-",VLOOKUP(J983,[1]Estrutura!C:E,3,FALSE))</f>
        <v>1.1</v>
      </c>
      <c r="N983" s="8"/>
      <c r="O983" s="7">
        <f t="shared" si="60"/>
        <v>18</v>
      </c>
      <c r="P983" s="7">
        <f t="shared" si="61"/>
        <v>9</v>
      </c>
      <c r="Q983" s="7">
        <f t="shared" si="62"/>
        <v>2026</v>
      </c>
      <c r="R983" s="6">
        <f t="shared" si="63"/>
        <v>4132.76</v>
      </c>
      <c r="S983" s="16">
        <v>46284</v>
      </c>
    </row>
    <row r="984" spans="1:19">
      <c r="A984" s="16">
        <v>46284</v>
      </c>
      <c r="B984" s="8" t="s">
        <v>14</v>
      </c>
      <c r="C984" s="8" t="s">
        <v>9</v>
      </c>
      <c r="D984" s="15">
        <v>1897.83</v>
      </c>
      <c r="E984" s="15"/>
      <c r="F984" s="15" t="s">
        <v>157</v>
      </c>
      <c r="G984" s="8" t="s">
        <v>457</v>
      </c>
      <c r="H984" s="14"/>
      <c r="I984" s="13"/>
      <c r="J984" s="8" t="s">
        <v>178</v>
      </c>
      <c r="K984" s="8"/>
      <c r="L984" s="7"/>
      <c r="M984" s="7" t="str">
        <f>IF(C984="Caixa","-",VLOOKUP(J984,[1]Estrutura!C:E,3,FALSE))</f>
        <v>4.1</v>
      </c>
      <c r="N984" s="7"/>
      <c r="O984" s="7">
        <f t="shared" si="60"/>
        <v>19</v>
      </c>
      <c r="P984" s="7">
        <f t="shared" si="61"/>
        <v>9</v>
      </c>
      <c r="Q984" s="7">
        <f t="shared" si="62"/>
        <v>2026</v>
      </c>
      <c r="R984" s="6">
        <f t="shared" si="63"/>
        <v>1897.83</v>
      </c>
      <c r="S984" s="12">
        <v>46284</v>
      </c>
    </row>
    <row r="985" spans="1:19">
      <c r="A985" s="16">
        <v>46284</v>
      </c>
      <c r="B985" s="8" t="s">
        <v>14</v>
      </c>
      <c r="C985" s="7" t="s">
        <v>9</v>
      </c>
      <c r="D985" s="15">
        <v>2112.06</v>
      </c>
      <c r="E985" s="15"/>
      <c r="F985" s="15"/>
      <c r="G985" s="8" t="s">
        <v>11</v>
      </c>
      <c r="H985" s="8"/>
      <c r="I985" s="17"/>
      <c r="J985" s="8" t="s">
        <v>10</v>
      </c>
      <c r="K985" s="8"/>
      <c r="L985" s="8"/>
      <c r="M985" s="8" t="str">
        <f>IF(C985="Caixa","-",VLOOKUP(J985,[1]Estrutura!C:E,3,FALSE))</f>
        <v>1.1</v>
      </c>
      <c r="N985" s="8"/>
      <c r="O985" s="7">
        <f t="shared" si="60"/>
        <v>19</v>
      </c>
      <c r="P985" s="7">
        <f t="shared" si="61"/>
        <v>9</v>
      </c>
      <c r="Q985" s="7">
        <f t="shared" si="62"/>
        <v>2026</v>
      </c>
      <c r="R985" s="6">
        <f t="shared" si="63"/>
        <v>2112.06</v>
      </c>
      <c r="S985" s="16">
        <v>46284</v>
      </c>
    </row>
    <row r="986" spans="1:19">
      <c r="A986" s="12">
        <v>46284</v>
      </c>
      <c r="B986" s="7" t="s">
        <v>14</v>
      </c>
      <c r="C986" s="7" t="s">
        <v>9</v>
      </c>
      <c r="D986" s="11"/>
      <c r="E986" s="11">
        <v>384.7</v>
      </c>
      <c r="F986" s="11" t="s">
        <v>352</v>
      </c>
      <c r="G986" s="7" t="s">
        <v>117</v>
      </c>
      <c r="H986" s="10"/>
      <c r="I986" s="9"/>
      <c r="J986" s="21" t="s">
        <v>210</v>
      </c>
      <c r="K986" s="7"/>
      <c r="L986" s="7"/>
      <c r="M986" s="7" t="str">
        <f>IF(C986="Caixa","-",VLOOKUP(J986,[1]Estrutura!C:E,3,FALSE))</f>
        <v>4.12</v>
      </c>
      <c r="N986" s="7"/>
      <c r="O986" s="7">
        <f t="shared" si="60"/>
        <v>19</v>
      </c>
      <c r="P986" s="7">
        <f t="shared" si="61"/>
        <v>9</v>
      </c>
      <c r="Q986" s="7">
        <f t="shared" si="62"/>
        <v>2026</v>
      </c>
      <c r="R986" s="6">
        <f t="shared" si="63"/>
        <v>-384.7</v>
      </c>
      <c r="S986" s="12">
        <v>46284</v>
      </c>
    </row>
    <row r="987" spans="1:19">
      <c r="A987" s="12">
        <v>46284</v>
      </c>
      <c r="B987" s="7" t="s">
        <v>14</v>
      </c>
      <c r="C987" s="7" t="s">
        <v>9</v>
      </c>
      <c r="D987" s="11"/>
      <c r="E987" s="11">
        <v>2170.79</v>
      </c>
      <c r="F987" s="11" t="s">
        <v>178</v>
      </c>
      <c r="G987" s="7" t="s">
        <v>464</v>
      </c>
      <c r="H987" s="10"/>
      <c r="I987" s="9"/>
      <c r="J987" s="7" t="s">
        <v>178</v>
      </c>
      <c r="K987" s="7"/>
      <c r="L987" s="8"/>
      <c r="M987" s="8" t="str">
        <f>IF(C987="Caixa","-",VLOOKUP(J987,[1]Estrutura!C:E,3,FALSE))</f>
        <v>4.1</v>
      </c>
      <c r="N987" s="8"/>
      <c r="O987" s="7">
        <f t="shared" si="60"/>
        <v>19</v>
      </c>
      <c r="P987" s="7">
        <f t="shared" si="61"/>
        <v>9</v>
      </c>
      <c r="Q987" s="7">
        <f t="shared" si="62"/>
        <v>2026</v>
      </c>
      <c r="R987" s="6">
        <f t="shared" si="63"/>
        <v>-2170.79</v>
      </c>
      <c r="S987" s="16">
        <v>46284</v>
      </c>
    </row>
    <row r="988" spans="1:19">
      <c r="A988" s="16">
        <v>46284</v>
      </c>
      <c r="B988" s="8" t="s">
        <v>14</v>
      </c>
      <c r="C988" s="8" t="s">
        <v>9</v>
      </c>
      <c r="D988" s="15"/>
      <c r="E988" s="15">
        <v>1897.83</v>
      </c>
      <c r="F988" s="15" t="s">
        <v>178</v>
      </c>
      <c r="G988" s="8" t="s">
        <v>463</v>
      </c>
      <c r="H988" s="14"/>
      <c r="I988" s="13"/>
      <c r="J988" s="8" t="s">
        <v>178</v>
      </c>
      <c r="K988" s="8"/>
      <c r="L988" s="7"/>
      <c r="M988" s="7" t="str">
        <f>IF(C988="Caixa","-",VLOOKUP(J988,[1]Estrutura!C:E,3,FALSE))</f>
        <v>4.1</v>
      </c>
      <c r="N988" s="7"/>
      <c r="O988" s="7">
        <f t="shared" si="60"/>
        <v>19</v>
      </c>
      <c r="P988" s="7">
        <f t="shared" si="61"/>
        <v>9</v>
      </c>
      <c r="Q988" s="7">
        <f t="shared" si="62"/>
        <v>2026</v>
      </c>
      <c r="R988" s="6">
        <f t="shared" si="63"/>
        <v>-1897.83</v>
      </c>
      <c r="S988" s="12">
        <v>46284</v>
      </c>
    </row>
    <row r="989" spans="1:19">
      <c r="A989" s="12">
        <v>46284</v>
      </c>
      <c r="B989" s="7" t="s">
        <v>14</v>
      </c>
      <c r="C989" s="7" t="s">
        <v>9</v>
      </c>
      <c r="D989" s="11"/>
      <c r="E989" s="11">
        <v>8089.57</v>
      </c>
      <c r="F989" s="11" t="s">
        <v>97</v>
      </c>
      <c r="G989" s="7" t="s">
        <v>462</v>
      </c>
      <c r="H989" s="10"/>
      <c r="I989" s="9"/>
      <c r="J989" s="7" t="s">
        <v>95</v>
      </c>
      <c r="K989" s="7"/>
      <c r="L989" s="8"/>
      <c r="M989" s="8" t="str">
        <f>IF(C989="Caixa","-",VLOOKUP(J989,[1]Estrutura!C:E,3,FALSE))</f>
        <v>4.1</v>
      </c>
      <c r="N989" s="8"/>
      <c r="O989" s="7">
        <f t="shared" si="60"/>
        <v>19</v>
      </c>
      <c r="P989" s="7">
        <f t="shared" si="61"/>
        <v>9</v>
      </c>
      <c r="Q989" s="7">
        <f t="shared" si="62"/>
        <v>2026</v>
      </c>
      <c r="R989" s="6">
        <f t="shared" si="63"/>
        <v>-8089.57</v>
      </c>
      <c r="S989" s="16">
        <v>46284</v>
      </c>
    </row>
    <row r="990" spans="1:19">
      <c r="A990" s="16">
        <v>46284</v>
      </c>
      <c r="B990" s="8" t="s">
        <v>14</v>
      </c>
      <c r="C990" s="8" t="s">
        <v>9</v>
      </c>
      <c r="D990" s="15"/>
      <c r="E990" s="46">
        <v>495.48</v>
      </c>
      <c r="F990" s="15" t="s">
        <v>328</v>
      </c>
      <c r="G990" s="8" t="s">
        <v>461</v>
      </c>
      <c r="H990" s="14"/>
      <c r="I990" s="13"/>
      <c r="J990" s="8" t="s">
        <v>250</v>
      </c>
      <c r="K990" s="8"/>
      <c r="L990" s="7"/>
      <c r="M990" s="7" t="str">
        <f>IF(C990="Caixa","-",VLOOKUP(J990,[1]Estrutura!C:E,3,FALSE))</f>
        <v>4.9</v>
      </c>
      <c r="N990" s="7"/>
      <c r="O990" s="7">
        <f t="shared" si="60"/>
        <v>19</v>
      </c>
      <c r="P990" s="7">
        <f t="shared" si="61"/>
        <v>9</v>
      </c>
      <c r="Q990" s="7">
        <f t="shared" si="62"/>
        <v>2026</v>
      </c>
      <c r="R990" s="6">
        <f t="shared" si="63"/>
        <v>-495.48</v>
      </c>
      <c r="S990" s="12">
        <v>46284</v>
      </c>
    </row>
    <row r="991" spans="1:19">
      <c r="A991" s="12">
        <v>46284</v>
      </c>
      <c r="B991" s="7" t="s">
        <v>14</v>
      </c>
      <c r="C991" s="7" t="s">
        <v>9</v>
      </c>
      <c r="D991" s="11"/>
      <c r="E991" s="11">
        <v>309</v>
      </c>
      <c r="F991" s="11" t="s">
        <v>328</v>
      </c>
      <c r="G991" s="7" t="s">
        <v>460</v>
      </c>
      <c r="H991" s="10"/>
      <c r="I991" s="9"/>
      <c r="J991" s="7" t="s">
        <v>250</v>
      </c>
      <c r="K991" s="7"/>
      <c r="L991" s="8"/>
      <c r="M991" s="8" t="str">
        <f>IF(C991="Caixa","-",VLOOKUP(J991,[1]Estrutura!C:E,3,FALSE))</f>
        <v>4.9</v>
      </c>
      <c r="N991" s="8"/>
      <c r="O991" s="7">
        <f t="shared" si="60"/>
        <v>19</v>
      </c>
      <c r="P991" s="7">
        <f t="shared" si="61"/>
        <v>9</v>
      </c>
      <c r="Q991" s="7">
        <f t="shared" si="62"/>
        <v>2026</v>
      </c>
      <c r="R991" s="6">
        <f t="shared" si="63"/>
        <v>-309</v>
      </c>
      <c r="S991" s="16">
        <v>46284</v>
      </c>
    </row>
    <row r="992" spans="1:19">
      <c r="A992" s="16">
        <v>46284</v>
      </c>
      <c r="B992" s="8" t="s">
        <v>14</v>
      </c>
      <c r="C992" s="8" t="s">
        <v>9</v>
      </c>
      <c r="D992" s="15"/>
      <c r="E992" s="15">
        <v>428.94</v>
      </c>
      <c r="F992" s="15" t="s">
        <v>328</v>
      </c>
      <c r="G992" s="8" t="s">
        <v>459</v>
      </c>
      <c r="H992" s="14"/>
      <c r="I992" s="13"/>
      <c r="J992" s="8" t="s">
        <v>250</v>
      </c>
      <c r="K992" s="8"/>
      <c r="L992" s="7"/>
      <c r="M992" s="7" t="str">
        <f>IF(C992="Caixa","-",VLOOKUP(J992,[1]Estrutura!C:E,3,FALSE))</f>
        <v>4.9</v>
      </c>
      <c r="N992" s="7"/>
      <c r="O992" s="7">
        <f t="shared" si="60"/>
        <v>19</v>
      </c>
      <c r="P992" s="7">
        <f t="shared" si="61"/>
        <v>9</v>
      </c>
      <c r="Q992" s="7">
        <f t="shared" si="62"/>
        <v>2026</v>
      </c>
      <c r="R992" s="6">
        <f t="shared" si="63"/>
        <v>-428.94</v>
      </c>
      <c r="S992" s="12">
        <v>46284</v>
      </c>
    </row>
    <row r="993" spans="1:19">
      <c r="A993" s="12">
        <v>46284</v>
      </c>
      <c r="B993" s="7" t="s">
        <v>14</v>
      </c>
      <c r="C993" s="7" t="s">
        <v>9</v>
      </c>
      <c r="D993" s="11"/>
      <c r="E993" s="11">
        <v>428.94</v>
      </c>
      <c r="F993" s="11" t="s">
        <v>328</v>
      </c>
      <c r="G993" s="7" t="s">
        <v>459</v>
      </c>
      <c r="H993" s="10"/>
      <c r="I993" s="9"/>
      <c r="J993" s="7" t="s">
        <v>250</v>
      </c>
      <c r="K993" s="7"/>
      <c r="L993" s="8"/>
      <c r="M993" s="8" t="str">
        <f>IF(C993="Caixa","-",VLOOKUP(J993,[1]Estrutura!C:E,3,FALSE))</f>
        <v>4.9</v>
      </c>
      <c r="N993" s="8"/>
      <c r="O993" s="7">
        <f t="shared" si="60"/>
        <v>19</v>
      </c>
      <c r="P993" s="7">
        <f t="shared" si="61"/>
        <v>9</v>
      </c>
      <c r="Q993" s="7">
        <f t="shared" si="62"/>
        <v>2026</v>
      </c>
      <c r="R993" s="6">
        <f t="shared" si="63"/>
        <v>-428.94</v>
      </c>
      <c r="S993" s="16">
        <v>46284</v>
      </c>
    </row>
    <row r="994" spans="1:19">
      <c r="A994" s="16">
        <v>46284</v>
      </c>
      <c r="B994" s="8" t="s">
        <v>14</v>
      </c>
      <c r="C994" s="8" t="s">
        <v>9</v>
      </c>
      <c r="D994" s="15"/>
      <c r="E994" s="15">
        <v>219.44</v>
      </c>
      <c r="F994" s="15" t="s">
        <v>347</v>
      </c>
      <c r="G994" s="8" t="s">
        <v>458</v>
      </c>
      <c r="H994" s="14"/>
      <c r="I994" s="13"/>
      <c r="J994" s="8" t="s">
        <v>250</v>
      </c>
      <c r="K994" s="8"/>
      <c r="L994" s="7"/>
      <c r="M994" s="7" t="str">
        <f>IF(C994="Caixa","-",VLOOKUP(J994,[1]Estrutura!C:E,3,FALSE))</f>
        <v>4.9</v>
      </c>
      <c r="N994" s="7"/>
      <c r="O994" s="7">
        <f t="shared" si="60"/>
        <v>19</v>
      </c>
      <c r="P994" s="7">
        <f t="shared" si="61"/>
        <v>9</v>
      </c>
      <c r="Q994" s="7">
        <f t="shared" si="62"/>
        <v>2026</v>
      </c>
      <c r="R994" s="6">
        <f t="shared" si="63"/>
        <v>-219.44</v>
      </c>
      <c r="S994" s="12">
        <v>46284</v>
      </c>
    </row>
    <row r="995" spans="1:19">
      <c r="A995" s="12">
        <v>46284</v>
      </c>
      <c r="B995" s="7" t="s">
        <v>26</v>
      </c>
      <c r="C995" s="7" t="s">
        <v>6</v>
      </c>
      <c r="D995" s="11"/>
      <c r="E995" s="11">
        <v>1897.83</v>
      </c>
      <c r="F995" s="15" t="s">
        <v>178</v>
      </c>
      <c r="G995" s="7" t="s">
        <v>457</v>
      </c>
      <c r="H995" s="10"/>
      <c r="I995" s="9"/>
      <c r="J995" s="7" t="s">
        <v>178</v>
      </c>
      <c r="K995" s="18" t="s">
        <v>34</v>
      </c>
      <c r="L995" s="8"/>
      <c r="M995" s="8" t="str">
        <f>IF(C995="Caixa","-",VLOOKUP(J995,[1]Estrutura!C:E,3,FALSE))</f>
        <v>4.1</v>
      </c>
      <c r="N995" s="8"/>
      <c r="O995" s="7">
        <f t="shared" si="60"/>
        <v>19</v>
      </c>
      <c r="P995" s="7">
        <f t="shared" si="61"/>
        <v>9</v>
      </c>
      <c r="Q995" s="7">
        <f t="shared" si="62"/>
        <v>2026</v>
      </c>
      <c r="R995" s="6">
        <f t="shared" si="63"/>
        <v>-1897.83</v>
      </c>
      <c r="S995" s="16">
        <v>46284</v>
      </c>
    </row>
    <row r="996" spans="1:19">
      <c r="A996" s="16">
        <v>46284</v>
      </c>
      <c r="B996" s="8" t="s">
        <v>26</v>
      </c>
      <c r="C996" s="8" t="s">
        <v>25</v>
      </c>
      <c r="D996" s="15"/>
      <c r="E996" s="15">
        <v>5000</v>
      </c>
      <c r="F996" s="15" t="s">
        <v>109</v>
      </c>
      <c r="G996" s="8" t="s">
        <v>278</v>
      </c>
      <c r="H996" s="14">
        <v>9936</v>
      </c>
      <c r="I996" s="13"/>
      <c r="J996" s="8" t="s">
        <v>17</v>
      </c>
      <c r="K996" s="8" t="s">
        <v>21</v>
      </c>
      <c r="L996" s="7"/>
      <c r="M996" s="7" t="str">
        <f>IF(C996="Caixa","-",VLOOKUP(J996,[1]Estrutura!C:E,3,FALSE))</f>
        <v>4.4</v>
      </c>
      <c r="N996" s="7"/>
      <c r="O996" s="7">
        <f t="shared" si="60"/>
        <v>19</v>
      </c>
      <c r="P996" s="7">
        <f t="shared" si="61"/>
        <v>9</v>
      </c>
      <c r="Q996" s="7">
        <f t="shared" si="62"/>
        <v>2026</v>
      </c>
      <c r="R996" s="6">
        <f t="shared" si="63"/>
        <v>-5000</v>
      </c>
      <c r="S996" s="12">
        <v>46284</v>
      </c>
    </row>
    <row r="997" spans="1:19">
      <c r="A997" s="12">
        <v>46284</v>
      </c>
      <c r="B997" s="7" t="s">
        <v>26</v>
      </c>
      <c r="C997" s="7" t="s">
        <v>6</v>
      </c>
      <c r="D997" s="11"/>
      <c r="E997" s="11">
        <v>2761.65</v>
      </c>
      <c r="F997" s="15" t="s">
        <v>32</v>
      </c>
      <c r="G997" s="11" t="s">
        <v>456</v>
      </c>
      <c r="H997" s="10"/>
      <c r="I997" s="9"/>
      <c r="J997" s="7" t="s">
        <v>95</v>
      </c>
      <c r="K997" s="18" t="s">
        <v>34</v>
      </c>
      <c r="L997" s="8"/>
      <c r="M997" s="8" t="str">
        <f>IF(C997="Caixa","-",VLOOKUP(J997,[1]Estrutura!C:E,3,FALSE))</f>
        <v>4.1</v>
      </c>
      <c r="N997" s="8"/>
      <c r="O997" s="7">
        <f t="shared" si="60"/>
        <v>19</v>
      </c>
      <c r="P997" s="7">
        <f t="shared" si="61"/>
        <v>9</v>
      </c>
      <c r="Q997" s="7">
        <f t="shared" si="62"/>
        <v>2026</v>
      </c>
      <c r="R997" s="6">
        <f t="shared" si="63"/>
        <v>-2761.65</v>
      </c>
      <c r="S997" s="16">
        <v>46284</v>
      </c>
    </row>
    <row r="998" spans="1:19">
      <c r="A998" s="16">
        <v>46284</v>
      </c>
      <c r="B998" s="8" t="s">
        <v>26</v>
      </c>
      <c r="C998" s="8" t="s">
        <v>6</v>
      </c>
      <c r="D998" s="15"/>
      <c r="E998" s="15">
        <v>550</v>
      </c>
      <c r="F998" s="15" t="s">
        <v>455</v>
      </c>
      <c r="G998" s="8" t="s">
        <v>454</v>
      </c>
      <c r="H998" s="14"/>
      <c r="I998" s="13"/>
      <c r="J998" s="8" t="s">
        <v>52</v>
      </c>
      <c r="K998" s="7" t="s">
        <v>34</v>
      </c>
      <c r="L998" s="7"/>
      <c r="M998" s="7" t="str">
        <f>IF(C998="Caixa","-",VLOOKUP(J998,[1]Estrutura!C:E,3,FALSE))</f>
        <v>4.2</v>
      </c>
      <c r="N998" s="7"/>
      <c r="O998" s="7">
        <f t="shared" si="60"/>
        <v>19</v>
      </c>
      <c r="P998" s="7">
        <f t="shared" si="61"/>
        <v>9</v>
      </c>
      <c r="Q998" s="7">
        <f t="shared" si="62"/>
        <v>2026</v>
      </c>
      <c r="R998" s="6">
        <f t="shared" si="63"/>
        <v>-550</v>
      </c>
      <c r="S998" s="12">
        <v>46284</v>
      </c>
    </row>
    <row r="999" spans="1:19">
      <c r="A999" s="12">
        <v>46284</v>
      </c>
      <c r="B999" s="7" t="s">
        <v>26</v>
      </c>
      <c r="C999" s="7" t="s">
        <v>6</v>
      </c>
      <c r="D999" s="11"/>
      <c r="E999" s="11">
        <v>355.06</v>
      </c>
      <c r="F999" s="11" t="s">
        <v>453</v>
      </c>
      <c r="G999" s="7" t="s">
        <v>452</v>
      </c>
      <c r="H999" s="10"/>
      <c r="I999" s="9"/>
      <c r="J999" s="7" t="s">
        <v>12</v>
      </c>
      <c r="K999" s="7" t="s">
        <v>34</v>
      </c>
      <c r="L999" s="8"/>
      <c r="M999" s="8" t="str">
        <f>IF(C999="Caixa","-",VLOOKUP(J999,[1]Estrutura!C:E,3,FALSE))</f>
        <v>4.9</v>
      </c>
      <c r="N999" s="8"/>
      <c r="O999" s="7">
        <f t="shared" si="60"/>
        <v>19</v>
      </c>
      <c r="P999" s="7">
        <f t="shared" si="61"/>
        <v>9</v>
      </c>
      <c r="Q999" s="7">
        <f t="shared" si="62"/>
        <v>2026</v>
      </c>
      <c r="R999" s="6">
        <f t="shared" si="63"/>
        <v>-355.06</v>
      </c>
      <c r="S999" s="16">
        <v>46284</v>
      </c>
    </row>
    <row r="1000" spans="1:19">
      <c r="A1000" s="16">
        <v>46284</v>
      </c>
      <c r="B1000" s="7" t="s">
        <v>7</v>
      </c>
      <c r="C1000" s="7" t="s">
        <v>9</v>
      </c>
      <c r="D1000" s="15">
        <v>3332.33</v>
      </c>
      <c r="E1000" s="15"/>
      <c r="F1000" s="15"/>
      <c r="G1000" s="8" t="s">
        <v>11</v>
      </c>
      <c r="H1000" s="8"/>
      <c r="I1000" s="17"/>
      <c r="J1000" s="8" t="s">
        <v>10</v>
      </c>
      <c r="K1000" s="8"/>
      <c r="L1000" s="7"/>
      <c r="M1000" s="7" t="str">
        <f>IF(C1000="Caixa","-",VLOOKUP(J1000,[1]Estrutura!C:E,3,FALSE))</f>
        <v>1.1</v>
      </c>
      <c r="N1000" s="7"/>
      <c r="O1000" s="7">
        <f t="shared" si="60"/>
        <v>19</v>
      </c>
      <c r="P1000" s="7">
        <f t="shared" si="61"/>
        <v>9</v>
      </c>
      <c r="Q1000" s="7">
        <f t="shared" si="62"/>
        <v>2026</v>
      </c>
      <c r="R1000" s="6">
        <f t="shared" si="63"/>
        <v>3332.33</v>
      </c>
      <c r="S1000" s="12">
        <v>46284</v>
      </c>
    </row>
    <row r="1001" spans="1:19">
      <c r="A1001" s="12">
        <v>46284</v>
      </c>
      <c r="B1001" s="7" t="s">
        <v>7</v>
      </c>
      <c r="C1001" s="7" t="s">
        <v>9</v>
      </c>
      <c r="D1001" s="11"/>
      <c r="E1001" s="11">
        <v>320.89999999999998</v>
      </c>
      <c r="F1001" s="11" t="s">
        <v>328</v>
      </c>
      <c r="G1001" s="7" t="s">
        <v>451</v>
      </c>
      <c r="H1001" s="10"/>
      <c r="I1001" s="9"/>
      <c r="J1001" s="7" t="s">
        <v>250</v>
      </c>
      <c r="K1001" s="7"/>
      <c r="L1001" s="8"/>
      <c r="M1001" s="8" t="str">
        <f>IF(C1001="Caixa","-",VLOOKUP(J1001,[1]Estrutura!C:E,3,FALSE))</f>
        <v>4.9</v>
      </c>
      <c r="N1001" s="8"/>
      <c r="O1001" s="7">
        <f t="shared" si="60"/>
        <v>19</v>
      </c>
      <c r="P1001" s="7">
        <f t="shared" si="61"/>
        <v>9</v>
      </c>
      <c r="Q1001" s="7">
        <f t="shared" si="62"/>
        <v>2026</v>
      </c>
      <c r="R1001" s="6">
        <f t="shared" si="63"/>
        <v>-320.89999999999998</v>
      </c>
      <c r="S1001" s="16">
        <v>46284</v>
      </c>
    </row>
    <row r="1002" spans="1:19">
      <c r="A1002" s="16">
        <v>46284</v>
      </c>
      <c r="B1002" s="8" t="s">
        <v>7</v>
      </c>
      <c r="C1002" s="8" t="s">
        <v>9</v>
      </c>
      <c r="D1002" s="15"/>
      <c r="E1002" s="15">
        <v>480.92</v>
      </c>
      <c r="F1002" s="15" t="s">
        <v>328</v>
      </c>
      <c r="G1002" s="8" t="s">
        <v>450</v>
      </c>
      <c r="H1002" s="14"/>
      <c r="I1002" s="13"/>
      <c r="J1002" s="8" t="s">
        <v>250</v>
      </c>
      <c r="K1002" s="8"/>
      <c r="L1002" s="7"/>
      <c r="M1002" s="7" t="str">
        <f>IF(C1002="Caixa","-",VLOOKUP(J1002,[1]Estrutura!C:E,3,FALSE))</f>
        <v>4.9</v>
      </c>
      <c r="N1002" s="7"/>
      <c r="O1002" s="7">
        <f t="shared" si="60"/>
        <v>19</v>
      </c>
      <c r="P1002" s="7">
        <f t="shared" si="61"/>
        <v>9</v>
      </c>
      <c r="Q1002" s="7">
        <f t="shared" si="62"/>
        <v>2026</v>
      </c>
      <c r="R1002" s="6">
        <f t="shared" si="63"/>
        <v>-480.92</v>
      </c>
      <c r="S1002" s="16">
        <v>46285</v>
      </c>
    </row>
    <row r="1003" spans="1:19">
      <c r="A1003" s="12">
        <v>46284</v>
      </c>
      <c r="B1003" s="7" t="s">
        <v>7</v>
      </c>
      <c r="C1003" s="7" t="s">
        <v>9</v>
      </c>
      <c r="D1003" s="11"/>
      <c r="E1003" s="11">
        <v>431.4</v>
      </c>
      <c r="F1003" s="11" t="s">
        <v>328</v>
      </c>
      <c r="G1003" s="7" t="s">
        <v>449</v>
      </c>
      <c r="H1003" s="10"/>
      <c r="I1003" s="9"/>
      <c r="J1003" s="7" t="s">
        <v>250</v>
      </c>
      <c r="K1003" s="7"/>
      <c r="L1003" s="8"/>
      <c r="M1003" s="8" t="str">
        <f>IF(C1003="Caixa","-",VLOOKUP(J1003,[1]Estrutura!C:E,3,FALSE))</f>
        <v>4.9</v>
      </c>
      <c r="N1003" s="8"/>
      <c r="O1003" s="7">
        <f t="shared" si="60"/>
        <v>19</v>
      </c>
      <c r="P1003" s="7">
        <f t="shared" si="61"/>
        <v>9</v>
      </c>
      <c r="Q1003" s="7">
        <f t="shared" si="62"/>
        <v>2026</v>
      </c>
      <c r="R1003" s="6">
        <f t="shared" si="63"/>
        <v>-431.4</v>
      </c>
      <c r="S1003" s="12">
        <v>46285</v>
      </c>
    </row>
    <row r="1004" spans="1:19">
      <c r="A1004" s="16">
        <v>46284</v>
      </c>
      <c r="B1004" s="8" t="s">
        <v>7</v>
      </c>
      <c r="C1004" s="8" t="s">
        <v>9</v>
      </c>
      <c r="D1004" s="15"/>
      <c r="E1004" s="15">
        <v>431.4</v>
      </c>
      <c r="F1004" s="15" t="s">
        <v>328</v>
      </c>
      <c r="G1004" s="8" t="s">
        <v>449</v>
      </c>
      <c r="H1004" s="14"/>
      <c r="I1004" s="13"/>
      <c r="J1004" s="8" t="s">
        <v>250</v>
      </c>
      <c r="K1004" s="8"/>
      <c r="L1004" s="7"/>
      <c r="M1004" s="7" t="str">
        <f>IF(C1004="Caixa","-",VLOOKUP(J1004,[1]Estrutura!C:E,3,FALSE))</f>
        <v>4.9</v>
      </c>
      <c r="N1004" s="7"/>
      <c r="O1004" s="7">
        <f t="shared" si="60"/>
        <v>19</v>
      </c>
      <c r="P1004" s="7">
        <f t="shared" si="61"/>
        <v>9</v>
      </c>
      <c r="Q1004" s="7">
        <f t="shared" si="62"/>
        <v>2026</v>
      </c>
      <c r="R1004" s="6">
        <f t="shared" si="63"/>
        <v>-431.4</v>
      </c>
      <c r="S1004" s="16">
        <v>46285</v>
      </c>
    </row>
    <row r="1005" spans="1:19">
      <c r="A1005" s="12">
        <v>46284</v>
      </c>
      <c r="B1005" s="7" t="s">
        <v>7</v>
      </c>
      <c r="C1005" s="7" t="s">
        <v>9</v>
      </c>
      <c r="D1005" s="11"/>
      <c r="E1005" s="11">
        <v>431.4</v>
      </c>
      <c r="F1005" s="11" t="s">
        <v>328</v>
      </c>
      <c r="G1005" s="7" t="s">
        <v>449</v>
      </c>
      <c r="H1005" s="10"/>
      <c r="I1005" s="9"/>
      <c r="J1005" s="7" t="s">
        <v>250</v>
      </c>
      <c r="K1005" s="7"/>
      <c r="L1005" s="8"/>
      <c r="M1005" s="8" t="str">
        <f>IF(C1005="Caixa","-",VLOOKUP(J1005,[1]Estrutura!C:E,3,FALSE))</f>
        <v>4.9</v>
      </c>
      <c r="N1005" s="8"/>
      <c r="O1005" s="7">
        <f t="shared" si="60"/>
        <v>19</v>
      </c>
      <c r="P1005" s="7">
        <f t="shared" si="61"/>
        <v>9</v>
      </c>
      <c r="Q1005" s="7">
        <f t="shared" si="62"/>
        <v>2026</v>
      </c>
      <c r="R1005" s="6">
        <f t="shared" si="63"/>
        <v>-431.4</v>
      </c>
      <c r="S1005" s="16">
        <v>46285</v>
      </c>
    </row>
    <row r="1006" spans="1:19">
      <c r="A1006" s="16">
        <v>46284</v>
      </c>
      <c r="B1006" s="8" t="s">
        <v>7</v>
      </c>
      <c r="C1006" s="8" t="s">
        <v>9</v>
      </c>
      <c r="D1006" s="15"/>
      <c r="E1006" s="15">
        <v>431.4</v>
      </c>
      <c r="F1006" s="15" t="s">
        <v>328</v>
      </c>
      <c r="G1006" s="8" t="s">
        <v>449</v>
      </c>
      <c r="H1006" s="14"/>
      <c r="I1006" s="13"/>
      <c r="J1006" s="8" t="s">
        <v>250</v>
      </c>
      <c r="K1006" s="8"/>
      <c r="L1006" s="7"/>
      <c r="M1006" s="7" t="str">
        <f>IF(C1006="Caixa","-",VLOOKUP(J1006,[1]Estrutura!C:E,3,FALSE))</f>
        <v>4.9</v>
      </c>
      <c r="N1006" s="7"/>
      <c r="O1006" s="7">
        <f t="shared" si="60"/>
        <v>19</v>
      </c>
      <c r="P1006" s="7">
        <f t="shared" si="61"/>
        <v>9</v>
      </c>
      <c r="Q1006" s="7">
        <f t="shared" si="62"/>
        <v>2026</v>
      </c>
      <c r="R1006" s="6">
        <f t="shared" si="63"/>
        <v>-431.4</v>
      </c>
      <c r="S1006" s="12">
        <v>46285</v>
      </c>
    </row>
    <row r="1007" spans="1:19">
      <c r="A1007" s="12">
        <v>46284</v>
      </c>
      <c r="B1007" s="7" t="s">
        <v>7</v>
      </c>
      <c r="C1007" s="7" t="s">
        <v>9</v>
      </c>
      <c r="D1007" s="11"/>
      <c r="E1007" s="11">
        <v>431.4</v>
      </c>
      <c r="F1007" s="11" t="s">
        <v>328</v>
      </c>
      <c r="G1007" s="7" t="s">
        <v>449</v>
      </c>
      <c r="H1007" s="10"/>
      <c r="I1007" s="9"/>
      <c r="J1007" s="7" t="s">
        <v>250</v>
      </c>
      <c r="K1007" s="7"/>
      <c r="L1007" s="8"/>
      <c r="M1007" s="8" t="str">
        <f>IF(C1007="Caixa","-",VLOOKUP(J1007,[1]Estrutura!C:E,3,FALSE))</f>
        <v>4.9</v>
      </c>
      <c r="N1007" s="8"/>
      <c r="O1007" s="7">
        <f t="shared" si="60"/>
        <v>19</v>
      </c>
      <c r="P1007" s="7">
        <f t="shared" si="61"/>
        <v>9</v>
      </c>
      <c r="Q1007" s="7">
        <f t="shared" si="62"/>
        <v>2026</v>
      </c>
      <c r="R1007" s="6">
        <f t="shared" si="63"/>
        <v>-431.4</v>
      </c>
      <c r="S1007" s="16">
        <v>46286</v>
      </c>
    </row>
    <row r="1008" spans="1:19">
      <c r="A1008" s="16">
        <v>46284</v>
      </c>
      <c r="B1008" s="8" t="s">
        <v>7</v>
      </c>
      <c r="C1008" s="8" t="s">
        <v>9</v>
      </c>
      <c r="D1008" s="15"/>
      <c r="E1008" s="15">
        <v>431.4</v>
      </c>
      <c r="F1008" s="15" t="s">
        <v>328</v>
      </c>
      <c r="G1008" s="8" t="s">
        <v>449</v>
      </c>
      <c r="H1008" s="14"/>
      <c r="I1008" s="13"/>
      <c r="J1008" s="8" t="s">
        <v>250</v>
      </c>
      <c r="K1008" s="8"/>
      <c r="L1008" s="7"/>
      <c r="M1008" s="7" t="str">
        <f>IF(C1008="Caixa","-",VLOOKUP(J1008,[1]Estrutura!C:E,3,FALSE))</f>
        <v>4.9</v>
      </c>
      <c r="N1008" s="7"/>
      <c r="O1008" s="7">
        <f t="shared" si="60"/>
        <v>19</v>
      </c>
      <c r="P1008" s="7">
        <f t="shared" si="61"/>
        <v>9</v>
      </c>
      <c r="Q1008" s="7">
        <f t="shared" si="62"/>
        <v>2026</v>
      </c>
      <c r="R1008" s="6">
        <f t="shared" si="63"/>
        <v>-431.4</v>
      </c>
      <c r="S1008" s="16">
        <v>46286</v>
      </c>
    </row>
    <row r="1009" spans="1:19">
      <c r="A1009" s="12">
        <v>46284</v>
      </c>
      <c r="B1009" s="7" t="s">
        <v>7</v>
      </c>
      <c r="C1009" s="7" t="s">
        <v>9</v>
      </c>
      <c r="D1009" s="11"/>
      <c r="E1009" s="11">
        <v>213.74</v>
      </c>
      <c r="F1009" s="11" t="s">
        <v>328</v>
      </c>
      <c r="G1009" s="7" t="s">
        <v>448</v>
      </c>
      <c r="H1009" s="10"/>
      <c r="I1009" s="9"/>
      <c r="J1009" s="7" t="s">
        <v>250</v>
      </c>
      <c r="K1009" s="7"/>
      <c r="L1009" s="8"/>
      <c r="M1009" s="8" t="str">
        <f>IF(C1009="Caixa","-",VLOOKUP(J1009,[1]Estrutura!C:E,3,FALSE))</f>
        <v>4.9</v>
      </c>
      <c r="N1009" s="8"/>
      <c r="O1009" s="7">
        <f t="shared" si="60"/>
        <v>19</v>
      </c>
      <c r="P1009" s="7">
        <f t="shared" si="61"/>
        <v>9</v>
      </c>
      <c r="Q1009" s="7">
        <f t="shared" si="62"/>
        <v>2026</v>
      </c>
      <c r="R1009" s="6">
        <f t="shared" si="63"/>
        <v>-213.74</v>
      </c>
      <c r="S1009" s="16">
        <v>46287</v>
      </c>
    </row>
    <row r="1010" spans="1:19">
      <c r="A1010" s="16">
        <v>46284</v>
      </c>
      <c r="B1010" s="8" t="s">
        <v>7</v>
      </c>
      <c r="C1010" s="8" t="s">
        <v>9</v>
      </c>
      <c r="D1010" s="15"/>
      <c r="E1010" s="15">
        <v>213.74</v>
      </c>
      <c r="F1010" s="15" t="s">
        <v>328</v>
      </c>
      <c r="G1010" s="8" t="s">
        <v>448</v>
      </c>
      <c r="H1010" s="14"/>
      <c r="I1010" s="13"/>
      <c r="J1010" s="8" t="s">
        <v>250</v>
      </c>
      <c r="K1010" s="8"/>
      <c r="L1010" s="7"/>
      <c r="M1010" s="7" t="str">
        <f>IF(C1010="Caixa","-",VLOOKUP(J1010,[1]Estrutura!C:E,3,FALSE))</f>
        <v>4.9</v>
      </c>
      <c r="N1010" s="7"/>
      <c r="O1010" s="7">
        <f t="shared" si="60"/>
        <v>19</v>
      </c>
      <c r="P1010" s="7">
        <f t="shared" si="61"/>
        <v>9</v>
      </c>
      <c r="Q1010" s="7">
        <f t="shared" si="62"/>
        <v>2026</v>
      </c>
      <c r="R1010" s="6">
        <f t="shared" si="63"/>
        <v>-213.74</v>
      </c>
      <c r="S1010" s="12">
        <v>46287</v>
      </c>
    </row>
    <row r="1011" spans="1:19">
      <c r="A1011" s="12">
        <v>46284</v>
      </c>
      <c r="B1011" s="7" t="s">
        <v>7</v>
      </c>
      <c r="C1011" s="7" t="s">
        <v>9</v>
      </c>
      <c r="D1011" s="11"/>
      <c r="E1011" s="11">
        <v>78.52</v>
      </c>
      <c r="F1011" s="11" t="s">
        <v>328</v>
      </c>
      <c r="G1011" s="7" t="s">
        <v>447</v>
      </c>
      <c r="H1011" s="10"/>
      <c r="I1011" s="9"/>
      <c r="J1011" s="7" t="s">
        <v>250</v>
      </c>
      <c r="K1011" s="7"/>
      <c r="L1011" s="8"/>
      <c r="M1011" s="8" t="str">
        <f>IF(C1011="Caixa","-",VLOOKUP(J1011,[1]Estrutura!C:E,3,FALSE))</f>
        <v>4.9</v>
      </c>
      <c r="N1011" s="8"/>
      <c r="O1011" s="7">
        <f t="shared" si="60"/>
        <v>19</v>
      </c>
      <c r="P1011" s="7">
        <f t="shared" si="61"/>
        <v>9</v>
      </c>
      <c r="Q1011" s="7">
        <f t="shared" si="62"/>
        <v>2026</v>
      </c>
      <c r="R1011" s="6">
        <f t="shared" si="63"/>
        <v>-78.52</v>
      </c>
      <c r="S1011" s="16">
        <v>46287</v>
      </c>
    </row>
    <row r="1012" spans="1:19">
      <c r="A1012" s="16">
        <v>46284</v>
      </c>
      <c r="B1012" s="8" t="s">
        <v>7</v>
      </c>
      <c r="C1012" s="8" t="s">
        <v>9</v>
      </c>
      <c r="D1012" s="15"/>
      <c r="E1012" s="15">
        <v>344.84</v>
      </c>
      <c r="F1012" s="15" t="s">
        <v>328</v>
      </c>
      <c r="G1012" s="8" t="s">
        <v>446</v>
      </c>
      <c r="H1012" s="14"/>
      <c r="I1012" s="13"/>
      <c r="J1012" s="8" t="s">
        <v>250</v>
      </c>
      <c r="K1012" s="8"/>
      <c r="L1012" s="7"/>
      <c r="M1012" s="7" t="str">
        <f>IF(C1012="Caixa","-",VLOOKUP(J1012,[1]Estrutura!C:E,3,FALSE))</f>
        <v>4.9</v>
      </c>
      <c r="N1012" s="7"/>
      <c r="O1012" s="7">
        <f t="shared" si="60"/>
        <v>19</v>
      </c>
      <c r="P1012" s="7">
        <f t="shared" si="61"/>
        <v>9</v>
      </c>
      <c r="Q1012" s="7">
        <f t="shared" si="62"/>
        <v>2026</v>
      </c>
      <c r="R1012" s="6">
        <f t="shared" si="63"/>
        <v>-344.84</v>
      </c>
      <c r="S1012" s="12">
        <v>46287</v>
      </c>
    </row>
    <row r="1013" spans="1:19">
      <c r="A1013" s="12">
        <v>46284</v>
      </c>
      <c r="B1013" s="7" t="s">
        <v>7</v>
      </c>
      <c r="C1013" s="7" t="s">
        <v>9</v>
      </c>
      <c r="D1013" s="11"/>
      <c r="E1013" s="11">
        <v>510.82</v>
      </c>
      <c r="F1013" s="11" t="s">
        <v>328</v>
      </c>
      <c r="G1013" s="7" t="s">
        <v>445</v>
      </c>
      <c r="H1013" s="10"/>
      <c r="I1013" s="9"/>
      <c r="J1013" s="7" t="s">
        <v>250</v>
      </c>
      <c r="K1013" s="7"/>
      <c r="L1013" s="8"/>
      <c r="M1013" s="8" t="str">
        <f>IF(C1013="Caixa","-",VLOOKUP(J1013,[1]Estrutura!C:E,3,FALSE))</f>
        <v>4.9</v>
      </c>
      <c r="N1013" s="8"/>
      <c r="O1013" s="7">
        <f t="shared" si="60"/>
        <v>19</v>
      </c>
      <c r="P1013" s="7">
        <f t="shared" si="61"/>
        <v>9</v>
      </c>
      <c r="Q1013" s="7">
        <f t="shared" si="62"/>
        <v>2026</v>
      </c>
      <c r="R1013" s="6">
        <f t="shared" si="63"/>
        <v>-510.82</v>
      </c>
      <c r="S1013" s="16">
        <v>46287</v>
      </c>
    </row>
    <row r="1014" spans="1:19">
      <c r="A1014" s="16">
        <v>46284</v>
      </c>
      <c r="B1014" s="8" t="s">
        <v>7</v>
      </c>
      <c r="C1014" s="8" t="s">
        <v>9</v>
      </c>
      <c r="D1014" s="15"/>
      <c r="E1014" s="15">
        <v>318.52</v>
      </c>
      <c r="F1014" s="15" t="s">
        <v>328</v>
      </c>
      <c r="G1014" s="8" t="s">
        <v>444</v>
      </c>
      <c r="H1014" s="14"/>
      <c r="I1014" s="13"/>
      <c r="J1014" s="8" t="s">
        <v>250</v>
      </c>
      <c r="K1014" s="8"/>
      <c r="L1014" s="7"/>
      <c r="M1014" s="7" t="str">
        <f>IF(C1014="Caixa","-",VLOOKUP(J1014,[1]Estrutura!C:E,3,FALSE))</f>
        <v>4.9</v>
      </c>
      <c r="N1014" s="7"/>
      <c r="O1014" s="7">
        <f t="shared" si="60"/>
        <v>19</v>
      </c>
      <c r="P1014" s="7">
        <f t="shared" si="61"/>
        <v>9</v>
      </c>
      <c r="Q1014" s="7">
        <f t="shared" si="62"/>
        <v>2026</v>
      </c>
      <c r="R1014" s="6">
        <f t="shared" si="63"/>
        <v>-318.52</v>
      </c>
      <c r="S1014" s="16">
        <v>46287</v>
      </c>
    </row>
    <row r="1015" spans="1:19">
      <c r="A1015" s="12">
        <v>46284</v>
      </c>
      <c r="B1015" s="7" t="s">
        <v>7</v>
      </c>
      <c r="C1015" s="7" t="s">
        <v>9</v>
      </c>
      <c r="D1015" s="11"/>
      <c r="E1015" s="11">
        <v>87.4</v>
      </c>
      <c r="F1015" s="11" t="s">
        <v>328</v>
      </c>
      <c r="G1015" s="7" t="s">
        <v>443</v>
      </c>
      <c r="H1015" s="10"/>
      <c r="I1015" s="9"/>
      <c r="J1015" s="7" t="s">
        <v>250</v>
      </c>
      <c r="K1015" s="7"/>
      <c r="L1015" s="8"/>
      <c r="M1015" s="8" t="str">
        <f>IF(C1015="Caixa","-",VLOOKUP(J1015,[1]Estrutura!C:E,3,FALSE))</f>
        <v>4.9</v>
      </c>
      <c r="N1015" s="8"/>
      <c r="O1015" s="7">
        <f t="shared" si="60"/>
        <v>19</v>
      </c>
      <c r="P1015" s="7">
        <f t="shared" si="61"/>
        <v>9</v>
      </c>
      <c r="Q1015" s="7">
        <f t="shared" si="62"/>
        <v>2026</v>
      </c>
      <c r="R1015" s="6">
        <f t="shared" si="63"/>
        <v>-87.4</v>
      </c>
      <c r="S1015" s="16">
        <v>46287</v>
      </c>
    </row>
    <row r="1016" spans="1:19">
      <c r="A1016" s="16">
        <v>46284</v>
      </c>
      <c r="B1016" s="8" t="s">
        <v>7</v>
      </c>
      <c r="C1016" s="8" t="s">
        <v>9</v>
      </c>
      <c r="D1016" s="15"/>
      <c r="E1016" s="15">
        <v>484.85</v>
      </c>
      <c r="F1016" s="15" t="s">
        <v>328</v>
      </c>
      <c r="G1016" s="8" t="s">
        <v>442</v>
      </c>
      <c r="H1016" s="14"/>
      <c r="I1016" s="13"/>
      <c r="J1016" s="8" t="s">
        <v>250</v>
      </c>
      <c r="K1016" s="8"/>
      <c r="L1016" s="7"/>
      <c r="M1016" s="7" t="str">
        <f>IF(C1016="Caixa","-",VLOOKUP(J1016,[1]Estrutura!C:E,3,FALSE))</f>
        <v>4.9</v>
      </c>
      <c r="N1016" s="7"/>
      <c r="O1016" s="7">
        <f t="shared" si="60"/>
        <v>19</v>
      </c>
      <c r="P1016" s="7">
        <f t="shared" si="61"/>
        <v>9</v>
      </c>
      <c r="Q1016" s="7">
        <f t="shared" si="62"/>
        <v>2026</v>
      </c>
      <c r="R1016" s="6">
        <f t="shared" si="63"/>
        <v>-484.85</v>
      </c>
      <c r="S1016" s="12">
        <v>46288</v>
      </c>
    </row>
    <row r="1017" spans="1:19">
      <c r="A1017" s="16">
        <v>46285</v>
      </c>
      <c r="B1017" s="8" t="s">
        <v>14</v>
      </c>
      <c r="C1017" s="7" t="s">
        <v>9</v>
      </c>
      <c r="D1017" s="15">
        <v>3472.13</v>
      </c>
      <c r="E1017" s="15"/>
      <c r="F1017" s="15"/>
      <c r="G1017" s="8" t="s">
        <v>11</v>
      </c>
      <c r="H1017" s="8"/>
      <c r="I1017" s="17"/>
      <c r="J1017" s="8" t="s">
        <v>10</v>
      </c>
      <c r="K1017" s="8"/>
      <c r="L1017" s="8"/>
      <c r="M1017" s="8" t="str">
        <f>IF(C1017="Caixa","-",VLOOKUP(J1017,[1]Estrutura!C:E,3,FALSE))</f>
        <v>1.1</v>
      </c>
      <c r="N1017" s="8"/>
      <c r="O1017" s="7">
        <f t="shared" si="60"/>
        <v>20</v>
      </c>
      <c r="P1017" s="7">
        <f t="shared" si="61"/>
        <v>9</v>
      </c>
      <c r="Q1017" s="7">
        <f t="shared" si="62"/>
        <v>2026</v>
      </c>
      <c r="R1017" s="6">
        <f t="shared" si="63"/>
        <v>3472.13</v>
      </c>
      <c r="S1017" s="16">
        <v>46288</v>
      </c>
    </row>
    <row r="1018" spans="1:19">
      <c r="A1018" s="12">
        <v>46285</v>
      </c>
      <c r="B1018" s="8" t="s">
        <v>14</v>
      </c>
      <c r="C1018" s="8" t="s">
        <v>9</v>
      </c>
      <c r="D1018" s="15"/>
      <c r="E1018" s="15">
        <v>427.2399999999999</v>
      </c>
      <c r="F1018" s="15"/>
      <c r="G1018" s="8" t="s">
        <v>8</v>
      </c>
      <c r="H1018" s="14"/>
      <c r="I1018" s="13"/>
      <c r="J1018" s="8" t="s">
        <v>4</v>
      </c>
      <c r="K1018" s="7"/>
      <c r="L1018" s="7"/>
      <c r="M1018" s="7" t="str">
        <f>IF(C1018="Caixa","-",VLOOKUP(J1018,[1]Estrutura!C:E,3,FALSE))</f>
        <v>5.2</v>
      </c>
      <c r="N1018" s="7"/>
      <c r="O1018" s="7">
        <f t="shared" si="60"/>
        <v>20</v>
      </c>
      <c r="P1018" s="7">
        <f t="shared" si="61"/>
        <v>9</v>
      </c>
      <c r="Q1018" s="7">
        <f t="shared" si="62"/>
        <v>2026</v>
      </c>
      <c r="R1018" s="6">
        <f t="shared" si="63"/>
        <v>-427.2399999999999</v>
      </c>
      <c r="S1018" s="12">
        <v>46288</v>
      </c>
    </row>
    <row r="1019" spans="1:19">
      <c r="A1019" s="16">
        <v>46285</v>
      </c>
      <c r="B1019" s="7" t="s">
        <v>7</v>
      </c>
      <c r="C1019" s="7" t="s">
        <v>9</v>
      </c>
      <c r="D1019" s="15">
        <v>8261.5500000000011</v>
      </c>
      <c r="E1019" s="15"/>
      <c r="F1019" s="15"/>
      <c r="G1019" s="8" t="s">
        <v>11</v>
      </c>
      <c r="H1019" s="8"/>
      <c r="I1019" s="17"/>
      <c r="J1019" s="8" t="s">
        <v>10</v>
      </c>
      <c r="K1019" s="8"/>
      <c r="L1019" s="8"/>
      <c r="M1019" s="8" t="str">
        <f>IF(C1019="Caixa","-",VLOOKUP(J1019,[1]Estrutura!C:E,3,FALSE))</f>
        <v>1.1</v>
      </c>
      <c r="N1019" s="8"/>
      <c r="O1019" s="7">
        <f t="shared" si="60"/>
        <v>20</v>
      </c>
      <c r="P1019" s="7">
        <f t="shared" si="61"/>
        <v>9</v>
      </c>
      <c r="Q1019" s="7">
        <f t="shared" si="62"/>
        <v>2026</v>
      </c>
      <c r="R1019" s="6">
        <f t="shared" si="63"/>
        <v>8261.5500000000011</v>
      </c>
      <c r="S1019" s="12">
        <v>46288</v>
      </c>
    </row>
    <row r="1020" spans="1:19">
      <c r="A1020" s="12">
        <v>46285</v>
      </c>
      <c r="B1020" s="8" t="s">
        <v>7</v>
      </c>
      <c r="C1020" s="8" t="s">
        <v>9</v>
      </c>
      <c r="D1020" s="15"/>
      <c r="E1020" s="15">
        <v>1444.22</v>
      </c>
      <c r="F1020" s="15"/>
      <c r="G1020" s="8" t="s">
        <v>8</v>
      </c>
      <c r="H1020" s="14"/>
      <c r="I1020" s="9"/>
      <c r="J1020" s="7" t="s">
        <v>4</v>
      </c>
      <c r="K1020" s="7"/>
      <c r="L1020" s="7"/>
      <c r="M1020" s="7" t="str">
        <f>IF(C1020="Caixa","-",VLOOKUP(J1020,[1]Estrutura!C:E,3,FALSE))</f>
        <v>5.2</v>
      </c>
      <c r="N1020" s="7"/>
      <c r="O1020" s="7">
        <f t="shared" si="60"/>
        <v>20</v>
      </c>
      <c r="P1020" s="7">
        <f t="shared" si="61"/>
        <v>9</v>
      </c>
      <c r="Q1020" s="7">
        <f t="shared" si="62"/>
        <v>2026</v>
      </c>
      <c r="R1020" s="6">
        <f t="shared" si="63"/>
        <v>-1444.22</v>
      </c>
      <c r="S1020" s="12">
        <v>46288</v>
      </c>
    </row>
    <row r="1021" spans="1:19">
      <c r="A1021" s="16">
        <v>46286</v>
      </c>
      <c r="B1021" s="8" t="s">
        <v>14</v>
      </c>
      <c r="C1021" s="7" t="s">
        <v>9</v>
      </c>
      <c r="D1021" s="15">
        <v>2074.1999999999998</v>
      </c>
      <c r="E1021" s="15"/>
      <c r="F1021" s="15"/>
      <c r="G1021" s="8" t="s">
        <v>11</v>
      </c>
      <c r="H1021" s="8"/>
      <c r="I1021" s="17"/>
      <c r="J1021" s="8" t="s">
        <v>10</v>
      </c>
      <c r="K1021" s="8"/>
      <c r="L1021" s="8"/>
      <c r="M1021" s="8" t="str">
        <f>IF(C1021="Caixa","-",VLOOKUP(J1021,[1]Estrutura!C:E,3,FALSE))</f>
        <v>1.1</v>
      </c>
      <c r="N1021" s="8"/>
      <c r="O1021" s="7">
        <f t="shared" si="60"/>
        <v>21</v>
      </c>
      <c r="P1021" s="7">
        <f t="shared" si="61"/>
        <v>9</v>
      </c>
      <c r="Q1021" s="7">
        <f t="shared" si="62"/>
        <v>2026</v>
      </c>
      <c r="R1021" s="6">
        <f t="shared" si="63"/>
        <v>2074.1999999999998</v>
      </c>
      <c r="S1021" s="16">
        <v>46288</v>
      </c>
    </row>
    <row r="1022" spans="1:19">
      <c r="A1022" s="16">
        <v>46286</v>
      </c>
      <c r="B1022" s="7" t="s">
        <v>7</v>
      </c>
      <c r="C1022" s="7" t="s">
        <v>9</v>
      </c>
      <c r="D1022" s="15">
        <v>1607.85</v>
      </c>
      <c r="E1022" s="15"/>
      <c r="F1022" s="15"/>
      <c r="G1022" s="8" t="s">
        <v>11</v>
      </c>
      <c r="H1022" s="8"/>
      <c r="I1022" s="17"/>
      <c r="J1022" s="8" t="s">
        <v>10</v>
      </c>
      <c r="K1022" s="8"/>
      <c r="L1022" s="7"/>
      <c r="M1022" s="7" t="str">
        <f>IF(C1022="Caixa","-",VLOOKUP(J1022,[1]Estrutura!C:E,3,FALSE))</f>
        <v>1.1</v>
      </c>
      <c r="N1022" s="7"/>
      <c r="O1022" s="7">
        <f t="shared" si="60"/>
        <v>21</v>
      </c>
      <c r="P1022" s="7">
        <f t="shared" si="61"/>
        <v>9</v>
      </c>
      <c r="Q1022" s="7">
        <f t="shared" si="62"/>
        <v>2026</v>
      </c>
      <c r="R1022" s="6">
        <f t="shared" si="63"/>
        <v>1607.85</v>
      </c>
      <c r="S1022" s="16">
        <v>46288</v>
      </c>
    </row>
    <row r="1023" spans="1:19">
      <c r="A1023" s="16">
        <v>46287</v>
      </c>
      <c r="B1023" s="8" t="s">
        <v>14</v>
      </c>
      <c r="C1023" s="7" t="s">
        <v>9</v>
      </c>
      <c r="D1023" s="15">
        <v>1473.36</v>
      </c>
      <c r="E1023" s="15"/>
      <c r="F1023" s="15"/>
      <c r="G1023" s="8" t="s">
        <v>11</v>
      </c>
      <c r="H1023" s="8"/>
      <c r="I1023" s="17"/>
      <c r="J1023" s="8" t="s">
        <v>10</v>
      </c>
      <c r="K1023" s="8"/>
      <c r="L1023" s="8"/>
      <c r="M1023" s="8" t="str">
        <f>IF(C1023="Caixa","-",VLOOKUP(J1023,[1]Estrutura!C:E,3,FALSE))</f>
        <v>1.1</v>
      </c>
      <c r="N1023" s="8"/>
      <c r="O1023" s="7">
        <f t="shared" si="60"/>
        <v>22</v>
      </c>
      <c r="P1023" s="7">
        <f t="shared" si="61"/>
        <v>9</v>
      </c>
      <c r="Q1023" s="7">
        <f t="shared" si="62"/>
        <v>2026</v>
      </c>
      <c r="R1023" s="6">
        <f t="shared" si="63"/>
        <v>1473.36</v>
      </c>
      <c r="S1023" s="12">
        <v>46288</v>
      </c>
    </row>
    <row r="1024" spans="1:19">
      <c r="A1024" s="12">
        <v>46287</v>
      </c>
      <c r="B1024" s="7" t="s">
        <v>14</v>
      </c>
      <c r="C1024" s="7" t="s">
        <v>9</v>
      </c>
      <c r="D1024" s="11"/>
      <c r="E1024" s="11">
        <v>169.01</v>
      </c>
      <c r="F1024" s="11" t="s">
        <v>125</v>
      </c>
      <c r="G1024" s="7" t="s">
        <v>441</v>
      </c>
      <c r="H1024" s="10"/>
      <c r="I1024" s="9"/>
      <c r="J1024" s="8" t="s">
        <v>99</v>
      </c>
      <c r="K1024" s="7"/>
      <c r="L1024" s="7"/>
      <c r="M1024" s="7" t="str">
        <f>IF(C1024="Caixa","-",VLOOKUP(J1024,[1]Estrutura!C:E,3,FALSE))</f>
        <v>4.3</v>
      </c>
      <c r="N1024" s="7"/>
      <c r="O1024" s="7">
        <f t="shared" si="60"/>
        <v>22</v>
      </c>
      <c r="P1024" s="7">
        <f t="shared" si="61"/>
        <v>9</v>
      </c>
      <c r="Q1024" s="7">
        <f t="shared" si="62"/>
        <v>2026</v>
      </c>
      <c r="R1024" s="6">
        <f t="shared" si="63"/>
        <v>-169.01</v>
      </c>
      <c r="S1024" s="16">
        <v>46288</v>
      </c>
    </row>
    <row r="1025" spans="1:19">
      <c r="A1025" s="16">
        <v>46287</v>
      </c>
      <c r="B1025" s="8" t="s">
        <v>14</v>
      </c>
      <c r="C1025" s="8" t="s">
        <v>9</v>
      </c>
      <c r="D1025" s="15"/>
      <c r="E1025" s="15">
        <v>193.11</v>
      </c>
      <c r="F1025" s="15" t="s">
        <v>347</v>
      </c>
      <c r="G1025" s="8" t="s">
        <v>440</v>
      </c>
      <c r="H1025" s="14"/>
      <c r="I1025" s="13"/>
      <c r="J1025" s="8" t="s">
        <v>250</v>
      </c>
      <c r="K1025" s="8"/>
      <c r="L1025" s="8"/>
      <c r="M1025" s="8" t="str">
        <f>IF(C1025="Caixa","-",VLOOKUP(J1025,[1]Estrutura!C:E,3,FALSE))</f>
        <v>4.9</v>
      </c>
      <c r="N1025" s="8"/>
      <c r="O1025" s="7">
        <f t="shared" si="60"/>
        <v>22</v>
      </c>
      <c r="P1025" s="7">
        <f t="shared" si="61"/>
        <v>9</v>
      </c>
      <c r="Q1025" s="7">
        <f t="shared" si="62"/>
        <v>2026</v>
      </c>
      <c r="R1025" s="6">
        <f t="shared" si="63"/>
        <v>-193.11</v>
      </c>
      <c r="S1025" s="12">
        <v>46288</v>
      </c>
    </row>
    <row r="1026" spans="1:19">
      <c r="A1026" s="12">
        <v>46287</v>
      </c>
      <c r="B1026" s="7" t="s">
        <v>14</v>
      </c>
      <c r="C1026" s="7" t="s">
        <v>9</v>
      </c>
      <c r="D1026" s="11"/>
      <c r="E1026" s="11">
        <v>1101</v>
      </c>
      <c r="F1026" s="11" t="s">
        <v>166</v>
      </c>
      <c r="G1026" s="7" t="s">
        <v>439</v>
      </c>
      <c r="H1026" s="10">
        <v>14999217</v>
      </c>
      <c r="I1026" s="9"/>
      <c r="J1026" s="7" t="s">
        <v>64</v>
      </c>
      <c r="K1026" s="7"/>
      <c r="L1026" s="7"/>
      <c r="M1026" s="7" t="str">
        <f>IF(C1026="Caixa","-",VLOOKUP(J1026,[1]Estrutura!C:E,3,FALSE))</f>
        <v>4.4</v>
      </c>
      <c r="N1026" s="7"/>
      <c r="O1026" s="7">
        <f t="shared" si="60"/>
        <v>22</v>
      </c>
      <c r="P1026" s="7">
        <f t="shared" si="61"/>
        <v>9</v>
      </c>
      <c r="Q1026" s="7">
        <f t="shared" si="62"/>
        <v>2026</v>
      </c>
      <c r="R1026" s="6">
        <f t="shared" si="63"/>
        <v>-1101</v>
      </c>
      <c r="S1026" s="12">
        <v>46288</v>
      </c>
    </row>
    <row r="1027" spans="1:19">
      <c r="A1027" s="16">
        <v>46287</v>
      </c>
      <c r="B1027" s="7" t="s">
        <v>7</v>
      </c>
      <c r="C1027" s="7" t="s">
        <v>9</v>
      </c>
      <c r="D1027" s="15">
        <v>3509.29</v>
      </c>
      <c r="E1027" s="15"/>
      <c r="F1027" s="15"/>
      <c r="G1027" s="8" t="s">
        <v>11</v>
      </c>
      <c r="H1027" s="8"/>
      <c r="I1027" s="17"/>
      <c r="J1027" s="8" t="s">
        <v>10</v>
      </c>
      <c r="K1027" s="8"/>
      <c r="L1027" s="8"/>
      <c r="M1027" s="8" t="str">
        <f>IF(C1027="Caixa","-",VLOOKUP(J1027,[1]Estrutura!C:E,3,FALSE))</f>
        <v>1.1</v>
      </c>
      <c r="N1027" s="8"/>
      <c r="O1027" s="7">
        <f t="shared" si="60"/>
        <v>22</v>
      </c>
      <c r="P1027" s="7">
        <f t="shared" si="61"/>
        <v>9</v>
      </c>
      <c r="Q1027" s="7">
        <f t="shared" si="62"/>
        <v>2026</v>
      </c>
      <c r="R1027" s="6">
        <f t="shared" si="63"/>
        <v>3509.29</v>
      </c>
      <c r="S1027" s="16">
        <v>46288</v>
      </c>
    </row>
    <row r="1028" spans="1:19">
      <c r="A1028" s="16">
        <v>46287</v>
      </c>
      <c r="B1028" s="8" t="s">
        <v>7</v>
      </c>
      <c r="C1028" s="8" t="s">
        <v>9</v>
      </c>
      <c r="D1028" s="15"/>
      <c r="E1028" s="15">
        <v>265</v>
      </c>
      <c r="F1028" s="15" t="s">
        <v>152</v>
      </c>
      <c r="G1028" s="7" t="s">
        <v>151</v>
      </c>
      <c r="H1028" s="14"/>
      <c r="I1028" s="13"/>
      <c r="J1028" s="8" t="s">
        <v>150</v>
      </c>
      <c r="K1028" s="8"/>
      <c r="L1028" s="7"/>
      <c r="M1028" s="7" t="str">
        <f>IF(C1028="Caixa","-",VLOOKUP(J1028,[1]Estrutura!C:E,3,FALSE))</f>
        <v>4.4</v>
      </c>
      <c r="N1028" s="7"/>
      <c r="O1028" s="7">
        <f t="shared" si="60"/>
        <v>22</v>
      </c>
      <c r="P1028" s="7">
        <f t="shared" si="61"/>
        <v>9</v>
      </c>
      <c r="Q1028" s="7">
        <f t="shared" si="62"/>
        <v>2026</v>
      </c>
      <c r="R1028" s="6">
        <f t="shared" si="63"/>
        <v>-265</v>
      </c>
      <c r="S1028" s="16">
        <v>46288</v>
      </c>
    </row>
    <row r="1029" spans="1:19">
      <c r="A1029" s="16">
        <v>46287</v>
      </c>
      <c r="B1029" s="8" t="s">
        <v>7</v>
      </c>
      <c r="C1029" s="8" t="s">
        <v>9</v>
      </c>
      <c r="D1029" s="15"/>
      <c r="E1029" s="15">
        <v>452.46</v>
      </c>
      <c r="F1029" s="15" t="s">
        <v>101</v>
      </c>
      <c r="G1029" s="8" t="s">
        <v>334</v>
      </c>
      <c r="H1029" s="14"/>
      <c r="I1029" s="13"/>
      <c r="J1029" s="8" t="s">
        <v>99</v>
      </c>
      <c r="K1029" s="8"/>
      <c r="L1029" s="8"/>
      <c r="M1029" s="8" t="str">
        <f>IF(C1029="Caixa","-",VLOOKUP(J1029,[1]Estrutura!C:E,3,FALSE))</f>
        <v>4.3</v>
      </c>
      <c r="N1029" s="8"/>
      <c r="O1029" s="7">
        <f t="shared" si="60"/>
        <v>22</v>
      </c>
      <c r="P1029" s="7">
        <f t="shared" si="61"/>
        <v>9</v>
      </c>
      <c r="Q1029" s="7">
        <f t="shared" si="62"/>
        <v>2026</v>
      </c>
      <c r="R1029" s="6">
        <f t="shared" si="63"/>
        <v>-452.46</v>
      </c>
      <c r="S1029" s="12">
        <v>46288</v>
      </c>
    </row>
    <row r="1030" spans="1:19">
      <c r="A1030" s="12">
        <v>46288</v>
      </c>
      <c r="B1030" s="7" t="s">
        <v>122</v>
      </c>
      <c r="C1030" s="7" t="s">
        <v>6</v>
      </c>
      <c r="D1030" s="11"/>
      <c r="E1030" s="11">
        <v>359.57</v>
      </c>
      <c r="F1030" s="11" t="s">
        <v>125</v>
      </c>
      <c r="G1030" s="7" t="s">
        <v>330</v>
      </c>
      <c r="H1030" s="10"/>
      <c r="I1030" s="9"/>
      <c r="J1030" s="8" t="s">
        <v>99</v>
      </c>
      <c r="K1030" s="7"/>
      <c r="L1030" s="7"/>
      <c r="M1030" s="7" t="str">
        <f>IF(C1030="Caixa","-",VLOOKUP(J1030,[1]Estrutura!C:E,3,FALSE))</f>
        <v>4.3</v>
      </c>
      <c r="N1030" s="7"/>
      <c r="O1030" s="7">
        <f t="shared" si="60"/>
        <v>23</v>
      </c>
      <c r="P1030" s="7">
        <f t="shared" si="61"/>
        <v>9</v>
      </c>
      <c r="Q1030" s="7">
        <f t="shared" si="62"/>
        <v>2026</v>
      </c>
      <c r="R1030" s="6">
        <f t="shared" si="63"/>
        <v>-359.57</v>
      </c>
      <c r="S1030" s="12">
        <v>46288</v>
      </c>
    </row>
    <row r="1031" spans="1:19">
      <c r="A1031" s="16">
        <v>46288</v>
      </c>
      <c r="B1031" s="8" t="s">
        <v>14</v>
      </c>
      <c r="C1031" s="8" t="s">
        <v>9</v>
      </c>
      <c r="D1031" s="15"/>
      <c r="E1031" s="15">
        <v>616</v>
      </c>
      <c r="F1031" s="15" t="s">
        <v>73</v>
      </c>
      <c r="G1031" s="8" t="s">
        <v>317</v>
      </c>
      <c r="H1031" s="14"/>
      <c r="I1031" s="13"/>
      <c r="J1031" s="8" t="s">
        <v>77</v>
      </c>
      <c r="K1031" s="8"/>
      <c r="L1031" s="8"/>
      <c r="M1031" s="8" t="str">
        <f>IF(C1031="Caixa","-",VLOOKUP(J1031,[1]Estrutura!C:E,3,FALSE))</f>
        <v>4.3</v>
      </c>
      <c r="N1031" s="8"/>
      <c r="O1031" s="7">
        <f t="shared" si="60"/>
        <v>23</v>
      </c>
      <c r="P1031" s="7">
        <f t="shared" si="61"/>
        <v>9</v>
      </c>
      <c r="Q1031" s="7">
        <f t="shared" si="62"/>
        <v>2026</v>
      </c>
      <c r="R1031" s="6">
        <f t="shared" si="63"/>
        <v>-616</v>
      </c>
      <c r="S1031" s="12">
        <v>46288</v>
      </c>
    </row>
    <row r="1032" spans="1:19">
      <c r="A1032" s="12">
        <v>46288</v>
      </c>
      <c r="B1032" s="7" t="s">
        <v>14</v>
      </c>
      <c r="C1032" s="7" t="s">
        <v>9</v>
      </c>
      <c r="D1032" s="11"/>
      <c r="E1032" s="11">
        <v>38.99</v>
      </c>
      <c r="F1032" s="11" t="s">
        <v>79</v>
      </c>
      <c r="G1032" s="7" t="s">
        <v>329</v>
      </c>
      <c r="H1032" s="10"/>
      <c r="I1032" s="9"/>
      <c r="J1032" s="7" t="s">
        <v>77</v>
      </c>
      <c r="K1032" s="7"/>
      <c r="L1032" s="7"/>
      <c r="M1032" s="7" t="str">
        <f>IF(C1032="Caixa","-",VLOOKUP(J1032,[1]Estrutura!C:E,3,FALSE))</f>
        <v>4.3</v>
      </c>
      <c r="N1032" s="7"/>
      <c r="O1032" s="7">
        <f t="shared" si="60"/>
        <v>23</v>
      </c>
      <c r="P1032" s="7">
        <f t="shared" si="61"/>
        <v>9</v>
      </c>
      <c r="Q1032" s="7">
        <f t="shared" si="62"/>
        <v>2026</v>
      </c>
      <c r="R1032" s="6">
        <f t="shared" si="63"/>
        <v>-38.99</v>
      </c>
      <c r="S1032" s="16">
        <v>46288</v>
      </c>
    </row>
    <row r="1033" spans="1:19">
      <c r="A1033" s="12">
        <v>46288</v>
      </c>
      <c r="B1033" s="7" t="s">
        <v>14</v>
      </c>
      <c r="C1033" s="7" t="s">
        <v>9</v>
      </c>
      <c r="D1033" s="11"/>
      <c r="E1033" s="15">
        <v>1442</v>
      </c>
      <c r="F1033" s="11" t="s">
        <v>109</v>
      </c>
      <c r="G1033" s="8" t="s">
        <v>75</v>
      </c>
      <c r="H1033" s="10"/>
      <c r="I1033" s="22"/>
      <c r="J1033" s="7" t="s">
        <v>74</v>
      </c>
      <c r="K1033" s="18"/>
      <c r="L1033" s="8"/>
      <c r="M1033" s="8" t="str">
        <f>IF(C1033="Caixa","-",VLOOKUP(J1033,[1]Estrutura!C:E,3,FALSE))</f>
        <v>4.1</v>
      </c>
      <c r="N1033" s="8"/>
      <c r="O1033" s="7">
        <f t="shared" si="60"/>
        <v>23</v>
      </c>
      <c r="P1033" s="7">
        <f t="shared" si="61"/>
        <v>9</v>
      </c>
      <c r="Q1033" s="7">
        <f t="shared" si="62"/>
        <v>2026</v>
      </c>
      <c r="R1033" s="6">
        <f t="shared" si="63"/>
        <v>-1442</v>
      </c>
      <c r="S1033" s="16">
        <v>46288</v>
      </c>
    </row>
    <row r="1034" spans="1:19">
      <c r="A1034" s="12">
        <v>46288</v>
      </c>
      <c r="B1034" s="7" t="s">
        <v>14</v>
      </c>
      <c r="C1034" s="7" t="s">
        <v>9</v>
      </c>
      <c r="D1034" s="11"/>
      <c r="E1034" s="11">
        <v>5227</v>
      </c>
      <c r="F1034" s="11" t="s">
        <v>50</v>
      </c>
      <c r="G1034" s="8" t="s">
        <v>70</v>
      </c>
      <c r="H1034" s="10"/>
      <c r="I1034" s="9"/>
      <c r="J1034" s="7" t="s">
        <v>35</v>
      </c>
      <c r="K1034" s="7"/>
      <c r="L1034" s="7"/>
      <c r="M1034" s="7" t="str">
        <f>IF(C1034="Caixa","-",VLOOKUP(J1034,[1]Estrutura!C:E,3,FALSE))</f>
        <v>4.1</v>
      </c>
      <c r="N1034" s="7"/>
      <c r="O1034" s="7">
        <f t="shared" si="60"/>
        <v>23</v>
      </c>
      <c r="P1034" s="7">
        <f t="shared" si="61"/>
        <v>9</v>
      </c>
      <c r="Q1034" s="7">
        <f t="shared" si="62"/>
        <v>2026</v>
      </c>
      <c r="R1034" s="6">
        <f t="shared" si="63"/>
        <v>-5227</v>
      </c>
      <c r="S1034" s="12">
        <v>46288</v>
      </c>
    </row>
    <row r="1035" spans="1:19">
      <c r="A1035" s="16">
        <v>46288</v>
      </c>
      <c r="B1035" s="8" t="s">
        <v>14</v>
      </c>
      <c r="C1035" s="8" t="s">
        <v>9</v>
      </c>
      <c r="D1035" s="15"/>
      <c r="E1035" s="15">
        <v>2815</v>
      </c>
      <c r="F1035" s="15" t="s">
        <v>51</v>
      </c>
      <c r="G1035" s="8" t="s">
        <v>438</v>
      </c>
      <c r="H1035" s="14"/>
      <c r="I1035" s="13"/>
      <c r="J1035" s="7" t="s">
        <v>35</v>
      </c>
      <c r="K1035" s="8"/>
      <c r="L1035" s="8"/>
      <c r="M1035" s="8" t="str">
        <f>IF(C1035="Caixa","-",VLOOKUP(J1035,[1]Estrutura!C:E,3,FALSE))</f>
        <v>4.1</v>
      </c>
      <c r="N1035" s="8"/>
      <c r="O1035" s="7">
        <f t="shared" si="60"/>
        <v>23</v>
      </c>
      <c r="P1035" s="7">
        <f t="shared" si="61"/>
        <v>9</v>
      </c>
      <c r="Q1035" s="7">
        <f t="shared" si="62"/>
        <v>2026</v>
      </c>
      <c r="R1035" s="6">
        <f t="shared" si="63"/>
        <v>-2815</v>
      </c>
      <c r="S1035" s="16">
        <v>46288</v>
      </c>
    </row>
    <row r="1036" spans="1:19">
      <c r="A1036" s="16">
        <v>46288</v>
      </c>
      <c r="B1036" s="8" t="s">
        <v>14</v>
      </c>
      <c r="C1036" s="24" t="s">
        <v>9</v>
      </c>
      <c r="D1036" s="15"/>
      <c r="E1036" s="15">
        <v>8400</v>
      </c>
      <c r="F1036" s="11" t="s">
        <v>49</v>
      </c>
      <c r="G1036" s="15" t="s">
        <v>438</v>
      </c>
      <c r="H1036" s="14"/>
      <c r="I1036" s="13"/>
      <c r="J1036" s="7" t="s">
        <v>35</v>
      </c>
      <c r="K1036" s="8"/>
      <c r="L1036" s="7"/>
      <c r="M1036" s="7" t="str">
        <f>IF(C1036="Caixa","-",VLOOKUP(J1036,[1]Estrutura!C:E,3,FALSE))</f>
        <v>4.1</v>
      </c>
      <c r="N1036" s="7"/>
      <c r="O1036" s="7">
        <f t="shared" si="60"/>
        <v>23</v>
      </c>
      <c r="P1036" s="7">
        <f t="shared" si="61"/>
        <v>9</v>
      </c>
      <c r="Q1036" s="7">
        <f t="shared" si="62"/>
        <v>2026</v>
      </c>
      <c r="R1036" s="6">
        <f t="shared" si="63"/>
        <v>-8400</v>
      </c>
      <c r="S1036" s="12">
        <v>46288</v>
      </c>
    </row>
    <row r="1037" spans="1:19">
      <c r="A1037" s="12">
        <v>46288</v>
      </c>
      <c r="B1037" s="7" t="s">
        <v>14</v>
      </c>
      <c r="C1037" s="7" t="s">
        <v>9</v>
      </c>
      <c r="D1037" s="11"/>
      <c r="E1037" s="11">
        <v>8811</v>
      </c>
      <c r="F1037" s="11" t="s">
        <v>85</v>
      </c>
      <c r="G1037" s="8" t="s">
        <v>84</v>
      </c>
      <c r="H1037" s="10"/>
      <c r="I1037" s="9"/>
      <c r="J1037" s="7" t="s">
        <v>83</v>
      </c>
      <c r="K1037" s="7"/>
      <c r="L1037" s="8"/>
      <c r="M1037" s="8" t="str">
        <f>IF(C1037="Caixa","-",VLOOKUP(J1037,[1]Estrutura!C:E,3,FALSE))</f>
        <v>4.1</v>
      </c>
      <c r="N1037" s="8"/>
      <c r="O1037" s="7">
        <f t="shared" si="60"/>
        <v>23</v>
      </c>
      <c r="P1037" s="7">
        <f t="shared" si="61"/>
        <v>9</v>
      </c>
      <c r="Q1037" s="7">
        <f t="shared" si="62"/>
        <v>2026</v>
      </c>
      <c r="R1037" s="6">
        <f t="shared" si="63"/>
        <v>-8811</v>
      </c>
      <c r="S1037" s="16">
        <v>46288</v>
      </c>
    </row>
    <row r="1038" spans="1:19">
      <c r="A1038" s="16">
        <v>46288</v>
      </c>
      <c r="B1038" s="8" t="s">
        <v>14</v>
      </c>
      <c r="C1038" s="8" t="s">
        <v>9</v>
      </c>
      <c r="D1038" s="15"/>
      <c r="E1038" s="15">
        <v>8811</v>
      </c>
      <c r="F1038" s="15" t="s">
        <v>94</v>
      </c>
      <c r="G1038" s="8" t="s">
        <v>84</v>
      </c>
      <c r="H1038" s="14"/>
      <c r="I1038" s="13"/>
      <c r="J1038" s="8" t="s">
        <v>83</v>
      </c>
      <c r="K1038" s="8"/>
      <c r="L1038" s="7"/>
      <c r="M1038" s="7" t="str">
        <f>IF(C1038="Caixa","-",VLOOKUP(J1038,[1]Estrutura!C:E,3,FALSE))</f>
        <v>4.1</v>
      </c>
      <c r="N1038" s="7"/>
      <c r="O1038" s="7">
        <f t="shared" ref="O1038:O1101" si="64">DAY(A1038)</f>
        <v>23</v>
      </c>
      <c r="P1038" s="7">
        <f t="shared" ref="P1038:P1101" si="65">MONTH(A1038)</f>
        <v>9</v>
      </c>
      <c r="Q1038" s="7">
        <f t="shared" ref="Q1038:Q1101" si="66">YEAR(A1038)</f>
        <v>2026</v>
      </c>
      <c r="R1038" s="6">
        <f t="shared" ref="R1038:R1101" si="67">D1038-E1038</f>
        <v>-8811</v>
      </c>
      <c r="S1038" s="12">
        <v>46288</v>
      </c>
    </row>
    <row r="1039" spans="1:19">
      <c r="A1039" s="12">
        <v>46288</v>
      </c>
      <c r="B1039" s="7" t="s">
        <v>14</v>
      </c>
      <c r="C1039" s="7" t="s">
        <v>9</v>
      </c>
      <c r="D1039" s="11"/>
      <c r="E1039" s="15">
        <v>800</v>
      </c>
      <c r="F1039" s="11" t="s">
        <v>51</v>
      </c>
      <c r="G1039" s="8" t="s">
        <v>112</v>
      </c>
      <c r="H1039" s="10"/>
      <c r="I1039" s="9"/>
      <c r="J1039" s="7" t="s">
        <v>110</v>
      </c>
      <c r="K1039" s="7"/>
      <c r="L1039" s="8"/>
      <c r="M1039" s="8" t="str">
        <f>IF(C1039="Caixa","-",VLOOKUP(J1039,[1]Estrutura!C:E,3,FALSE))</f>
        <v>4.1</v>
      </c>
      <c r="N1039" s="8"/>
      <c r="O1039" s="7">
        <f t="shared" si="64"/>
        <v>23</v>
      </c>
      <c r="P1039" s="7">
        <f t="shared" si="65"/>
        <v>9</v>
      </c>
      <c r="Q1039" s="7">
        <f t="shared" si="66"/>
        <v>2026</v>
      </c>
      <c r="R1039" s="6">
        <f t="shared" si="67"/>
        <v>-800</v>
      </c>
      <c r="S1039" s="12">
        <v>46288</v>
      </c>
    </row>
    <row r="1040" spans="1:19">
      <c r="A1040" s="12">
        <v>46288</v>
      </c>
      <c r="B1040" s="7" t="s">
        <v>14</v>
      </c>
      <c r="C1040" s="7" t="s">
        <v>9</v>
      </c>
      <c r="D1040" s="11"/>
      <c r="E1040" s="15">
        <v>800</v>
      </c>
      <c r="F1040" s="11" t="s">
        <v>49</v>
      </c>
      <c r="G1040" s="7" t="s">
        <v>112</v>
      </c>
      <c r="H1040" s="10"/>
      <c r="I1040" s="22"/>
      <c r="J1040" s="7" t="s">
        <v>110</v>
      </c>
      <c r="K1040" s="18"/>
      <c r="L1040" s="7"/>
      <c r="M1040" s="7" t="str">
        <f>IF(C1040="Caixa","-",VLOOKUP(J1040,[1]Estrutura!C:E,3,FALSE))</f>
        <v>4.1</v>
      </c>
      <c r="N1040" s="7"/>
      <c r="O1040" s="7">
        <f t="shared" si="64"/>
        <v>23</v>
      </c>
      <c r="P1040" s="7">
        <f t="shared" si="65"/>
        <v>9</v>
      </c>
      <c r="Q1040" s="7">
        <f t="shared" si="66"/>
        <v>2026</v>
      </c>
      <c r="R1040" s="6">
        <f t="shared" si="67"/>
        <v>-800</v>
      </c>
      <c r="S1040" s="16">
        <v>46288</v>
      </c>
    </row>
    <row r="1041" spans="1:19">
      <c r="A1041" s="16">
        <v>46288</v>
      </c>
      <c r="B1041" s="8" t="s">
        <v>14</v>
      </c>
      <c r="C1041" s="8" t="s">
        <v>9</v>
      </c>
      <c r="D1041" s="15"/>
      <c r="E1041" s="15">
        <v>724.5</v>
      </c>
      <c r="F1041" s="15" t="s">
        <v>50</v>
      </c>
      <c r="G1041" s="8" t="s">
        <v>323</v>
      </c>
      <c r="H1041" s="14"/>
      <c r="I1041" s="13"/>
      <c r="J1041" s="8" t="s">
        <v>110</v>
      </c>
      <c r="K1041" s="8"/>
      <c r="L1041" s="8"/>
      <c r="M1041" s="8" t="str">
        <f>IF(C1041="Caixa","-",VLOOKUP(J1041,[1]Estrutura!C:E,3,FALSE))</f>
        <v>4.1</v>
      </c>
      <c r="N1041" s="8"/>
      <c r="O1041" s="7">
        <f t="shared" si="64"/>
        <v>23</v>
      </c>
      <c r="P1041" s="7">
        <f t="shared" si="65"/>
        <v>9</v>
      </c>
      <c r="Q1041" s="7">
        <f t="shared" si="66"/>
        <v>2026</v>
      </c>
      <c r="R1041" s="6">
        <f t="shared" si="67"/>
        <v>-724.5</v>
      </c>
      <c r="S1041" s="12">
        <v>46288</v>
      </c>
    </row>
    <row r="1042" spans="1:19">
      <c r="A1042" s="16">
        <v>46288</v>
      </c>
      <c r="B1042" s="8" t="s">
        <v>14</v>
      </c>
      <c r="C1042" s="8" t="s">
        <v>9</v>
      </c>
      <c r="D1042" s="15"/>
      <c r="E1042" s="11">
        <v>470.8</v>
      </c>
      <c r="F1042" s="15" t="s">
        <v>51</v>
      </c>
      <c r="G1042" s="7" t="s">
        <v>93</v>
      </c>
      <c r="H1042" s="14"/>
      <c r="I1042" s="13"/>
      <c r="J1042" s="8" t="s">
        <v>89</v>
      </c>
      <c r="K1042" s="8"/>
      <c r="L1042" s="7"/>
      <c r="M1042" s="7" t="str">
        <f>IF(C1042="Caixa","-",VLOOKUP(J1042,[1]Estrutura!C:E,3,FALSE))</f>
        <v>4.1</v>
      </c>
      <c r="N1042" s="7"/>
      <c r="O1042" s="7">
        <f t="shared" si="64"/>
        <v>23</v>
      </c>
      <c r="P1042" s="7">
        <f t="shared" si="65"/>
        <v>9</v>
      </c>
      <c r="Q1042" s="7">
        <f t="shared" si="66"/>
        <v>2026</v>
      </c>
      <c r="R1042" s="6">
        <f t="shared" si="67"/>
        <v>-470.8</v>
      </c>
      <c r="S1042" s="16">
        <v>46288</v>
      </c>
    </row>
    <row r="1043" spans="1:19">
      <c r="A1043" s="12">
        <v>46288</v>
      </c>
      <c r="B1043" s="7" t="s">
        <v>14</v>
      </c>
      <c r="C1043" s="7" t="s">
        <v>9</v>
      </c>
      <c r="D1043" s="11"/>
      <c r="E1043" s="11">
        <v>470.8</v>
      </c>
      <c r="F1043" s="11" t="s">
        <v>50</v>
      </c>
      <c r="G1043" s="7" t="s">
        <v>93</v>
      </c>
      <c r="H1043" s="10"/>
      <c r="I1043" s="9"/>
      <c r="J1043" s="7" t="s">
        <v>89</v>
      </c>
      <c r="K1043" s="7"/>
      <c r="L1043" s="8"/>
      <c r="M1043" s="8" t="str">
        <f>IF(C1043="Caixa","-",VLOOKUP(J1043,[1]Estrutura!C:E,3,FALSE))</f>
        <v>4.1</v>
      </c>
      <c r="N1043" s="8"/>
      <c r="O1043" s="7">
        <f t="shared" si="64"/>
        <v>23</v>
      </c>
      <c r="P1043" s="7">
        <f t="shared" si="65"/>
        <v>9</v>
      </c>
      <c r="Q1043" s="7">
        <f t="shared" si="66"/>
        <v>2026</v>
      </c>
      <c r="R1043" s="6">
        <f t="shared" si="67"/>
        <v>-470.8</v>
      </c>
      <c r="S1043" s="12">
        <v>46288</v>
      </c>
    </row>
    <row r="1044" spans="1:19">
      <c r="A1044" s="12">
        <v>46288</v>
      </c>
      <c r="B1044" s="7" t="s">
        <v>26</v>
      </c>
      <c r="C1044" s="7" t="s">
        <v>6</v>
      </c>
      <c r="D1044" s="11"/>
      <c r="E1044" s="11">
        <v>43.38</v>
      </c>
      <c r="F1044" s="11" t="s">
        <v>294</v>
      </c>
      <c r="G1044" s="7" t="s">
        <v>437</v>
      </c>
      <c r="H1044" s="10"/>
      <c r="I1044" s="9"/>
      <c r="J1044" s="8" t="s">
        <v>99</v>
      </c>
      <c r="K1044" s="7" t="s">
        <v>21</v>
      </c>
      <c r="L1044" s="7"/>
      <c r="M1044" s="7" t="str">
        <f>IF(C1044="Caixa","-",VLOOKUP(J1044,[1]Estrutura!C:E,3,FALSE))</f>
        <v>4.3</v>
      </c>
      <c r="N1044" s="7"/>
      <c r="O1044" s="7">
        <f t="shared" si="64"/>
        <v>23</v>
      </c>
      <c r="P1044" s="7">
        <f t="shared" si="65"/>
        <v>9</v>
      </c>
      <c r="Q1044" s="7">
        <f t="shared" si="66"/>
        <v>2026</v>
      </c>
      <c r="R1044" s="6">
        <f t="shared" si="67"/>
        <v>-43.38</v>
      </c>
      <c r="S1044" s="16">
        <v>46288</v>
      </c>
    </row>
    <row r="1045" spans="1:19">
      <c r="A1045" s="12">
        <v>46288</v>
      </c>
      <c r="B1045" s="7" t="s">
        <v>26</v>
      </c>
      <c r="C1045" s="7" t="s">
        <v>6</v>
      </c>
      <c r="D1045" s="11"/>
      <c r="E1045" s="11">
        <v>2500</v>
      </c>
      <c r="F1045" s="11" t="s">
        <v>436</v>
      </c>
      <c r="G1045" s="7" t="s">
        <v>435</v>
      </c>
      <c r="H1045" s="10"/>
      <c r="I1045" s="9"/>
      <c r="J1045" s="7" t="s">
        <v>52</v>
      </c>
      <c r="K1045" s="7" t="s">
        <v>21</v>
      </c>
      <c r="L1045" s="8"/>
      <c r="M1045" s="8" t="str">
        <f>IF(C1045="Caixa","-",VLOOKUP(J1045,[1]Estrutura!C:E,3,FALSE))</f>
        <v>4.2</v>
      </c>
      <c r="N1045" s="8"/>
      <c r="O1045" s="7">
        <f t="shared" si="64"/>
        <v>23</v>
      </c>
      <c r="P1045" s="7">
        <f t="shared" si="65"/>
        <v>9</v>
      </c>
      <c r="Q1045" s="7">
        <f t="shared" si="66"/>
        <v>2026</v>
      </c>
      <c r="R1045" s="6">
        <f t="shared" si="67"/>
        <v>-2500</v>
      </c>
      <c r="S1045" s="16">
        <v>46288</v>
      </c>
    </row>
    <row r="1046" spans="1:19">
      <c r="A1046" s="16">
        <v>46288</v>
      </c>
      <c r="B1046" s="8" t="s">
        <v>26</v>
      </c>
      <c r="C1046" s="8" t="s">
        <v>6</v>
      </c>
      <c r="D1046" s="15"/>
      <c r="E1046" s="11">
        <v>2174</v>
      </c>
      <c r="F1046" s="15" t="s">
        <v>71</v>
      </c>
      <c r="G1046" s="11" t="s">
        <v>70</v>
      </c>
      <c r="H1046" s="14"/>
      <c r="I1046" s="13"/>
      <c r="J1046" s="7" t="s">
        <v>35</v>
      </c>
      <c r="K1046" s="8" t="s">
        <v>40</v>
      </c>
      <c r="L1046" s="7"/>
      <c r="M1046" s="7" t="str">
        <f>IF(C1046="Caixa","-",VLOOKUP(J1046,[1]Estrutura!C:E,3,FALSE))</f>
        <v>4.1</v>
      </c>
      <c r="N1046" s="7"/>
      <c r="O1046" s="7">
        <f t="shared" si="64"/>
        <v>23</v>
      </c>
      <c r="P1046" s="7">
        <f t="shared" si="65"/>
        <v>9</v>
      </c>
      <c r="Q1046" s="7">
        <f t="shared" si="66"/>
        <v>2026</v>
      </c>
      <c r="R1046" s="6">
        <f t="shared" si="67"/>
        <v>-2174</v>
      </c>
      <c r="S1046" s="16">
        <v>46288</v>
      </c>
    </row>
    <row r="1047" spans="1:19">
      <c r="A1047" s="16">
        <v>46288</v>
      </c>
      <c r="B1047" s="8" t="s">
        <v>26</v>
      </c>
      <c r="C1047" s="8" t="s">
        <v>6</v>
      </c>
      <c r="D1047" s="15"/>
      <c r="E1047" s="15">
        <v>2940</v>
      </c>
      <c r="F1047" s="15" t="s">
        <v>37</v>
      </c>
      <c r="G1047" s="7" t="s">
        <v>70</v>
      </c>
      <c r="H1047" s="14"/>
      <c r="I1047" s="13"/>
      <c r="J1047" s="7" t="s">
        <v>35</v>
      </c>
      <c r="K1047" s="18" t="s">
        <v>34</v>
      </c>
      <c r="L1047" s="8"/>
      <c r="M1047" s="8" t="str">
        <f>IF(C1047="Caixa","-",VLOOKUP(J1047,[1]Estrutura!C:E,3,FALSE))</f>
        <v>4.1</v>
      </c>
      <c r="N1047" s="8"/>
      <c r="O1047" s="7">
        <f t="shared" si="64"/>
        <v>23</v>
      </c>
      <c r="P1047" s="7">
        <f t="shared" si="65"/>
        <v>9</v>
      </c>
      <c r="Q1047" s="7">
        <f t="shared" si="66"/>
        <v>2026</v>
      </c>
      <c r="R1047" s="6">
        <f t="shared" si="67"/>
        <v>-2940</v>
      </c>
      <c r="S1047" s="12">
        <v>46288</v>
      </c>
    </row>
    <row r="1048" spans="1:19">
      <c r="A1048" s="12">
        <v>46288</v>
      </c>
      <c r="B1048" s="7" t="s">
        <v>26</v>
      </c>
      <c r="C1048" s="7" t="s">
        <v>6</v>
      </c>
      <c r="D1048" s="11"/>
      <c r="E1048" s="15">
        <v>1875</v>
      </c>
      <c r="F1048" s="11" t="s">
        <v>48</v>
      </c>
      <c r="G1048" s="7" t="s">
        <v>91</v>
      </c>
      <c r="H1048" s="10"/>
      <c r="I1048" s="9"/>
      <c r="J1048" s="7" t="s">
        <v>35</v>
      </c>
      <c r="K1048" s="8" t="s">
        <v>40</v>
      </c>
      <c r="L1048" s="7"/>
      <c r="M1048" s="7" t="str">
        <f>IF(C1048="Caixa","-",VLOOKUP(J1048,[1]Estrutura!C:E,3,FALSE))</f>
        <v>4.1</v>
      </c>
      <c r="N1048" s="7"/>
      <c r="O1048" s="7">
        <f t="shared" si="64"/>
        <v>23</v>
      </c>
      <c r="P1048" s="7">
        <f t="shared" si="65"/>
        <v>9</v>
      </c>
      <c r="Q1048" s="7">
        <f t="shared" si="66"/>
        <v>2026</v>
      </c>
      <c r="R1048" s="6">
        <f t="shared" si="67"/>
        <v>-1875</v>
      </c>
      <c r="S1048" s="16">
        <v>46288</v>
      </c>
    </row>
    <row r="1049" spans="1:19">
      <c r="A1049" s="16">
        <v>46288</v>
      </c>
      <c r="B1049" s="8" t="s">
        <v>26</v>
      </c>
      <c r="C1049" s="8" t="s">
        <v>6</v>
      </c>
      <c r="D1049" s="15"/>
      <c r="E1049" s="15">
        <v>3045</v>
      </c>
      <c r="F1049" s="15" t="s">
        <v>47</v>
      </c>
      <c r="G1049" s="8" t="s">
        <v>91</v>
      </c>
      <c r="H1049" s="14"/>
      <c r="I1049" s="13"/>
      <c r="J1049" s="7" t="s">
        <v>35</v>
      </c>
      <c r="K1049" s="8" t="s">
        <v>21</v>
      </c>
      <c r="L1049" s="8"/>
      <c r="M1049" s="8" t="str">
        <f>IF(C1049="Caixa","-",VLOOKUP(J1049,[1]Estrutura!C:E,3,FALSE))</f>
        <v>4.1</v>
      </c>
      <c r="N1049" s="8"/>
      <c r="O1049" s="7">
        <f t="shared" si="64"/>
        <v>23</v>
      </c>
      <c r="P1049" s="7">
        <f t="shared" si="65"/>
        <v>9</v>
      </c>
      <c r="Q1049" s="7">
        <f t="shared" si="66"/>
        <v>2026</v>
      </c>
      <c r="R1049" s="6">
        <f t="shared" si="67"/>
        <v>-3045</v>
      </c>
      <c r="S1049" s="12">
        <v>46288</v>
      </c>
    </row>
    <row r="1050" spans="1:19">
      <c r="A1050" s="12">
        <v>46288</v>
      </c>
      <c r="B1050" s="7" t="s">
        <v>26</v>
      </c>
      <c r="C1050" s="7" t="s">
        <v>6</v>
      </c>
      <c r="D1050" s="11"/>
      <c r="E1050" s="11">
        <v>2997</v>
      </c>
      <c r="F1050" s="11" t="s">
        <v>46</v>
      </c>
      <c r="G1050" s="7" t="s">
        <v>91</v>
      </c>
      <c r="H1050" s="10"/>
      <c r="I1050" s="9"/>
      <c r="J1050" s="7" t="s">
        <v>35</v>
      </c>
      <c r="K1050" s="18" t="s">
        <v>34</v>
      </c>
      <c r="L1050" s="7"/>
      <c r="M1050" s="7" t="str">
        <f>IF(C1050="Caixa","-",VLOOKUP(J1050,[1]Estrutura!C:E,3,FALSE))</f>
        <v>4.1</v>
      </c>
      <c r="N1050" s="7"/>
      <c r="O1050" s="7">
        <f t="shared" si="64"/>
        <v>23</v>
      </c>
      <c r="P1050" s="7">
        <f t="shared" si="65"/>
        <v>9</v>
      </c>
      <c r="Q1050" s="7">
        <f t="shared" si="66"/>
        <v>2026</v>
      </c>
      <c r="R1050" s="6">
        <f t="shared" si="67"/>
        <v>-2997</v>
      </c>
      <c r="S1050" s="16">
        <v>46288</v>
      </c>
    </row>
    <row r="1051" spans="1:19">
      <c r="A1051" s="16">
        <v>46288</v>
      </c>
      <c r="B1051" s="8" t="s">
        <v>26</v>
      </c>
      <c r="C1051" s="8" t="s">
        <v>6</v>
      </c>
      <c r="D1051" s="15"/>
      <c r="E1051" s="15">
        <v>2722</v>
      </c>
      <c r="F1051" s="15" t="s">
        <v>45</v>
      </c>
      <c r="G1051" s="8" t="s">
        <v>91</v>
      </c>
      <c r="H1051" s="14"/>
      <c r="I1051" s="13"/>
      <c r="J1051" s="7" t="s">
        <v>35</v>
      </c>
      <c r="K1051" s="8" t="s">
        <v>44</v>
      </c>
      <c r="L1051" s="8"/>
      <c r="M1051" s="8" t="str">
        <f>IF(C1051="Caixa","-",VLOOKUP(J1051,[1]Estrutura!C:E,3,FALSE))</f>
        <v>4.1</v>
      </c>
      <c r="N1051" s="8"/>
      <c r="O1051" s="7">
        <f t="shared" si="64"/>
        <v>23</v>
      </c>
      <c r="P1051" s="7">
        <f t="shared" si="65"/>
        <v>9</v>
      </c>
      <c r="Q1051" s="7">
        <f t="shared" si="66"/>
        <v>2026</v>
      </c>
      <c r="R1051" s="6">
        <f t="shared" si="67"/>
        <v>-2722</v>
      </c>
      <c r="S1051" s="16">
        <v>46289</v>
      </c>
    </row>
    <row r="1052" spans="1:19">
      <c r="A1052" s="12">
        <v>46288</v>
      </c>
      <c r="B1052" s="7" t="s">
        <v>26</v>
      </c>
      <c r="C1052" s="7" t="s">
        <v>6</v>
      </c>
      <c r="D1052" s="11"/>
      <c r="E1052" s="11">
        <v>2040</v>
      </c>
      <c r="F1052" s="11" t="s">
        <v>38</v>
      </c>
      <c r="G1052" s="7" t="s">
        <v>91</v>
      </c>
      <c r="H1052" s="10"/>
      <c r="I1052" s="9"/>
      <c r="J1052" s="7" t="s">
        <v>35</v>
      </c>
      <c r="K1052" s="18" t="s">
        <v>34</v>
      </c>
      <c r="L1052" s="7"/>
      <c r="M1052" s="7" t="str">
        <f>IF(C1052="Caixa","-",VLOOKUP(J1052,[1]Estrutura!C:E,3,FALSE))</f>
        <v>4.1</v>
      </c>
      <c r="N1052" s="7"/>
      <c r="O1052" s="7">
        <f t="shared" si="64"/>
        <v>23</v>
      </c>
      <c r="P1052" s="7">
        <f t="shared" si="65"/>
        <v>9</v>
      </c>
      <c r="Q1052" s="7">
        <f t="shared" si="66"/>
        <v>2026</v>
      </c>
      <c r="R1052" s="6">
        <f t="shared" si="67"/>
        <v>-2040</v>
      </c>
      <c r="S1052" s="16">
        <v>46290</v>
      </c>
    </row>
    <row r="1053" spans="1:19">
      <c r="A1053" s="12">
        <v>46288</v>
      </c>
      <c r="B1053" s="7" t="s">
        <v>26</v>
      </c>
      <c r="C1053" s="7" t="s">
        <v>6</v>
      </c>
      <c r="D1053" s="11"/>
      <c r="E1053" s="11">
        <v>1926</v>
      </c>
      <c r="F1053" s="11" t="s">
        <v>43</v>
      </c>
      <c r="G1053" s="7" t="s">
        <v>91</v>
      </c>
      <c r="H1053" s="10"/>
      <c r="I1053" s="9"/>
      <c r="J1053" s="7" t="s">
        <v>35</v>
      </c>
      <c r="K1053" s="8" t="s">
        <v>40</v>
      </c>
      <c r="L1053" s="8"/>
      <c r="M1053" s="8" t="str">
        <f>IF(C1053="Caixa","-",VLOOKUP(J1053,[1]Estrutura!C:E,3,FALSE))</f>
        <v>4.1</v>
      </c>
      <c r="N1053" s="8"/>
      <c r="O1053" s="7">
        <f t="shared" si="64"/>
        <v>23</v>
      </c>
      <c r="P1053" s="7">
        <f t="shared" si="65"/>
        <v>9</v>
      </c>
      <c r="Q1053" s="7">
        <f t="shared" si="66"/>
        <v>2026</v>
      </c>
      <c r="R1053" s="6">
        <f t="shared" si="67"/>
        <v>-1926</v>
      </c>
      <c r="S1053" s="16">
        <v>46290</v>
      </c>
    </row>
    <row r="1054" spans="1:19">
      <c r="A1054" s="16">
        <v>46288</v>
      </c>
      <c r="B1054" s="8" t="s">
        <v>26</v>
      </c>
      <c r="C1054" s="8" t="s">
        <v>6</v>
      </c>
      <c r="D1054" s="15"/>
      <c r="E1054" s="15">
        <v>2321</v>
      </c>
      <c r="F1054" s="15" t="s">
        <v>42</v>
      </c>
      <c r="G1054" s="8" t="s">
        <v>91</v>
      </c>
      <c r="H1054" s="14"/>
      <c r="I1054" s="13"/>
      <c r="J1054" s="7" t="s">
        <v>35</v>
      </c>
      <c r="K1054" s="18" t="s">
        <v>34</v>
      </c>
      <c r="L1054" s="7"/>
      <c r="M1054" s="7" t="str">
        <f>IF(C1054="Caixa","-",VLOOKUP(J1054,[1]Estrutura!C:E,3,FALSE))</f>
        <v>4.1</v>
      </c>
      <c r="N1054" s="7"/>
      <c r="O1054" s="7">
        <f t="shared" si="64"/>
        <v>23</v>
      </c>
      <c r="P1054" s="7">
        <f t="shared" si="65"/>
        <v>9</v>
      </c>
      <c r="Q1054" s="7">
        <f t="shared" si="66"/>
        <v>2026</v>
      </c>
      <c r="R1054" s="6">
        <f t="shared" si="67"/>
        <v>-2321</v>
      </c>
      <c r="S1054" s="12">
        <v>46290</v>
      </c>
    </row>
    <row r="1055" spans="1:19">
      <c r="A1055" s="12">
        <v>46288</v>
      </c>
      <c r="B1055" s="7" t="s">
        <v>26</v>
      </c>
      <c r="C1055" s="7" t="s">
        <v>6</v>
      </c>
      <c r="D1055" s="11"/>
      <c r="E1055" s="11">
        <v>2321</v>
      </c>
      <c r="F1055" s="11" t="s">
        <v>41</v>
      </c>
      <c r="G1055" s="7" t="s">
        <v>91</v>
      </c>
      <c r="H1055" s="10"/>
      <c r="I1055" s="9"/>
      <c r="J1055" s="7" t="s">
        <v>35</v>
      </c>
      <c r="K1055" s="8" t="s">
        <v>40</v>
      </c>
      <c r="L1055" s="8"/>
      <c r="M1055" s="8" t="str">
        <f>IF(C1055="Caixa","-",VLOOKUP(J1055,[1]Estrutura!C:E,3,FALSE))</f>
        <v>4.1</v>
      </c>
      <c r="N1055" s="8"/>
      <c r="O1055" s="7">
        <f t="shared" si="64"/>
        <v>23</v>
      </c>
      <c r="P1055" s="7">
        <f t="shared" si="65"/>
        <v>9</v>
      </c>
      <c r="Q1055" s="7">
        <f t="shared" si="66"/>
        <v>2026</v>
      </c>
      <c r="R1055" s="6">
        <f t="shared" si="67"/>
        <v>-2321</v>
      </c>
      <c r="S1055" s="16">
        <v>46290</v>
      </c>
    </row>
    <row r="1056" spans="1:19">
      <c r="A1056" s="16">
        <v>46288</v>
      </c>
      <c r="B1056" s="8" t="s">
        <v>26</v>
      </c>
      <c r="C1056" s="8" t="s">
        <v>6</v>
      </c>
      <c r="D1056" s="15"/>
      <c r="E1056" s="15">
        <v>9762</v>
      </c>
      <c r="F1056" s="15" t="s">
        <v>69</v>
      </c>
      <c r="G1056" s="8" t="s">
        <v>68</v>
      </c>
      <c r="H1056" s="14"/>
      <c r="I1056" s="13"/>
      <c r="J1056" s="21" t="s">
        <v>67</v>
      </c>
      <c r="K1056" s="8" t="s">
        <v>21</v>
      </c>
      <c r="L1056" s="7"/>
      <c r="M1056" s="7" t="str">
        <f>IF(C1056="Caixa","-",VLOOKUP(J1056,[1]Estrutura!C:E,3,FALSE))</f>
        <v>4.5</v>
      </c>
      <c r="N1056" s="7"/>
      <c r="O1056" s="7">
        <f t="shared" si="64"/>
        <v>23</v>
      </c>
      <c r="P1056" s="7">
        <f t="shared" si="65"/>
        <v>9</v>
      </c>
      <c r="Q1056" s="7">
        <f t="shared" si="66"/>
        <v>2026</v>
      </c>
      <c r="R1056" s="6">
        <f t="shared" si="67"/>
        <v>-9762</v>
      </c>
      <c r="S1056" s="12">
        <v>46290</v>
      </c>
    </row>
    <row r="1057" spans="1:19">
      <c r="A1057" s="12">
        <v>46288</v>
      </c>
      <c r="B1057" s="7" t="s">
        <v>26</v>
      </c>
      <c r="C1057" s="7" t="s">
        <v>6</v>
      </c>
      <c r="D1057" s="11"/>
      <c r="E1057" s="11">
        <v>470.8</v>
      </c>
      <c r="F1057" s="15" t="s">
        <v>47</v>
      </c>
      <c r="G1057" s="7" t="s">
        <v>434</v>
      </c>
      <c r="H1057" s="10"/>
      <c r="I1057" s="9"/>
      <c r="J1057" s="7" t="s">
        <v>89</v>
      </c>
      <c r="K1057" s="7" t="s">
        <v>21</v>
      </c>
      <c r="L1057" s="8"/>
      <c r="M1057" s="8" t="str">
        <f>IF(C1057="Caixa","-",VLOOKUP(J1057,[1]Estrutura!C:E,3,FALSE))</f>
        <v>4.1</v>
      </c>
      <c r="N1057" s="8"/>
      <c r="O1057" s="7">
        <f t="shared" si="64"/>
        <v>23</v>
      </c>
      <c r="P1057" s="7">
        <f t="shared" si="65"/>
        <v>9</v>
      </c>
      <c r="Q1057" s="7">
        <f t="shared" si="66"/>
        <v>2026</v>
      </c>
      <c r="R1057" s="6">
        <f t="shared" si="67"/>
        <v>-470.8</v>
      </c>
      <c r="S1057" s="16">
        <v>46290</v>
      </c>
    </row>
    <row r="1058" spans="1:19">
      <c r="A1058" s="16">
        <v>46288</v>
      </c>
      <c r="B1058" s="7" t="s">
        <v>7</v>
      </c>
      <c r="C1058" s="7" t="s">
        <v>9</v>
      </c>
      <c r="D1058" s="15">
        <v>7297.46</v>
      </c>
      <c r="E1058" s="15"/>
      <c r="F1058" s="15"/>
      <c r="G1058" s="8" t="s">
        <v>11</v>
      </c>
      <c r="H1058" s="8"/>
      <c r="I1058" s="17"/>
      <c r="J1058" s="8" t="s">
        <v>10</v>
      </c>
      <c r="K1058" s="8"/>
      <c r="L1058" s="7"/>
      <c r="M1058" s="7" t="str">
        <f>IF(C1058="Caixa","-",VLOOKUP(J1058,[1]Estrutura!C:E,3,FALSE))</f>
        <v>1.1</v>
      </c>
      <c r="N1058" s="7"/>
      <c r="O1058" s="7">
        <f t="shared" si="64"/>
        <v>23</v>
      </c>
      <c r="P1058" s="7">
        <f t="shared" si="65"/>
        <v>9</v>
      </c>
      <c r="Q1058" s="7">
        <f t="shared" si="66"/>
        <v>2026</v>
      </c>
      <c r="R1058" s="6">
        <f t="shared" si="67"/>
        <v>7297.46</v>
      </c>
      <c r="S1058" s="12">
        <v>46290</v>
      </c>
    </row>
    <row r="1059" spans="1:19">
      <c r="A1059" s="16">
        <v>46288</v>
      </c>
      <c r="B1059" s="8" t="s">
        <v>7</v>
      </c>
      <c r="C1059" s="8" t="s">
        <v>9</v>
      </c>
      <c r="D1059" s="15"/>
      <c r="E1059" s="15">
        <v>595.12</v>
      </c>
      <c r="F1059" s="15" t="s">
        <v>328</v>
      </c>
      <c r="G1059" s="8" t="s">
        <v>433</v>
      </c>
      <c r="H1059" s="14"/>
      <c r="I1059" s="13"/>
      <c r="J1059" s="8" t="s">
        <v>250</v>
      </c>
      <c r="K1059" s="8"/>
      <c r="L1059" s="8"/>
      <c r="M1059" s="8" t="str">
        <f>IF(C1059="Caixa","-",VLOOKUP(J1059,[1]Estrutura!C:E,3,FALSE))</f>
        <v>4.9</v>
      </c>
      <c r="N1059" s="8"/>
      <c r="O1059" s="7">
        <f t="shared" si="64"/>
        <v>23</v>
      </c>
      <c r="P1059" s="7">
        <f t="shared" si="65"/>
        <v>9</v>
      </c>
      <c r="Q1059" s="7">
        <f t="shared" si="66"/>
        <v>2026</v>
      </c>
      <c r="R1059" s="6">
        <f t="shared" si="67"/>
        <v>-595.12</v>
      </c>
      <c r="S1059" s="16">
        <v>46290</v>
      </c>
    </row>
    <row r="1060" spans="1:19">
      <c r="A1060" s="16">
        <v>46288</v>
      </c>
      <c r="B1060" s="8" t="s">
        <v>7</v>
      </c>
      <c r="C1060" s="8" t="s">
        <v>9</v>
      </c>
      <c r="D1060" s="15"/>
      <c r="E1060" s="15">
        <v>121.8</v>
      </c>
      <c r="F1060" s="15" t="s">
        <v>66</v>
      </c>
      <c r="G1060" s="8" t="s">
        <v>432</v>
      </c>
      <c r="H1060" s="14">
        <v>22646</v>
      </c>
      <c r="I1060" s="13"/>
      <c r="J1060" s="8" t="s">
        <v>64</v>
      </c>
      <c r="K1060" s="8"/>
      <c r="L1060" s="7"/>
      <c r="M1060" s="7" t="str">
        <f>IF(C1060="Caixa","-",VLOOKUP(J1060,[1]Estrutura!C:E,3,FALSE))</f>
        <v>4.4</v>
      </c>
      <c r="N1060" s="7"/>
      <c r="O1060" s="7">
        <f t="shared" si="64"/>
        <v>23</v>
      </c>
      <c r="P1060" s="7">
        <f t="shared" si="65"/>
        <v>9</v>
      </c>
      <c r="Q1060" s="7">
        <f t="shared" si="66"/>
        <v>2026</v>
      </c>
      <c r="R1060" s="6">
        <f t="shared" si="67"/>
        <v>-121.8</v>
      </c>
      <c r="S1060" s="12">
        <v>46290</v>
      </c>
    </row>
    <row r="1061" spans="1:19">
      <c r="A1061" s="12">
        <v>46288</v>
      </c>
      <c r="B1061" s="7" t="s">
        <v>7</v>
      </c>
      <c r="C1061" s="7" t="s">
        <v>9</v>
      </c>
      <c r="D1061" s="11"/>
      <c r="E1061" s="11">
        <v>681.61</v>
      </c>
      <c r="F1061" s="11" t="s">
        <v>332</v>
      </c>
      <c r="G1061" s="7" t="s">
        <v>431</v>
      </c>
      <c r="H1061" s="10">
        <v>5491378</v>
      </c>
      <c r="I1061" s="9"/>
      <c r="J1061" s="7" t="s">
        <v>86</v>
      </c>
      <c r="K1061" s="7"/>
      <c r="L1061" s="8"/>
      <c r="M1061" s="8" t="str">
        <f>IF(C1061="Caixa","-",VLOOKUP(J1061,[1]Estrutura!C:E,3,FALSE))</f>
        <v>4.8</v>
      </c>
      <c r="N1061" s="8"/>
      <c r="O1061" s="7">
        <f t="shared" si="64"/>
        <v>23</v>
      </c>
      <c r="P1061" s="7">
        <f t="shared" si="65"/>
        <v>9</v>
      </c>
      <c r="Q1061" s="7">
        <f t="shared" si="66"/>
        <v>2026</v>
      </c>
      <c r="R1061" s="6">
        <f t="shared" si="67"/>
        <v>-681.61</v>
      </c>
      <c r="S1061" s="16">
        <v>46290</v>
      </c>
    </row>
    <row r="1062" spans="1:19">
      <c r="A1062" s="16">
        <v>46288</v>
      </c>
      <c r="B1062" s="8" t="s">
        <v>7</v>
      </c>
      <c r="C1062" s="8" t="s">
        <v>9</v>
      </c>
      <c r="D1062" s="15"/>
      <c r="E1062" s="15">
        <v>13216.9</v>
      </c>
      <c r="F1062" s="15" t="s">
        <v>94</v>
      </c>
      <c r="G1062" s="15" t="s">
        <v>84</v>
      </c>
      <c r="H1062" s="14"/>
      <c r="I1062" s="13"/>
      <c r="J1062" s="8" t="s">
        <v>83</v>
      </c>
      <c r="K1062" s="8"/>
      <c r="L1062" s="7"/>
      <c r="M1062" s="7" t="str">
        <f>IF(C1062="Caixa","-",VLOOKUP(J1062,[1]Estrutura!C:E,3,FALSE))</f>
        <v>4.1</v>
      </c>
      <c r="N1062" s="7"/>
      <c r="O1062" s="7">
        <f t="shared" si="64"/>
        <v>23</v>
      </c>
      <c r="P1062" s="7">
        <f t="shared" si="65"/>
        <v>9</v>
      </c>
      <c r="Q1062" s="7">
        <f t="shared" si="66"/>
        <v>2026</v>
      </c>
      <c r="R1062" s="6">
        <f t="shared" si="67"/>
        <v>-13216.9</v>
      </c>
      <c r="S1062" s="16">
        <v>46290</v>
      </c>
    </row>
    <row r="1063" spans="1:19">
      <c r="A1063" s="12">
        <v>46288</v>
      </c>
      <c r="B1063" s="7" t="s">
        <v>7</v>
      </c>
      <c r="C1063" s="7" t="s">
        <v>9</v>
      </c>
      <c r="D1063" s="11"/>
      <c r="E1063" s="11">
        <v>13216.9</v>
      </c>
      <c r="F1063" s="15" t="s">
        <v>85</v>
      </c>
      <c r="G1063" s="11" t="s">
        <v>84</v>
      </c>
      <c r="H1063" s="10"/>
      <c r="I1063" s="9"/>
      <c r="J1063" s="7" t="s">
        <v>83</v>
      </c>
      <c r="K1063" s="7"/>
      <c r="L1063" s="8"/>
      <c r="M1063" s="8" t="str">
        <f>IF(C1063="Caixa","-",VLOOKUP(J1063,[1]Estrutura!C:E,3,FALSE))</f>
        <v>4.1</v>
      </c>
      <c r="N1063" s="8"/>
      <c r="O1063" s="7">
        <f t="shared" si="64"/>
        <v>23</v>
      </c>
      <c r="P1063" s="7">
        <f t="shared" si="65"/>
        <v>9</v>
      </c>
      <c r="Q1063" s="7">
        <f t="shared" si="66"/>
        <v>2026</v>
      </c>
      <c r="R1063" s="6">
        <f t="shared" si="67"/>
        <v>-13216.9</v>
      </c>
      <c r="S1063" s="16">
        <v>46290</v>
      </c>
    </row>
    <row r="1064" spans="1:19">
      <c r="A1064" s="16">
        <v>46288</v>
      </c>
      <c r="B1064" s="8" t="s">
        <v>7</v>
      </c>
      <c r="C1064" s="8" t="s">
        <v>9</v>
      </c>
      <c r="D1064" s="15"/>
      <c r="E1064" s="15">
        <v>1500</v>
      </c>
      <c r="F1064" s="15" t="s">
        <v>63</v>
      </c>
      <c r="G1064" s="8" t="s">
        <v>430</v>
      </c>
      <c r="H1064" s="14">
        <v>700</v>
      </c>
      <c r="I1064" s="13"/>
      <c r="J1064" s="8" t="s">
        <v>62</v>
      </c>
      <c r="K1064" s="8"/>
      <c r="L1064" s="7"/>
      <c r="M1064" s="7" t="str">
        <f>IF(C1064="Caixa","-",VLOOKUP(J1064,[1]Estrutura!C:E,3,FALSE))</f>
        <v>4.5</v>
      </c>
      <c r="N1064" s="7"/>
      <c r="O1064" s="7">
        <f t="shared" si="64"/>
        <v>23</v>
      </c>
      <c r="P1064" s="7">
        <f t="shared" si="65"/>
        <v>9</v>
      </c>
      <c r="Q1064" s="7">
        <f t="shared" si="66"/>
        <v>2026</v>
      </c>
      <c r="R1064" s="6">
        <f t="shared" si="67"/>
        <v>-1500</v>
      </c>
      <c r="S1064" s="16">
        <v>46290</v>
      </c>
    </row>
    <row r="1065" spans="1:19">
      <c r="A1065" s="16">
        <v>46289</v>
      </c>
      <c r="B1065" s="8" t="s">
        <v>14</v>
      </c>
      <c r="C1065" s="7" t="s">
        <v>9</v>
      </c>
      <c r="D1065" s="15">
        <v>7744.130000000001</v>
      </c>
      <c r="E1065" s="15"/>
      <c r="F1065" s="15"/>
      <c r="G1065" s="8" t="s">
        <v>11</v>
      </c>
      <c r="H1065" s="8"/>
      <c r="I1065" s="17"/>
      <c r="J1065" s="8" t="s">
        <v>10</v>
      </c>
      <c r="K1065" s="8"/>
      <c r="L1065" s="8"/>
      <c r="M1065" s="8" t="str">
        <f>IF(C1065="Caixa","-",VLOOKUP(J1065,[1]Estrutura!C:E,3,FALSE))</f>
        <v>1.1</v>
      </c>
      <c r="N1065" s="8"/>
      <c r="O1065" s="7">
        <f t="shared" si="64"/>
        <v>24</v>
      </c>
      <c r="P1065" s="7">
        <f t="shared" si="65"/>
        <v>9</v>
      </c>
      <c r="Q1065" s="7">
        <f t="shared" si="66"/>
        <v>2026</v>
      </c>
      <c r="R1065" s="6">
        <f t="shared" si="67"/>
        <v>7744.130000000001</v>
      </c>
      <c r="S1065" s="12">
        <v>46290</v>
      </c>
    </row>
    <row r="1066" spans="1:19">
      <c r="A1066" s="16">
        <v>46290</v>
      </c>
      <c r="B1066" s="8" t="s">
        <v>14</v>
      </c>
      <c r="C1066" s="7" t="s">
        <v>9</v>
      </c>
      <c r="D1066" s="15">
        <v>4745.43</v>
      </c>
      <c r="E1066" s="15"/>
      <c r="F1066" s="15"/>
      <c r="G1066" s="8" t="s">
        <v>11</v>
      </c>
      <c r="H1066" s="8"/>
      <c r="I1066" s="17"/>
      <c r="J1066" s="8" t="s">
        <v>10</v>
      </c>
      <c r="K1066" s="8"/>
      <c r="L1066" s="7"/>
      <c r="M1066" s="7" t="str">
        <f>IF(C1066="Caixa","-",VLOOKUP(J1066,[1]Estrutura!C:E,3,FALSE))</f>
        <v>1.1</v>
      </c>
      <c r="N1066" s="7"/>
      <c r="O1066" s="7">
        <f t="shared" si="64"/>
        <v>25</v>
      </c>
      <c r="P1066" s="7">
        <f t="shared" si="65"/>
        <v>9</v>
      </c>
      <c r="Q1066" s="7">
        <f t="shared" si="66"/>
        <v>2026</v>
      </c>
      <c r="R1066" s="6">
        <f t="shared" si="67"/>
        <v>4745.43</v>
      </c>
      <c r="S1066" s="16">
        <v>46290</v>
      </c>
    </row>
    <row r="1067" spans="1:19">
      <c r="A1067" s="16">
        <v>46290</v>
      </c>
      <c r="B1067" s="8" t="s">
        <v>14</v>
      </c>
      <c r="C1067" s="8" t="s">
        <v>9</v>
      </c>
      <c r="D1067" s="15"/>
      <c r="E1067" s="15">
        <v>4072.27</v>
      </c>
      <c r="F1067" s="15" t="s">
        <v>97</v>
      </c>
      <c r="G1067" s="8" t="s">
        <v>420</v>
      </c>
      <c r="H1067" s="14"/>
      <c r="I1067" s="13"/>
      <c r="J1067" s="8" t="s">
        <v>33</v>
      </c>
      <c r="K1067" s="8"/>
      <c r="L1067" s="8"/>
      <c r="M1067" s="8" t="str">
        <f>IF(C1067="Caixa","-",VLOOKUP(J1067,[1]Estrutura!C:E,3,FALSE))</f>
        <v>2.1</v>
      </c>
      <c r="N1067" s="8"/>
      <c r="O1067" s="7">
        <f t="shared" si="64"/>
        <v>25</v>
      </c>
      <c r="P1067" s="7">
        <f t="shared" si="65"/>
        <v>9</v>
      </c>
      <c r="Q1067" s="7">
        <f t="shared" si="66"/>
        <v>2026</v>
      </c>
      <c r="R1067" s="6">
        <f t="shared" si="67"/>
        <v>-4072.27</v>
      </c>
      <c r="S1067" s="12">
        <v>46290</v>
      </c>
    </row>
    <row r="1068" spans="1:19">
      <c r="A1068" s="12">
        <v>46290</v>
      </c>
      <c r="B1068" s="7" t="s">
        <v>14</v>
      </c>
      <c r="C1068" s="7" t="s">
        <v>9</v>
      </c>
      <c r="D1068" s="11"/>
      <c r="E1068" s="11">
        <v>729.11</v>
      </c>
      <c r="F1068" s="11" t="s">
        <v>24</v>
      </c>
      <c r="G1068" s="7" t="s">
        <v>127</v>
      </c>
      <c r="H1068" s="10"/>
      <c r="I1068" s="9"/>
      <c r="J1068" s="7" t="s">
        <v>77</v>
      </c>
      <c r="K1068" s="7"/>
      <c r="L1068" s="7"/>
      <c r="M1068" s="7" t="str">
        <f>IF(C1068="Caixa","-",VLOOKUP(J1068,[1]Estrutura!C:E,3,FALSE))</f>
        <v>4.3</v>
      </c>
      <c r="N1068" s="7"/>
      <c r="O1068" s="7">
        <f t="shared" si="64"/>
        <v>25</v>
      </c>
      <c r="P1068" s="7">
        <f t="shared" si="65"/>
        <v>9</v>
      </c>
      <c r="Q1068" s="7">
        <f t="shared" si="66"/>
        <v>2026</v>
      </c>
      <c r="R1068" s="6">
        <f t="shared" si="67"/>
        <v>-729.11</v>
      </c>
      <c r="S1068" s="16">
        <v>46290</v>
      </c>
    </row>
    <row r="1069" spans="1:19">
      <c r="A1069" s="16">
        <v>46290</v>
      </c>
      <c r="B1069" s="8" t="s">
        <v>14</v>
      </c>
      <c r="C1069" s="8" t="s">
        <v>9</v>
      </c>
      <c r="D1069" s="15"/>
      <c r="E1069" s="15">
        <v>86.08</v>
      </c>
      <c r="F1069" s="15" t="s">
        <v>24</v>
      </c>
      <c r="G1069" s="8" t="s">
        <v>316</v>
      </c>
      <c r="H1069" s="14"/>
      <c r="I1069" s="13"/>
      <c r="J1069" s="8" t="s">
        <v>77</v>
      </c>
      <c r="K1069" s="8"/>
      <c r="L1069" s="8"/>
      <c r="M1069" s="8" t="str">
        <f>IF(C1069="Caixa","-",VLOOKUP(J1069,[1]Estrutura!C:E,3,FALSE))</f>
        <v>4.3</v>
      </c>
      <c r="N1069" s="8"/>
      <c r="O1069" s="7">
        <f t="shared" si="64"/>
        <v>25</v>
      </c>
      <c r="P1069" s="7">
        <f t="shared" si="65"/>
        <v>9</v>
      </c>
      <c r="Q1069" s="7">
        <f t="shared" si="66"/>
        <v>2026</v>
      </c>
      <c r="R1069" s="6">
        <f t="shared" si="67"/>
        <v>-86.08</v>
      </c>
      <c r="S1069" s="16">
        <v>46290</v>
      </c>
    </row>
    <row r="1070" spans="1:19">
      <c r="A1070" s="12">
        <v>46290</v>
      </c>
      <c r="B1070" s="7" t="s">
        <v>14</v>
      </c>
      <c r="C1070" s="7" t="s">
        <v>9</v>
      </c>
      <c r="D1070" s="11"/>
      <c r="E1070" s="11">
        <v>1024.6500000000001</v>
      </c>
      <c r="F1070" s="11" t="s">
        <v>429</v>
      </c>
      <c r="G1070" s="7" t="s">
        <v>428</v>
      </c>
      <c r="H1070" s="10"/>
      <c r="I1070" s="9"/>
      <c r="J1070" s="7" t="s">
        <v>52</v>
      </c>
      <c r="K1070" s="7"/>
      <c r="L1070" s="7"/>
      <c r="M1070" s="7" t="str">
        <f>IF(C1070="Caixa","-",VLOOKUP(J1070,[1]Estrutura!C:E,3,FALSE))</f>
        <v>4.2</v>
      </c>
      <c r="N1070" s="7"/>
      <c r="O1070" s="7">
        <f t="shared" si="64"/>
        <v>25</v>
      </c>
      <c r="P1070" s="7">
        <f t="shared" si="65"/>
        <v>9</v>
      </c>
      <c r="Q1070" s="7">
        <f t="shared" si="66"/>
        <v>2026</v>
      </c>
      <c r="R1070" s="6">
        <f t="shared" si="67"/>
        <v>-1024.6500000000001</v>
      </c>
      <c r="S1070" s="12">
        <v>46290</v>
      </c>
    </row>
    <row r="1071" spans="1:19">
      <c r="A1071" s="16">
        <v>46290</v>
      </c>
      <c r="B1071" s="8" t="s">
        <v>14</v>
      </c>
      <c r="C1071" s="8" t="s">
        <v>9</v>
      </c>
      <c r="D1071" s="15"/>
      <c r="E1071" s="15">
        <v>640.54999999999995</v>
      </c>
      <c r="F1071" s="15" t="s">
        <v>97</v>
      </c>
      <c r="G1071" s="8" t="s">
        <v>427</v>
      </c>
      <c r="H1071" s="14"/>
      <c r="I1071" s="13"/>
      <c r="J1071" s="8" t="s">
        <v>12</v>
      </c>
      <c r="K1071" s="8"/>
      <c r="L1071" s="8"/>
      <c r="M1071" s="8" t="str">
        <f>IF(C1071="Caixa","-",VLOOKUP(J1071,[1]Estrutura!C:E,3,FALSE))</f>
        <v>4.9</v>
      </c>
      <c r="N1071" s="8"/>
      <c r="O1071" s="7">
        <f t="shared" si="64"/>
        <v>25</v>
      </c>
      <c r="P1071" s="7">
        <f t="shared" si="65"/>
        <v>9</v>
      </c>
      <c r="Q1071" s="7">
        <f t="shared" si="66"/>
        <v>2026</v>
      </c>
      <c r="R1071" s="6">
        <f t="shared" si="67"/>
        <v>-640.54999999999995</v>
      </c>
      <c r="S1071" s="12">
        <v>46290</v>
      </c>
    </row>
    <row r="1072" spans="1:19">
      <c r="A1072" s="12">
        <v>46290</v>
      </c>
      <c r="B1072" s="7" t="s">
        <v>14</v>
      </c>
      <c r="C1072" s="7" t="s">
        <v>9</v>
      </c>
      <c r="D1072" s="11"/>
      <c r="E1072" s="11">
        <v>44.1</v>
      </c>
      <c r="F1072" s="11" t="s">
        <v>97</v>
      </c>
      <c r="G1072" s="7" t="s">
        <v>426</v>
      </c>
      <c r="H1072" s="10"/>
      <c r="I1072" s="9"/>
      <c r="J1072" s="7" t="s">
        <v>12</v>
      </c>
      <c r="K1072" s="7"/>
      <c r="L1072" s="7"/>
      <c r="M1072" s="7" t="str">
        <f>IF(C1072="Caixa","-",VLOOKUP(J1072,[1]Estrutura!C:E,3,FALSE))</f>
        <v>4.9</v>
      </c>
      <c r="N1072" s="7"/>
      <c r="O1072" s="7">
        <f t="shared" si="64"/>
        <v>25</v>
      </c>
      <c r="P1072" s="7">
        <f t="shared" si="65"/>
        <v>9</v>
      </c>
      <c r="Q1072" s="7">
        <f t="shared" si="66"/>
        <v>2026</v>
      </c>
      <c r="R1072" s="6">
        <f t="shared" si="67"/>
        <v>-44.1</v>
      </c>
      <c r="S1072" s="16">
        <v>46290</v>
      </c>
    </row>
    <row r="1073" spans="1:19">
      <c r="A1073" s="16">
        <v>46290</v>
      </c>
      <c r="B1073" s="8" t="s">
        <v>14</v>
      </c>
      <c r="C1073" s="8" t="s">
        <v>9</v>
      </c>
      <c r="D1073" s="15"/>
      <c r="E1073" s="15">
        <v>870</v>
      </c>
      <c r="F1073" s="15" t="s">
        <v>97</v>
      </c>
      <c r="G1073" s="8" t="s">
        <v>425</v>
      </c>
      <c r="H1073" s="14"/>
      <c r="I1073" s="13"/>
      <c r="J1073" s="8" t="s">
        <v>12</v>
      </c>
      <c r="K1073" s="8"/>
      <c r="L1073" s="8"/>
      <c r="M1073" s="8" t="str">
        <f>IF(C1073="Caixa","-",VLOOKUP(J1073,[1]Estrutura!C:E,3,FALSE))</f>
        <v>4.9</v>
      </c>
      <c r="N1073" s="8"/>
      <c r="O1073" s="7">
        <f t="shared" si="64"/>
        <v>25</v>
      </c>
      <c r="P1073" s="7">
        <f t="shared" si="65"/>
        <v>9</v>
      </c>
      <c r="Q1073" s="7">
        <f t="shared" si="66"/>
        <v>2026</v>
      </c>
      <c r="R1073" s="6">
        <f t="shared" si="67"/>
        <v>-870</v>
      </c>
      <c r="S1073" s="12">
        <v>46290</v>
      </c>
    </row>
    <row r="1074" spans="1:19">
      <c r="A1074" s="12">
        <v>46290</v>
      </c>
      <c r="B1074" s="7" t="s">
        <v>14</v>
      </c>
      <c r="C1074" s="7" t="s">
        <v>9</v>
      </c>
      <c r="D1074" s="11"/>
      <c r="E1074" s="42">
        <v>882.33</v>
      </c>
      <c r="F1074" s="11" t="s">
        <v>97</v>
      </c>
      <c r="G1074" s="7" t="s">
        <v>418</v>
      </c>
      <c r="H1074" s="10"/>
      <c r="I1074" s="9"/>
      <c r="J1074" s="7" t="s">
        <v>31</v>
      </c>
      <c r="K1074" s="7"/>
      <c r="L1074" s="7"/>
      <c r="M1074" s="7" t="str">
        <f>IF(C1074="Caixa","-",VLOOKUP(J1074,[1]Estrutura!C:E,3,FALSE))</f>
        <v>2.1</v>
      </c>
      <c r="N1074" s="7"/>
      <c r="O1074" s="7">
        <f t="shared" si="64"/>
        <v>25</v>
      </c>
      <c r="P1074" s="7">
        <f t="shared" si="65"/>
        <v>9</v>
      </c>
      <c r="Q1074" s="7">
        <f t="shared" si="66"/>
        <v>2026</v>
      </c>
      <c r="R1074" s="6">
        <f t="shared" si="67"/>
        <v>-882.33</v>
      </c>
      <c r="S1074" s="16">
        <v>46291</v>
      </c>
    </row>
    <row r="1075" spans="1:19">
      <c r="A1075" s="16">
        <v>46290</v>
      </c>
      <c r="B1075" s="7" t="s">
        <v>14</v>
      </c>
      <c r="C1075" s="7" t="s">
        <v>9</v>
      </c>
      <c r="D1075" s="11"/>
      <c r="E1075" s="15">
        <v>5000</v>
      </c>
      <c r="F1075" s="11"/>
      <c r="G1075" s="8" t="s">
        <v>61</v>
      </c>
      <c r="H1075" s="7"/>
      <c r="I1075" s="30"/>
      <c r="J1075" s="7" t="s">
        <v>35</v>
      </c>
      <c r="K1075" s="7"/>
      <c r="L1075" s="8"/>
      <c r="M1075" s="8" t="str">
        <f>IF(C1075="Caixa","-",VLOOKUP(J1075,[1]Estrutura!C:E,3,FALSE))</f>
        <v>4.1</v>
      </c>
      <c r="N1075" s="8"/>
      <c r="O1075" s="7">
        <f t="shared" si="64"/>
        <v>25</v>
      </c>
      <c r="P1075" s="7">
        <f t="shared" si="65"/>
        <v>9</v>
      </c>
      <c r="Q1075" s="7">
        <f t="shared" si="66"/>
        <v>2026</v>
      </c>
      <c r="R1075" s="6">
        <f t="shared" si="67"/>
        <v>-5000</v>
      </c>
      <c r="S1075" s="16">
        <v>46291</v>
      </c>
    </row>
    <row r="1076" spans="1:19">
      <c r="A1076" s="16">
        <v>46290</v>
      </c>
      <c r="B1076" s="8" t="s">
        <v>26</v>
      </c>
      <c r="C1076" s="8" t="s">
        <v>6</v>
      </c>
      <c r="D1076" s="15"/>
      <c r="E1076" s="15">
        <v>1000</v>
      </c>
      <c r="F1076" s="15" t="s">
        <v>60</v>
      </c>
      <c r="G1076" s="8" t="s">
        <v>57</v>
      </c>
      <c r="H1076" s="14"/>
      <c r="I1076" s="13"/>
      <c r="J1076" s="8" t="s">
        <v>56</v>
      </c>
      <c r="K1076" s="8" t="s">
        <v>21</v>
      </c>
      <c r="L1076" s="7"/>
      <c r="M1076" s="7" t="str">
        <f>IF(C1076="Caixa","-",VLOOKUP(J1076,[1]Estrutura!C:E,3,FALSE))</f>
        <v>6.1</v>
      </c>
      <c r="N1076" s="7"/>
      <c r="O1076" s="7">
        <f t="shared" si="64"/>
        <v>25</v>
      </c>
      <c r="P1076" s="7">
        <f t="shared" si="65"/>
        <v>9</v>
      </c>
      <c r="Q1076" s="7">
        <f t="shared" si="66"/>
        <v>2026</v>
      </c>
      <c r="R1076" s="6">
        <f t="shared" si="67"/>
        <v>-1000</v>
      </c>
      <c r="S1076" s="16">
        <v>46292</v>
      </c>
    </row>
    <row r="1077" spans="1:19">
      <c r="A1077" s="16">
        <v>46290</v>
      </c>
      <c r="B1077" s="18" t="s">
        <v>26</v>
      </c>
      <c r="C1077" s="18" t="s">
        <v>6</v>
      </c>
      <c r="D1077" s="11"/>
      <c r="E1077" s="11">
        <v>1000</v>
      </c>
      <c r="F1077" s="11" t="s">
        <v>59</v>
      </c>
      <c r="G1077" s="7" t="s">
        <v>57</v>
      </c>
      <c r="H1077" s="10"/>
      <c r="I1077" s="9"/>
      <c r="J1077" s="7" t="s">
        <v>56</v>
      </c>
      <c r="K1077" s="7" t="s">
        <v>21</v>
      </c>
      <c r="L1077" s="8"/>
      <c r="M1077" s="8" t="str">
        <f>IF(C1077="Caixa","-",VLOOKUP(J1077,[1]Estrutura!C:E,3,FALSE))</f>
        <v>6.1</v>
      </c>
      <c r="N1077" s="8"/>
      <c r="O1077" s="7">
        <f t="shared" si="64"/>
        <v>25</v>
      </c>
      <c r="P1077" s="7">
        <f t="shared" si="65"/>
        <v>9</v>
      </c>
      <c r="Q1077" s="7">
        <f t="shared" si="66"/>
        <v>2026</v>
      </c>
      <c r="R1077" s="6">
        <f t="shared" si="67"/>
        <v>-1000</v>
      </c>
      <c r="S1077" s="16">
        <v>46292</v>
      </c>
    </row>
    <row r="1078" spans="1:19">
      <c r="A1078" s="16">
        <v>46290</v>
      </c>
      <c r="B1078" s="8" t="s">
        <v>26</v>
      </c>
      <c r="C1078" s="8" t="s">
        <v>6</v>
      </c>
      <c r="D1078" s="15"/>
      <c r="E1078" s="15">
        <v>1000</v>
      </c>
      <c r="F1078" s="15" t="s">
        <v>58</v>
      </c>
      <c r="G1078" s="8" t="s">
        <v>57</v>
      </c>
      <c r="H1078" s="8"/>
      <c r="I1078" s="17"/>
      <c r="J1078" s="8" t="s">
        <v>56</v>
      </c>
      <c r="K1078" s="36" t="s">
        <v>21</v>
      </c>
      <c r="L1078" s="7"/>
      <c r="M1078" s="7" t="str">
        <f>IF(C1078="Caixa","-",VLOOKUP(J1078,[1]Estrutura!C:E,3,FALSE))</f>
        <v>6.1</v>
      </c>
      <c r="N1078" s="7"/>
      <c r="O1078" s="7">
        <f t="shared" si="64"/>
        <v>25</v>
      </c>
      <c r="P1078" s="7">
        <f t="shared" si="65"/>
        <v>9</v>
      </c>
      <c r="Q1078" s="7">
        <f t="shared" si="66"/>
        <v>2026</v>
      </c>
      <c r="R1078" s="6">
        <f t="shared" si="67"/>
        <v>-1000</v>
      </c>
      <c r="S1078" s="16">
        <v>46293</v>
      </c>
    </row>
    <row r="1079" spans="1:19">
      <c r="A1079" s="12">
        <v>46290</v>
      </c>
      <c r="B1079" s="8" t="s">
        <v>26</v>
      </c>
      <c r="C1079" s="8" t="s">
        <v>6</v>
      </c>
      <c r="D1079" s="15"/>
      <c r="E1079" s="15">
        <v>4050</v>
      </c>
      <c r="F1079" s="15"/>
      <c r="G1079" s="7" t="s">
        <v>55</v>
      </c>
      <c r="H1079" s="10"/>
      <c r="I1079" s="9"/>
      <c r="J1079" s="7" t="s">
        <v>54</v>
      </c>
      <c r="K1079" s="7" t="s">
        <v>34</v>
      </c>
      <c r="L1079" s="8"/>
      <c r="M1079" s="8" t="str">
        <f>IF(C1079="Caixa","-",VLOOKUP(J1079,[1]Estrutura!C:E,3,FALSE))</f>
        <v>4.11</v>
      </c>
      <c r="N1079" s="8"/>
      <c r="O1079" s="7">
        <f t="shared" si="64"/>
        <v>25</v>
      </c>
      <c r="P1079" s="7">
        <f t="shared" si="65"/>
        <v>9</v>
      </c>
      <c r="Q1079" s="7">
        <f t="shared" si="66"/>
        <v>2026</v>
      </c>
      <c r="R1079" s="6">
        <f t="shared" si="67"/>
        <v>-4050</v>
      </c>
      <c r="S1079" s="16">
        <v>46293</v>
      </c>
    </row>
    <row r="1080" spans="1:19">
      <c r="A1080" s="16">
        <v>46290</v>
      </c>
      <c r="B1080" s="8" t="s">
        <v>26</v>
      </c>
      <c r="C1080" s="8" t="s">
        <v>6</v>
      </c>
      <c r="D1080" s="15"/>
      <c r="E1080" s="15">
        <v>8630</v>
      </c>
      <c r="F1080" s="15" t="s">
        <v>424</v>
      </c>
      <c r="G1080" s="8" t="s">
        <v>423</v>
      </c>
      <c r="H1080" s="14"/>
      <c r="I1080" s="13"/>
      <c r="J1080" s="8" t="s">
        <v>52</v>
      </c>
      <c r="K1080" s="8" t="s">
        <v>40</v>
      </c>
      <c r="L1080" s="7"/>
      <c r="M1080" s="7" t="str">
        <f>IF(C1080="Caixa","-",VLOOKUP(J1080,[1]Estrutura!C:E,3,FALSE))</f>
        <v>4.2</v>
      </c>
      <c r="N1080" s="7"/>
      <c r="O1080" s="7">
        <f t="shared" si="64"/>
        <v>25</v>
      </c>
      <c r="P1080" s="7">
        <f t="shared" si="65"/>
        <v>9</v>
      </c>
      <c r="Q1080" s="7">
        <f t="shared" si="66"/>
        <v>2026</v>
      </c>
      <c r="R1080" s="6">
        <f t="shared" si="67"/>
        <v>-8630</v>
      </c>
      <c r="S1080" s="12">
        <v>46293</v>
      </c>
    </row>
    <row r="1081" spans="1:19">
      <c r="A1081" s="12">
        <v>46290</v>
      </c>
      <c r="B1081" s="7" t="s">
        <v>26</v>
      </c>
      <c r="C1081" s="7" t="s">
        <v>6</v>
      </c>
      <c r="D1081" s="11"/>
      <c r="E1081" s="11">
        <v>600</v>
      </c>
      <c r="F1081" s="11" t="s">
        <v>422</v>
      </c>
      <c r="G1081" s="7" t="s">
        <v>421</v>
      </c>
      <c r="H1081" s="10"/>
      <c r="I1081" s="9"/>
      <c r="J1081" s="7" t="s">
        <v>52</v>
      </c>
      <c r="K1081" s="7" t="s">
        <v>40</v>
      </c>
      <c r="L1081" s="8"/>
      <c r="M1081" s="8" t="str">
        <f>IF(C1081="Caixa","-",VLOOKUP(J1081,[1]Estrutura!C:E,3,FALSE))</f>
        <v>4.2</v>
      </c>
      <c r="N1081" s="8"/>
      <c r="O1081" s="7">
        <f t="shared" si="64"/>
        <v>25</v>
      </c>
      <c r="P1081" s="7">
        <f t="shared" si="65"/>
        <v>9</v>
      </c>
      <c r="Q1081" s="7">
        <f t="shared" si="66"/>
        <v>2026</v>
      </c>
      <c r="R1081" s="6">
        <f t="shared" si="67"/>
        <v>-600</v>
      </c>
      <c r="S1081" s="16">
        <v>46294</v>
      </c>
    </row>
    <row r="1082" spans="1:19">
      <c r="A1082" s="16">
        <v>46290</v>
      </c>
      <c r="B1082" s="8" t="s">
        <v>26</v>
      </c>
      <c r="C1082" s="8" t="s">
        <v>6</v>
      </c>
      <c r="D1082" s="15"/>
      <c r="E1082" s="15">
        <v>2166.67</v>
      </c>
      <c r="F1082" s="15" t="s">
        <v>397</v>
      </c>
      <c r="G1082" s="8" t="s">
        <v>398</v>
      </c>
      <c r="H1082" s="14"/>
      <c r="I1082" s="13"/>
      <c r="J1082" s="8" t="s">
        <v>52</v>
      </c>
      <c r="K1082" s="8" t="s">
        <v>40</v>
      </c>
      <c r="L1082" s="7"/>
      <c r="M1082" s="7" t="str">
        <f>IF(C1082="Caixa","-",VLOOKUP(J1082,[1]Estrutura!C:E,3,FALSE))</f>
        <v>4.2</v>
      </c>
      <c r="N1082" s="7"/>
      <c r="O1082" s="7">
        <f t="shared" si="64"/>
        <v>25</v>
      </c>
      <c r="P1082" s="7">
        <f t="shared" si="65"/>
        <v>9</v>
      </c>
      <c r="Q1082" s="7">
        <f t="shared" si="66"/>
        <v>2026</v>
      </c>
      <c r="R1082" s="6">
        <f t="shared" si="67"/>
        <v>-2166.67</v>
      </c>
      <c r="S1082" s="16">
        <v>46294</v>
      </c>
    </row>
    <row r="1083" spans="1:19">
      <c r="A1083" s="16">
        <v>46290</v>
      </c>
      <c r="B1083" s="7" t="s">
        <v>7</v>
      </c>
      <c r="C1083" s="7" t="s">
        <v>9</v>
      </c>
      <c r="D1083" s="15">
        <v>1735.42</v>
      </c>
      <c r="E1083" s="15"/>
      <c r="F1083" s="15"/>
      <c r="G1083" s="8" t="s">
        <v>11</v>
      </c>
      <c r="H1083" s="8"/>
      <c r="I1083" s="17"/>
      <c r="J1083" s="8" t="s">
        <v>10</v>
      </c>
      <c r="K1083" s="8"/>
      <c r="L1083" s="8"/>
      <c r="M1083" s="8" t="str">
        <f>IF(C1083="Caixa","-",VLOOKUP(J1083,[1]Estrutura!C:E,3,FALSE))</f>
        <v>1.1</v>
      </c>
      <c r="N1083" s="8"/>
      <c r="O1083" s="7">
        <f t="shared" si="64"/>
        <v>25</v>
      </c>
      <c r="P1083" s="7">
        <f t="shared" si="65"/>
        <v>9</v>
      </c>
      <c r="Q1083" s="7">
        <f t="shared" si="66"/>
        <v>2026</v>
      </c>
      <c r="R1083" s="6">
        <f t="shared" si="67"/>
        <v>1735.42</v>
      </c>
      <c r="S1083" s="16">
        <v>46295</v>
      </c>
    </row>
    <row r="1084" spans="1:19">
      <c r="A1084" s="12">
        <v>46290</v>
      </c>
      <c r="B1084" s="7" t="s">
        <v>7</v>
      </c>
      <c r="C1084" s="7" t="s">
        <v>9</v>
      </c>
      <c r="D1084" s="11"/>
      <c r="E1084" s="11">
        <v>5326.59</v>
      </c>
      <c r="F1084" s="11" t="s">
        <v>97</v>
      </c>
      <c r="G1084" s="7" t="s">
        <v>420</v>
      </c>
      <c r="H1084" s="10"/>
      <c r="I1084" s="9"/>
      <c r="J1084" s="7" t="s">
        <v>33</v>
      </c>
      <c r="K1084" s="7"/>
      <c r="L1084" s="7"/>
      <c r="M1084" s="7" t="str">
        <f>IF(C1084="Caixa","-",VLOOKUP(J1084,[1]Estrutura!C:E,3,FALSE))</f>
        <v>2.1</v>
      </c>
      <c r="N1084" s="7"/>
      <c r="O1084" s="7">
        <f t="shared" si="64"/>
        <v>25</v>
      </c>
      <c r="P1084" s="7">
        <f t="shared" si="65"/>
        <v>9</v>
      </c>
      <c r="Q1084" s="7">
        <f t="shared" si="66"/>
        <v>2026</v>
      </c>
      <c r="R1084" s="6">
        <f t="shared" si="67"/>
        <v>-5326.59</v>
      </c>
      <c r="S1084" s="16">
        <v>46295</v>
      </c>
    </row>
    <row r="1085" spans="1:19">
      <c r="A1085" s="12">
        <v>46290</v>
      </c>
      <c r="B1085" s="7" t="s">
        <v>7</v>
      </c>
      <c r="C1085" s="7" t="s">
        <v>9</v>
      </c>
      <c r="D1085" s="11"/>
      <c r="E1085" s="11">
        <v>2299.64</v>
      </c>
      <c r="F1085" s="11" t="s">
        <v>97</v>
      </c>
      <c r="G1085" s="7" t="s">
        <v>419</v>
      </c>
      <c r="H1085" s="10"/>
      <c r="I1085" s="9"/>
      <c r="J1085" s="7" t="s">
        <v>12</v>
      </c>
      <c r="K1085" s="7"/>
      <c r="L1085" s="8"/>
      <c r="M1085" s="8" t="str">
        <f>IF(C1085="Caixa","-",VLOOKUP(J1085,[1]Estrutura!C:E,3,FALSE))</f>
        <v>4.9</v>
      </c>
      <c r="N1085" s="8"/>
      <c r="O1085" s="7">
        <f t="shared" si="64"/>
        <v>25</v>
      </c>
      <c r="P1085" s="7">
        <f t="shared" si="65"/>
        <v>9</v>
      </c>
      <c r="Q1085" s="7">
        <f t="shared" si="66"/>
        <v>2026</v>
      </c>
      <c r="R1085" s="6">
        <f t="shared" si="67"/>
        <v>-2299.64</v>
      </c>
      <c r="S1085" s="16">
        <v>46295</v>
      </c>
    </row>
    <row r="1086" spans="1:19">
      <c r="A1086" s="16">
        <v>46290</v>
      </c>
      <c r="B1086" s="8" t="s">
        <v>7</v>
      </c>
      <c r="C1086" s="8" t="s">
        <v>9</v>
      </c>
      <c r="D1086" s="15"/>
      <c r="E1086" s="15">
        <v>1154.0999999999999</v>
      </c>
      <c r="F1086" s="15" t="s">
        <v>97</v>
      </c>
      <c r="G1086" s="8" t="s">
        <v>418</v>
      </c>
      <c r="H1086" s="14"/>
      <c r="I1086" s="13"/>
      <c r="J1086" s="8" t="s">
        <v>31</v>
      </c>
      <c r="K1086" s="8"/>
      <c r="L1086" s="7"/>
      <c r="M1086" s="7" t="str">
        <f>IF(C1086="Caixa","-",VLOOKUP(J1086,[1]Estrutura!C:E,3,FALSE))</f>
        <v>2.1</v>
      </c>
      <c r="N1086" s="7"/>
      <c r="O1086" s="7">
        <f t="shared" si="64"/>
        <v>25</v>
      </c>
      <c r="P1086" s="7">
        <f t="shared" si="65"/>
        <v>9</v>
      </c>
      <c r="Q1086" s="7">
        <f t="shared" si="66"/>
        <v>2026</v>
      </c>
      <c r="R1086" s="6">
        <f t="shared" si="67"/>
        <v>-1154.0999999999999</v>
      </c>
      <c r="S1086" s="12">
        <v>46295</v>
      </c>
    </row>
    <row r="1087" spans="1:19">
      <c r="A1087" s="12">
        <v>46290</v>
      </c>
      <c r="B1087" s="7" t="s">
        <v>7</v>
      </c>
      <c r="C1087" s="7" t="s">
        <v>9</v>
      </c>
      <c r="D1087" s="11"/>
      <c r="E1087" s="11">
        <v>33333</v>
      </c>
      <c r="F1087" s="11"/>
      <c r="G1087" s="7" t="s">
        <v>30</v>
      </c>
      <c r="H1087" s="10"/>
      <c r="I1087" s="9"/>
      <c r="J1087" s="7" t="s">
        <v>29</v>
      </c>
      <c r="K1087" s="7"/>
      <c r="L1087" s="8"/>
      <c r="M1087" s="8" t="str">
        <f>IF(C1087="Caixa","-",VLOOKUP(J1087,[1]Estrutura!C:E,3,FALSE))</f>
        <v>4.8</v>
      </c>
      <c r="N1087" s="8"/>
      <c r="O1087" s="7">
        <f t="shared" si="64"/>
        <v>25</v>
      </c>
      <c r="P1087" s="7">
        <f t="shared" si="65"/>
        <v>9</v>
      </c>
      <c r="Q1087" s="7">
        <f t="shared" si="66"/>
        <v>2026</v>
      </c>
      <c r="R1087" s="6">
        <f t="shared" si="67"/>
        <v>-33333</v>
      </c>
      <c r="S1087" s="16">
        <v>46295</v>
      </c>
    </row>
    <row r="1088" spans="1:19">
      <c r="A1088" s="16">
        <v>46290</v>
      </c>
      <c r="B1088" s="8" t="s">
        <v>7</v>
      </c>
      <c r="C1088" s="8" t="s">
        <v>9</v>
      </c>
      <c r="D1088" s="15"/>
      <c r="E1088" s="15">
        <v>8000</v>
      </c>
      <c r="F1088" s="15"/>
      <c r="G1088" s="8" t="s">
        <v>28</v>
      </c>
      <c r="H1088" s="8"/>
      <c r="I1088" s="13"/>
      <c r="J1088" s="8" t="s">
        <v>27</v>
      </c>
      <c r="K1088" s="8"/>
      <c r="L1088" s="7"/>
      <c r="M1088" s="7" t="str">
        <f>IF(C1088="Caixa","-",VLOOKUP(J1088,[1]Estrutura!C:E,3,FALSE))</f>
        <v>7.3</v>
      </c>
      <c r="N1088" s="7"/>
      <c r="O1088" s="7">
        <f t="shared" si="64"/>
        <v>25</v>
      </c>
      <c r="P1088" s="7">
        <f t="shared" si="65"/>
        <v>9</v>
      </c>
      <c r="Q1088" s="7">
        <f t="shared" si="66"/>
        <v>2026</v>
      </c>
      <c r="R1088" s="6">
        <f t="shared" si="67"/>
        <v>-8000</v>
      </c>
      <c r="S1088" s="12">
        <v>46295</v>
      </c>
    </row>
    <row r="1089" spans="1:19">
      <c r="A1089" s="16">
        <v>46291</v>
      </c>
      <c r="B1089" s="8" t="s">
        <v>26</v>
      </c>
      <c r="C1089" s="8" t="s">
        <v>25</v>
      </c>
      <c r="D1089" s="15">
        <v>1442</v>
      </c>
      <c r="E1089" s="15"/>
      <c r="F1089" s="15" t="s">
        <v>109</v>
      </c>
      <c r="G1089" s="8" t="s">
        <v>108</v>
      </c>
      <c r="H1089" s="14"/>
      <c r="I1089" s="13"/>
      <c r="J1089" s="8" t="s">
        <v>107</v>
      </c>
      <c r="K1089" s="24" t="s">
        <v>21</v>
      </c>
      <c r="L1089" s="8"/>
      <c r="M1089" s="8" t="str">
        <f>IF(C1089="Caixa","-",VLOOKUP(J1089,[1]Estrutura!C:E,3,FALSE))</f>
        <v>1.4</v>
      </c>
      <c r="N1089" s="8"/>
      <c r="O1089" s="7">
        <f t="shared" si="64"/>
        <v>26</v>
      </c>
      <c r="P1089" s="7">
        <f t="shared" si="65"/>
        <v>9</v>
      </c>
      <c r="Q1089" s="7">
        <f t="shared" si="66"/>
        <v>2026</v>
      </c>
      <c r="R1089" s="6">
        <f t="shared" si="67"/>
        <v>1442</v>
      </c>
      <c r="S1089" s="12">
        <v>46295</v>
      </c>
    </row>
    <row r="1090" spans="1:19">
      <c r="A1090" s="16">
        <v>46291</v>
      </c>
      <c r="B1090" s="7" t="s">
        <v>7</v>
      </c>
      <c r="C1090" s="7" t="s">
        <v>9</v>
      </c>
      <c r="D1090" s="15">
        <v>17339.330000000002</v>
      </c>
      <c r="E1090" s="15"/>
      <c r="F1090" s="15"/>
      <c r="G1090" s="8" t="s">
        <v>11</v>
      </c>
      <c r="H1090" s="8"/>
      <c r="I1090" s="17"/>
      <c r="J1090" s="8" t="s">
        <v>10</v>
      </c>
      <c r="K1090" s="8"/>
      <c r="L1090" s="7"/>
      <c r="M1090" s="7" t="str">
        <f>IF(C1090="Caixa","-",VLOOKUP(J1090,[1]Estrutura!C:E,3,FALSE))</f>
        <v>1.1</v>
      </c>
      <c r="N1090" s="7"/>
      <c r="O1090" s="7">
        <f t="shared" si="64"/>
        <v>26</v>
      </c>
      <c r="P1090" s="7">
        <f t="shared" si="65"/>
        <v>9</v>
      </c>
      <c r="Q1090" s="7">
        <f t="shared" si="66"/>
        <v>2026</v>
      </c>
      <c r="R1090" s="6">
        <f t="shared" si="67"/>
        <v>17339.330000000002</v>
      </c>
      <c r="S1090" s="12">
        <v>46295</v>
      </c>
    </row>
    <row r="1091" spans="1:19">
      <c r="A1091" s="16">
        <v>46292</v>
      </c>
      <c r="B1091" s="8" t="s">
        <v>14</v>
      </c>
      <c r="C1091" s="7" t="s">
        <v>9</v>
      </c>
      <c r="D1091" s="15">
        <v>7544.56</v>
      </c>
      <c r="E1091" s="15"/>
      <c r="F1091" s="15"/>
      <c r="G1091" s="8" t="s">
        <v>11</v>
      </c>
      <c r="H1091" s="8"/>
      <c r="I1091" s="17"/>
      <c r="J1091" s="8" t="s">
        <v>10</v>
      </c>
      <c r="K1091" s="8"/>
      <c r="L1091" s="8"/>
      <c r="M1091" s="8" t="str">
        <f>IF(C1091="Caixa","-",VLOOKUP(J1091,[1]Estrutura!C:E,3,FALSE))</f>
        <v>1.1</v>
      </c>
      <c r="N1091" s="8"/>
      <c r="O1091" s="7">
        <f t="shared" si="64"/>
        <v>27</v>
      </c>
      <c r="P1091" s="7">
        <f t="shared" si="65"/>
        <v>9</v>
      </c>
      <c r="Q1091" s="7">
        <f t="shared" si="66"/>
        <v>2026</v>
      </c>
      <c r="R1091" s="6">
        <f t="shared" si="67"/>
        <v>7544.56</v>
      </c>
      <c r="S1091" s="12">
        <v>46295</v>
      </c>
    </row>
    <row r="1092" spans="1:19">
      <c r="A1092" s="16">
        <v>46292</v>
      </c>
      <c r="B1092" s="7" t="s">
        <v>7</v>
      </c>
      <c r="C1092" s="7" t="s">
        <v>9</v>
      </c>
      <c r="D1092" s="15">
        <v>10172.130000000001</v>
      </c>
      <c r="E1092" s="15"/>
      <c r="F1092" s="15"/>
      <c r="G1092" s="8" t="s">
        <v>11</v>
      </c>
      <c r="H1092" s="8"/>
      <c r="I1092" s="17"/>
      <c r="J1092" s="8" t="s">
        <v>10</v>
      </c>
      <c r="K1092" s="8"/>
      <c r="L1092" s="7"/>
      <c r="M1092" s="7" t="str">
        <f>IF(C1092="Caixa","-",VLOOKUP(J1092,[1]Estrutura!C:E,3,FALSE))</f>
        <v>1.1</v>
      </c>
      <c r="N1092" s="7"/>
      <c r="O1092" s="7">
        <f t="shared" si="64"/>
        <v>27</v>
      </c>
      <c r="P1092" s="7">
        <f t="shared" si="65"/>
        <v>9</v>
      </c>
      <c r="Q1092" s="7">
        <f t="shared" si="66"/>
        <v>2026</v>
      </c>
      <c r="R1092" s="6">
        <f t="shared" si="67"/>
        <v>10172.130000000001</v>
      </c>
      <c r="S1092" s="12">
        <v>46295</v>
      </c>
    </row>
    <row r="1093" spans="1:19">
      <c r="A1093" s="16">
        <v>46293</v>
      </c>
      <c r="B1093" s="8" t="s">
        <v>14</v>
      </c>
      <c r="C1093" s="7" t="s">
        <v>9</v>
      </c>
      <c r="D1093" s="15">
        <v>2854.33</v>
      </c>
      <c r="E1093" s="15"/>
      <c r="F1093" s="15"/>
      <c r="G1093" s="8" t="s">
        <v>11</v>
      </c>
      <c r="H1093" s="8"/>
      <c r="I1093" s="17"/>
      <c r="J1093" s="8" t="s">
        <v>10</v>
      </c>
      <c r="K1093" s="8"/>
      <c r="L1093" s="8"/>
      <c r="M1093" s="8" t="str">
        <f>IF(C1093="Caixa","-",VLOOKUP(J1093,[1]Estrutura!C:E,3,FALSE))</f>
        <v>1.1</v>
      </c>
      <c r="N1093" s="8"/>
      <c r="O1093" s="7">
        <f t="shared" si="64"/>
        <v>28</v>
      </c>
      <c r="P1093" s="7">
        <f t="shared" si="65"/>
        <v>9</v>
      </c>
      <c r="Q1093" s="7">
        <f t="shared" si="66"/>
        <v>2026</v>
      </c>
      <c r="R1093" s="6">
        <f t="shared" si="67"/>
        <v>2854.33</v>
      </c>
      <c r="S1093" s="12">
        <v>46295</v>
      </c>
    </row>
    <row r="1094" spans="1:19">
      <c r="A1094" s="16">
        <v>46293</v>
      </c>
      <c r="B1094" s="7" t="s">
        <v>7</v>
      </c>
      <c r="C1094" s="7" t="s">
        <v>9</v>
      </c>
      <c r="D1094" s="15">
        <v>9951.630000000001</v>
      </c>
      <c r="E1094" s="15"/>
      <c r="F1094" s="15"/>
      <c r="G1094" s="8" t="s">
        <v>11</v>
      </c>
      <c r="H1094" s="8"/>
      <c r="I1094" s="17"/>
      <c r="J1094" s="8" t="s">
        <v>10</v>
      </c>
      <c r="K1094" s="8"/>
      <c r="L1094" s="7"/>
      <c r="M1094" s="7" t="str">
        <f>IF(C1094="Caixa","-",VLOOKUP(J1094,[1]Estrutura!C:E,3,FALSE))</f>
        <v>1.1</v>
      </c>
      <c r="N1094" s="7"/>
      <c r="O1094" s="7">
        <f t="shared" si="64"/>
        <v>28</v>
      </c>
      <c r="P1094" s="7">
        <f t="shared" si="65"/>
        <v>9</v>
      </c>
      <c r="Q1094" s="7">
        <f t="shared" si="66"/>
        <v>2026</v>
      </c>
      <c r="R1094" s="6">
        <f t="shared" si="67"/>
        <v>9951.630000000001</v>
      </c>
      <c r="S1094" s="16">
        <v>46295</v>
      </c>
    </row>
    <row r="1095" spans="1:19">
      <c r="A1095" s="12">
        <v>46293</v>
      </c>
      <c r="B1095" s="8" t="s">
        <v>7</v>
      </c>
      <c r="C1095" s="8" t="s">
        <v>9</v>
      </c>
      <c r="D1095" s="11"/>
      <c r="E1095" s="11">
        <v>47373.33</v>
      </c>
      <c r="F1095" s="11"/>
      <c r="G1095" s="7" t="s">
        <v>20</v>
      </c>
      <c r="H1095" s="10"/>
      <c r="I1095" s="9"/>
      <c r="J1095" s="7" t="s">
        <v>19</v>
      </c>
      <c r="K1095" s="7"/>
      <c r="L1095" s="8"/>
      <c r="M1095" s="8" t="str">
        <f>IF(C1095="Caixa","-",VLOOKUP(J1095,[1]Estrutura!C:E,3,FALSE))</f>
        <v>8.7</v>
      </c>
      <c r="N1095" s="8"/>
      <c r="O1095" s="7">
        <f t="shared" si="64"/>
        <v>28</v>
      </c>
      <c r="P1095" s="7">
        <f t="shared" si="65"/>
        <v>9</v>
      </c>
      <c r="Q1095" s="7">
        <f t="shared" si="66"/>
        <v>2026</v>
      </c>
      <c r="R1095" s="6">
        <f t="shared" si="67"/>
        <v>-47373.33</v>
      </c>
      <c r="S1095" s="16">
        <v>46295</v>
      </c>
    </row>
    <row r="1096" spans="1:19">
      <c r="A1096" s="16">
        <v>46294</v>
      </c>
      <c r="B1096" s="8" t="s">
        <v>14</v>
      </c>
      <c r="C1096" s="7" t="s">
        <v>9</v>
      </c>
      <c r="D1096" s="15">
        <v>3050.8199999999997</v>
      </c>
      <c r="E1096" s="15"/>
      <c r="F1096" s="15"/>
      <c r="G1096" s="8" t="s">
        <v>11</v>
      </c>
      <c r="H1096" s="8"/>
      <c r="I1096" s="17"/>
      <c r="J1096" s="8" t="s">
        <v>10</v>
      </c>
      <c r="K1096" s="8"/>
      <c r="L1096" s="7"/>
      <c r="M1096" s="7" t="str">
        <f>IF(C1096="Caixa","-",VLOOKUP(J1096,[1]Estrutura!C:E,3,FALSE))</f>
        <v>1.1</v>
      </c>
      <c r="N1096" s="7"/>
      <c r="O1096" s="7">
        <f t="shared" si="64"/>
        <v>29</v>
      </c>
      <c r="P1096" s="7">
        <f t="shared" si="65"/>
        <v>9</v>
      </c>
      <c r="Q1096" s="7">
        <f t="shared" si="66"/>
        <v>2026</v>
      </c>
      <c r="R1096" s="6">
        <f t="shared" si="67"/>
        <v>3050.8199999999997</v>
      </c>
      <c r="S1096" s="12">
        <v>46295</v>
      </c>
    </row>
    <row r="1097" spans="1:19">
      <c r="A1097" s="12">
        <v>46294</v>
      </c>
      <c r="B1097" s="8" t="s">
        <v>14</v>
      </c>
      <c r="C1097" s="8" t="s">
        <v>9</v>
      </c>
      <c r="D1097" s="15"/>
      <c r="E1097" s="15">
        <v>3666.6666666666665</v>
      </c>
      <c r="F1097" s="11"/>
      <c r="G1097" s="8" t="s">
        <v>306</v>
      </c>
      <c r="H1097" s="14"/>
      <c r="I1097" s="13"/>
      <c r="J1097" s="8" t="s">
        <v>305</v>
      </c>
      <c r="K1097" s="7"/>
      <c r="L1097" s="8"/>
      <c r="M1097" s="8" t="str">
        <f>IF(C1097="Caixa","-",VLOOKUP(J1097,[1]Estrutura!C:E,3,FALSE))</f>
        <v>7.3</v>
      </c>
      <c r="N1097" s="8"/>
      <c r="O1097" s="7">
        <f t="shared" si="64"/>
        <v>29</v>
      </c>
      <c r="P1097" s="7">
        <f t="shared" si="65"/>
        <v>9</v>
      </c>
      <c r="Q1097" s="7">
        <f t="shared" si="66"/>
        <v>2026</v>
      </c>
      <c r="R1097" s="6">
        <f t="shared" si="67"/>
        <v>-3666.6666666666665</v>
      </c>
      <c r="S1097" s="12">
        <v>46295</v>
      </c>
    </row>
    <row r="1098" spans="1:19">
      <c r="A1098" s="12">
        <v>46294</v>
      </c>
      <c r="B1098" s="8" t="s">
        <v>14</v>
      </c>
      <c r="C1098" s="8" t="s">
        <v>9</v>
      </c>
      <c r="D1098" s="15"/>
      <c r="E1098" s="15">
        <v>1800</v>
      </c>
      <c r="F1098" s="15"/>
      <c r="G1098" s="8" t="s">
        <v>18</v>
      </c>
      <c r="H1098" s="14"/>
      <c r="I1098" s="13"/>
      <c r="J1098" s="8" t="s">
        <v>17</v>
      </c>
      <c r="K1098" s="8"/>
      <c r="L1098" s="7"/>
      <c r="M1098" s="7" t="str">
        <f>IF(C1098="Caixa","-",VLOOKUP(J1098,[1]Estrutura!C:E,3,FALSE))</f>
        <v>4.4</v>
      </c>
      <c r="N1098" s="7"/>
      <c r="O1098" s="7">
        <f t="shared" si="64"/>
        <v>29</v>
      </c>
      <c r="P1098" s="7">
        <f t="shared" si="65"/>
        <v>9</v>
      </c>
      <c r="Q1098" s="7">
        <f t="shared" si="66"/>
        <v>2026</v>
      </c>
      <c r="R1098" s="6">
        <f t="shared" si="67"/>
        <v>-1800</v>
      </c>
      <c r="S1098" s="12">
        <v>46295</v>
      </c>
    </row>
    <row r="1099" spans="1:19">
      <c r="A1099" s="16">
        <v>46294</v>
      </c>
      <c r="B1099" s="7" t="s">
        <v>7</v>
      </c>
      <c r="C1099" s="7" t="s">
        <v>9</v>
      </c>
      <c r="D1099" s="15">
        <v>4068.53</v>
      </c>
      <c r="E1099" s="15"/>
      <c r="F1099" s="15"/>
      <c r="G1099" s="8" t="s">
        <v>11</v>
      </c>
      <c r="H1099" s="8"/>
      <c r="I1099" s="17"/>
      <c r="J1099" s="8" t="s">
        <v>10</v>
      </c>
      <c r="K1099" s="8"/>
      <c r="L1099" s="8"/>
      <c r="M1099" s="8" t="str">
        <f>IF(C1099="Caixa","-",VLOOKUP(J1099,[1]Estrutura!C:E,3,FALSE))</f>
        <v>1.1</v>
      </c>
      <c r="N1099" s="8"/>
      <c r="O1099" s="7">
        <f t="shared" si="64"/>
        <v>29</v>
      </c>
      <c r="P1099" s="7">
        <f t="shared" si="65"/>
        <v>9</v>
      </c>
      <c r="Q1099" s="7">
        <f t="shared" si="66"/>
        <v>2026</v>
      </c>
      <c r="R1099" s="6">
        <f t="shared" si="67"/>
        <v>4068.53</v>
      </c>
      <c r="S1099" s="16">
        <v>46295</v>
      </c>
    </row>
    <row r="1100" spans="1:19">
      <c r="A1100" s="16">
        <v>46295</v>
      </c>
      <c r="B1100" s="7" t="s">
        <v>122</v>
      </c>
      <c r="C1100" s="7" t="s">
        <v>6</v>
      </c>
      <c r="D1100" s="15"/>
      <c r="E1100" s="15">
        <v>3000</v>
      </c>
      <c r="F1100" s="11" t="s">
        <v>121</v>
      </c>
      <c r="G1100" s="8" t="s">
        <v>120</v>
      </c>
      <c r="H1100" s="14"/>
      <c r="I1100" s="13"/>
      <c r="J1100" s="7" t="s">
        <v>119</v>
      </c>
      <c r="K1100" s="8"/>
      <c r="L1100" s="7"/>
      <c r="M1100" s="7" t="str">
        <f>IF(C1100="Caixa","-",VLOOKUP(J1100,[1]Estrutura!C:E,3,FALSE))</f>
        <v>4.5</v>
      </c>
      <c r="N1100" s="7"/>
      <c r="O1100" s="7">
        <f t="shared" si="64"/>
        <v>30</v>
      </c>
      <c r="P1100" s="7">
        <f t="shared" si="65"/>
        <v>9</v>
      </c>
      <c r="Q1100" s="7">
        <f t="shared" si="66"/>
        <v>2026</v>
      </c>
      <c r="R1100" s="6">
        <f t="shared" si="67"/>
        <v>-3000</v>
      </c>
      <c r="S1100" s="12">
        <v>46296</v>
      </c>
    </row>
    <row r="1101" spans="1:19">
      <c r="A1101" s="16">
        <v>46295</v>
      </c>
      <c r="B1101" s="8" t="s">
        <v>14</v>
      </c>
      <c r="C1101" s="7" t="s">
        <v>9</v>
      </c>
      <c r="D1101" s="15">
        <v>1569.63</v>
      </c>
      <c r="E1101" s="15"/>
      <c r="F1101" s="15"/>
      <c r="G1101" s="8" t="s">
        <v>11</v>
      </c>
      <c r="H1101" s="8"/>
      <c r="I1101" s="17"/>
      <c r="J1101" s="8" t="s">
        <v>10</v>
      </c>
      <c r="K1101" s="8"/>
      <c r="L1101" s="8"/>
      <c r="M1101" s="8" t="str">
        <f>IF(C1101="Caixa","-",VLOOKUP(J1101,[1]Estrutura!C:E,3,FALSE))</f>
        <v>1.1</v>
      </c>
      <c r="N1101" s="8"/>
      <c r="O1101" s="7">
        <f t="shared" si="64"/>
        <v>30</v>
      </c>
      <c r="P1101" s="7">
        <f t="shared" si="65"/>
        <v>9</v>
      </c>
      <c r="Q1101" s="7">
        <f t="shared" si="66"/>
        <v>2026</v>
      </c>
      <c r="R1101" s="6">
        <f t="shared" si="67"/>
        <v>1569.63</v>
      </c>
      <c r="S1101" s="16">
        <v>46296</v>
      </c>
    </row>
    <row r="1102" spans="1:19">
      <c r="A1102" s="16">
        <v>46295</v>
      </c>
      <c r="B1102" s="8" t="s">
        <v>14</v>
      </c>
      <c r="C1102" s="8" t="s">
        <v>25</v>
      </c>
      <c r="D1102" s="15">
        <v>2976.27</v>
      </c>
      <c r="E1102" s="15"/>
      <c r="F1102" s="15"/>
      <c r="G1102" s="8" t="s">
        <v>417</v>
      </c>
      <c r="H1102" s="14">
        <v>4157</v>
      </c>
      <c r="I1102" s="13"/>
      <c r="J1102" s="8" t="s">
        <v>17</v>
      </c>
      <c r="K1102" s="8"/>
      <c r="L1102" s="7"/>
      <c r="M1102" s="7" t="str">
        <f>IF(C1102="Caixa","-",VLOOKUP(J1102,[1]Estrutura!C:E,3,FALSE))</f>
        <v>4.4</v>
      </c>
      <c r="N1102" s="7"/>
      <c r="O1102" s="7">
        <f t="shared" ref="O1102:O1165" si="68">DAY(A1102)</f>
        <v>30</v>
      </c>
      <c r="P1102" s="7">
        <f t="shared" ref="P1102:P1165" si="69">MONTH(A1102)</f>
        <v>9</v>
      </c>
      <c r="Q1102" s="7">
        <f t="shared" ref="Q1102:Q1165" si="70">YEAR(A1102)</f>
        <v>2026</v>
      </c>
      <c r="R1102" s="6">
        <f t="shared" ref="R1102:R1165" si="71">D1102-E1102</f>
        <v>2976.27</v>
      </c>
      <c r="S1102" s="16">
        <v>46296</v>
      </c>
    </row>
    <row r="1103" spans="1:19">
      <c r="A1103" s="12">
        <v>46295</v>
      </c>
      <c r="B1103" s="7" t="s">
        <v>14</v>
      </c>
      <c r="C1103" s="7" t="s">
        <v>25</v>
      </c>
      <c r="D1103" s="11"/>
      <c r="E1103" s="11">
        <v>2976.27</v>
      </c>
      <c r="F1103" s="11" t="s">
        <v>157</v>
      </c>
      <c r="G1103" s="18" t="s">
        <v>156</v>
      </c>
      <c r="H1103" s="10">
        <v>4157</v>
      </c>
      <c r="I1103" s="22"/>
      <c r="J1103" s="7" t="s">
        <v>17</v>
      </c>
      <c r="K1103" s="7"/>
      <c r="L1103" s="8"/>
      <c r="M1103" s="8" t="str">
        <f>IF(C1103="Caixa","-",VLOOKUP(J1103,[1]Estrutura!C:E,3,FALSE))</f>
        <v>4.4</v>
      </c>
      <c r="N1103" s="8"/>
      <c r="O1103" s="7">
        <f t="shared" si="68"/>
        <v>30</v>
      </c>
      <c r="P1103" s="7">
        <f t="shared" si="69"/>
        <v>9</v>
      </c>
      <c r="Q1103" s="7">
        <f t="shared" si="70"/>
        <v>2026</v>
      </c>
      <c r="R1103" s="6">
        <f t="shared" si="71"/>
        <v>-2976.27</v>
      </c>
      <c r="S1103" s="12">
        <v>46296</v>
      </c>
    </row>
    <row r="1104" spans="1:19">
      <c r="A1104" s="16">
        <v>46295</v>
      </c>
      <c r="B1104" s="8" t="s">
        <v>26</v>
      </c>
      <c r="C1104" s="8" t="s">
        <v>2</v>
      </c>
      <c r="D1104" s="15">
        <v>2629.5</v>
      </c>
      <c r="E1104" s="15"/>
      <c r="F1104" s="15"/>
      <c r="G1104" s="8" t="s">
        <v>1</v>
      </c>
      <c r="H1104" s="14"/>
      <c r="I1104" s="13"/>
      <c r="J1104" s="8" t="s">
        <v>0</v>
      </c>
      <c r="K1104" s="8" t="s">
        <v>21</v>
      </c>
      <c r="L1104" s="7"/>
      <c r="M1104" s="7" t="str">
        <f>IF(C1104="Caixa","-",VLOOKUP(J1104,[1]Estrutura!C:E,3,FALSE))</f>
        <v>5.1</v>
      </c>
      <c r="N1104" s="7"/>
      <c r="O1104" s="7">
        <f t="shared" si="68"/>
        <v>30</v>
      </c>
      <c r="P1104" s="7">
        <f t="shared" si="69"/>
        <v>9</v>
      </c>
      <c r="Q1104" s="7">
        <f t="shared" si="70"/>
        <v>2026</v>
      </c>
      <c r="R1104" s="6">
        <f t="shared" si="71"/>
        <v>2629.5</v>
      </c>
      <c r="S1104" s="12">
        <v>46296</v>
      </c>
    </row>
    <row r="1105" spans="1:19">
      <c r="A1105" s="12">
        <v>46295</v>
      </c>
      <c r="B1105" s="7" t="s">
        <v>26</v>
      </c>
      <c r="C1105" s="7" t="s">
        <v>6</v>
      </c>
      <c r="D1105" s="11"/>
      <c r="E1105" s="11">
        <v>850</v>
      </c>
      <c r="F1105" s="11" t="s">
        <v>416</v>
      </c>
      <c r="G1105" s="7" t="s">
        <v>415</v>
      </c>
      <c r="H1105" s="10"/>
      <c r="I1105" s="9"/>
      <c r="J1105" s="7" t="s">
        <v>116</v>
      </c>
      <c r="K1105" s="7" t="s">
        <v>21</v>
      </c>
      <c r="L1105" s="8"/>
      <c r="M1105" s="8" t="str">
        <f>IF(C1105="Caixa","-",VLOOKUP(J1105,[1]Estrutura!C:E,3,FALSE))</f>
        <v>4.12</v>
      </c>
      <c r="N1105" s="8"/>
      <c r="O1105" s="7">
        <f t="shared" si="68"/>
        <v>30</v>
      </c>
      <c r="P1105" s="7">
        <f t="shared" si="69"/>
        <v>9</v>
      </c>
      <c r="Q1105" s="7">
        <f t="shared" si="70"/>
        <v>2026</v>
      </c>
      <c r="R1105" s="6">
        <f t="shared" si="71"/>
        <v>-850</v>
      </c>
      <c r="S1105" s="12">
        <v>46296</v>
      </c>
    </row>
    <row r="1106" spans="1:19">
      <c r="A1106" s="16">
        <v>46295</v>
      </c>
      <c r="B1106" s="8" t="s">
        <v>26</v>
      </c>
      <c r="C1106" s="8" t="s">
        <v>6</v>
      </c>
      <c r="D1106" s="15"/>
      <c r="E1106" s="15">
        <v>9500</v>
      </c>
      <c r="F1106" s="15" t="s">
        <v>414</v>
      </c>
      <c r="G1106" s="8" t="s">
        <v>413</v>
      </c>
      <c r="H1106" s="14"/>
      <c r="I1106" s="13"/>
      <c r="J1106" s="8" t="s">
        <v>116</v>
      </c>
      <c r="K1106" s="8" t="s">
        <v>21</v>
      </c>
      <c r="L1106" s="7"/>
      <c r="M1106" s="7" t="str">
        <f>IF(C1106="Caixa","-",VLOOKUP(J1106,[1]Estrutura!C:E,3,FALSE))</f>
        <v>4.12</v>
      </c>
      <c r="N1106" s="7"/>
      <c r="O1106" s="7">
        <f t="shared" si="68"/>
        <v>30</v>
      </c>
      <c r="P1106" s="7">
        <f t="shared" si="69"/>
        <v>9</v>
      </c>
      <c r="Q1106" s="7">
        <f t="shared" si="70"/>
        <v>2026</v>
      </c>
      <c r="R1106" s="6">
        <f t="shared" si="71"/>
        <v>-9500</v>
      </c>
      <c r="S1106" s="16">
        <v>46296</v>
      </c>
    </row>
    <row r="1107" spans="1:19">
      <c r="A1107" s="12">
        <v>46295</v>
      </c>
      <c r="B1107" s="7" t="s">
        <v>26</v>
      </c>
      <c r="C1107" s="18" t="s">
        <v>6</v>
      </c>
      <c r="D1107" s="11"/>
      <c r="E1107" s="11">
        <v>724</v>
      </c>
      <c r="F1107" s="11" t="s">
        <v>71</v>
      </c>
      <c r="G1107" s="11" t="s">
        <v>70</v>
      </c>
      <c r="H1107" s="15"/>
      <c r="I1107" s="22"/>
      <c r="J1107" s="8" t="s">
        <v>115</v>
      </c>
      <c r="K1107" s="7" t="s">
        <v>40</v>
      </c>
      <c r="L1107" s="8"/>
      <c r="M1107" s="8" t="str">
        <f>IF(C1107="Caixa","-",VLOOKUP(J1107,[1]Estrutura!C:E,3,FALSE))</f>
        <v>4.1</v>
      </c>
      <c r="N1107" s="8"/>
      <c r="O1107" s="7">
        <f t="shared" si="68"/>
        <v>30</v>
      </c>
      <c r="P1107" s="7">
        <f t="shared" si="69"/>
        <v>9</v>
      </c>
      <c r="Q1107" s="7">
        <f t="shared" si="70"/>
        <v>2026</v>
      </c>
      <c r="R1107" s="6">
        <f t="shared" si="71"/>
        <v>-724</v>
      </c>
      <c r="S1107" s="12">
        <v>46296</v>
      </c>
    </row>
    <row r="1108" spans="1:19">
      <c r="A1108" s="12">
        <v>46295</v>
      </c>
      <c r="B1108" s="7" t="s">
        <v>26</v>
      </c>
      <c r="C1108" s="7" t="s">
        <v>6</v>
      </c>
      <c r="D1108" s="11"/>
      <c r="E1108" s="15">
        <v>737</v>
      </c>
      <c r="F1108" s="11" t="s">
        <v>41</v>
      </c>
      <c r="G1108" s="7" t="s">
        <v>412</v>
      </c>
      <c r="H1108" s="15"/>
      <c r="I1108" s="9"/>
      <c r="J1108" s="8" t="s">
        <v>115</v>
      </c>
      <c r="K1108" s="8" t="s">
        <v>40</v>
      </c>
      <c r="L1108" s="7"/>
      <c r="M1108" s="7" t="str">
        <f>IF(C1108="Caixa","-",VLOOKUP(J1108,[1]Estrutura!C:E,3,FALSE))</f>
        <v>4.1</v>
      </c>
      <c r="N1108" s="7"/>
      <c r="O1108" s="7">
        <f t="shared" si="68"/>
        <v>30</v>
      </c>
      <c r="P1108" s="7">
        <f t="shared" si="69"/>
        <v>9</v>
      </c>
      <c r="Q1108" s="7">
        <f t="shared" si="70"/>
        <v>2026</v>
      </c>
      <c r="R1108" s="6">
        <f t="shared" si="71"/>
        <v>-737</v>
      </c>
      <c r="S1108" s="16">
        <v>46296</v>
      </c>
    </row>
    <row r="1109" spans="1:19">
      <c r="A1109" s="12">
        <v>46295</v>
      </c>
      <c r="B1109" s="7" t="s">
        <v>26</v>
      </c>
      <c r="C1109" s="7" t="s">
        <v>6</v>
      </c>
      <c r="D1109" s="11"/>
      <c r="E1109" s="15">
        <v>647.66666666666663</v>
      </c>
      <c r="F1109" s="11" t="s">
        <v>48</v>
      </c>
      <c r="G1109" s="8" t="s">
        <v>412</v>
      </c>
      <c r="H1109" s="15"/>
      <c r="I1109" s="9"/>
      <c r="J1109" s="8" t="s">
        <v>115</v>
      </c>
      <c r="K1109" s="8" t="s">
        <v>40</v>
      </c>
      <c r="L1109" s="8"/>
      <c r="M1109" s="8" t="str">
        <f>IF(C1109="Caixa","-",VLOOKUP(J1109,[1]Estrutura!C:E,3,FALSE))</f>
        <v>4.1</v>
      </c>
      <c r="N1109" s="8"/>
      <c r="O1109" s="7">
        <f t="shared" si="68"/>
        <v>30</v>
      </c>
      <c r="P1109" s="7">
        <f t="shared" si="69"/>
        <v>9</v>
      </c>
      <c r="Q1109" s="7">
        <f t="shared" si="70"/>
        <v>2026</v>
      </c>
      <c r="R1109" s="6">
        <f t="shared" si="71"/>
        <v>-647.66666666666663</v>
      </c>
      <c r="S1109" s="12">
        <v>46296</v>
      </c>
    </row>
    <row r="1110" spans="1:19">
      <c r="A1110" s="12">
        <v>46295</v>
      </c>
      <c r="B1110" s="8" t="s">
        <v>26</v>
      </c>
      <c r="C1110" s="8" t="s">
        <v>6</v>
      </c>
      <c r="D1110" s="15"/>
      <c r="E1110" s="15">
        <v>966.66666666666663</v>
      </c>
      <c r="F1110" s="15" t="s">
        <v>47</v>
      </c>
      <c r="G1110" s="8" t="s">
        <v>411</v>
      </c>
      <c r="H1110" s="15"/>
      <c r="I1110" s="13"/>
      <c r="J1110" s="8" t="s">
        <v>115</v>
      </c>
      <c r="K1110" s="8" t="s">
        <v>21</v>
      </c>
      <c r="L1110" s="7"/>
      <c r="M1110" s="7" t="str">
        <f>IF(C1110="Caixa","-",VLOOKUP(J1110,[1]Estrutura!C:E,3,FALSE))</f>
        <v>4.1</v>
      </c>
      <c r="N1110" s="7"/>
      <c r="O1110" s="7">
        <f t="shared" si="68"/>
        <v>30</v>
      </c>
      <c r="P1110" s="7">
        <f t="shared" si="69"/>
        <v>9</v>
      </c>
      <c r="Q1110" s="7">
        <f t="shared" si="70"/>
        <v>2026</v>
      </c>
      <c r="R1110" s="6">
        <f t="shared" si="71"/>
        <v>-966.66666666666663</v>
      </c>
      <c r="S1110" s="16">
        <v>46296</v>
      </c>
    </row>
    <row r="1111" spans="1:19">
      <c r="A1111" s="12">
        <v>46295</v>
      </c>
      <c r="B1111" s="7" t="s">
        <v>26</v>
      </c>
      <c r="C1111" s="8" t="s">
        <v>6</v>
      </c>
      <c r="D1111" s="11"/>
      <c r="E1111" s="11">
        <v>737</v>
      </c>
      <c r="F1111" s="11" t="s">
        <v>42</v>
      </c>
      <c r="G1111" s="7" t="s">
        <v>411</v>
      </c>
      <c r="H1111" s="15"/>
      <c r="I1111" s="9"/>
      <c r="J1111" s="8" t="s">
        <v>115</v>
      </c>
      <c r="K1111" s="18" t="s">
        <v>34</v>
      </c>
      <c r="L1111" s="8"/>
      <c r="M1111" s="8" t="str">
        <f>IF(C1111="Caixa","-",VLOOKUP(J1111,[1]Estrutura!C:E,3,FALSE))</f>
        <v>4.1</v>
      </c>
      <c r="N1111" s="8"/>
      <c r="O1111" s="7">
        <f t="shared" si="68"/>
        <v>30</v>
      </c>
      <c r="P1111" s="7">
        <f t="shared" si="69"/>
        <v>9</v>
      </c>
      <c r="Q1111" s="7">
        <f t="shared" si="70"/>
        <v>2026</v>
      </c>
      <c r="R1111" s="6">
        <f t="shared" si="71"/>
        <v>-737</v>
      </c>
      <c r="S1111" s="12">
        <v>46296</v>
      </c>
    </row>
    <row r="1112" spans="1:19">
      <c r="A1112" s="16">
        <v>46295</v>
      </c>
      <c r="B1112" s="8" t="s">
        <v>26</v>
      </c>
      <c r="C1112" s="8" t="s">
        <v>25</v>
      </c>
      <c r="D1112" s="15"/>
      <c r="E1112" s="15">
        <v>5000</v>
      </c>
      <c r="F1112" s="15" t="s">
        <v>109</v>
      </c>
      <c r="G1112" s="8" t="s">
        <v>278</v>
      </c>
      <c r="H1112" s="14">
        <v>9937</v>
      </c>
      <c r="I1112" s="13"/>
      <c r="J1112" s="8" t="s">
        <v>17</v>
      </c>
      <c r="K1112" s="8" t="s">
        <v>21</v>
      </c>
      <c r="L1112" s="7"/>
      <c r="M1112" s="7" t="str">
        <f>IF(C1112="Caixa","-",VLOOKUP(J1112,[1]Estrutura!C:E,3,FALSE))</f>
        <v>4.4</v>
      </c>
      <c r="N1112" s="7"/>
      <c r="O1112" s="7">
        <f t="shared" si="68"/>
        <v>30</v>
      </c>
      <c r="P1112" s="7">
        <f t="shared" si="69"/>
        <v>9</v>
      </c>
      <c r="Q1112" s="7">
        <f t="shared" si="70"/>
        <v>2026</v>
      </c>
      <c r="R1112" s="6">
        <f t="shared" si="71"/>
        <v>-5000</v>
      </c>
      <c r="S1112" s="12">
        <v>46296</v>
      </c>
    </row>
    <row r="1113" spans="1:19">
      <c r="A1113" s="16">
        <v>46295</v>
      </c>
      <c r="B1113" s="7" t="s">
        <v>7</v>
      </c>
      <c r="C1113" s="7" t="s">
        <v>9</v>
      </c>
      <c r="D1113" s="15">
        <v>9861.4999999999982</v>
      </c>
      <c r="E1113" s="15"/>
      <c r="F1113" s="15"/>
      <c r="G1113" s="8" t="s">
        <v>11</v>
      </c>
      <c r="H1113" s="8"/>
      <c r="I1113" s="17"/>
      <c r="J1113" s="8" t="s">
        <v>10</v>
      </c>
      <c r="K1113" s="8"/>
      <c r="L1113" s="8"/>
      <c r="M1113" s="8" t="str">
        <f>IF(C1113="Caixa","-",VLOOKUP(J1113,[1]Estrutura!C:E,3,FALSE))</f>
        <v>1.1</v>
      </c>
      <c r="N1113" s="8"/>
      <c r="O1113" s="7">
        <f t="shared" si="68"/>
        <v>30</v>
      </c>
      <c r="P1113" s="7">
        <f t="shared" si="69"/>
        <v>9</v>
      </c>
      <c r="Q1113" s="7">
        <f t="shared" si="70"/>
        <v>2026</v>
      </c>
      <c r="R1113" s="6">
        <f t="shared" si="71"/>
        <v>9861.4999999999982</v>
      </c>
      <c r="S1113" s="16">
        <v>46296</v>
      </c>
    </row>
    <row r="1114" spans="1:19">
      <c r="A1114" s="12">
        <v>46295</v>
      </c>
      <c r="B1114" s="8" t="s">
        <v>7</v>
      </c>
      <c r="C1114" s="8" t="s">
        <v>2</v>
      </c>
      <c r="D1114" s="15">
        <v>15892.369999998249</v>
      </c>
      <c r="E1114" s="15"/>
      <c r="F1114" s="15"/>
      <c r="G1114" s="8" t="s">
        <v>1</v>
      </c>
      <c r="H1114" s="14"/>
      <c r="I1114" s="13"/>
      <c r="J1114" s="8" t="s">
        <v>0</v>
      </c>
      <c r="K1114" s="7"/>
      <c r="L1114" s="7"/>
      <c r="M1114" s="7" t="str">
        <f>IF(C1114="Caixa","-",VLOOKUP(J1114,[1]Estrutura!C:E,3,FALSE))</f>
        <v>5.1</v>
      </c>
      <c r="N1114" s="7"/>
      <c r="O1114" s="7">
        <f t="shared" si="68"/>
        <v>30</v>
      </c>
      <c r="P1114" s="7">
        <f t="shared" si="69"/>
        <v>9</v>
      </c>
      <c r="Q1114" s="7">
        <f t="shared" si="70"/>
        <v>2026</v>
      </c>
      <c r="R1114" s="6">
        <f t="shared" si="71"/>
        <v>15892.369999998249</v>
      </c>
      <c r="S1114" s="12">
        <v>46296</v>
      </c>
    </row>
    <row r="1115" spans="1:19">
      <c r="A1115" s="12">
        <v>46295</v>
      </c>
      <c r="B1115" s="7" t="s">
        <v>7</v>
      </c>
      <c r="C1115" s="7" t="s">
        <v>6</v>
      </c>
      <c r="D1115" s="11"/>
      <c r="E1115" s="11">
        <v>512.15</v>
      </c>
      <c r="F1115" s="11"/>
      <c r="G1115" s="7" t="s">
        <v>5</v>
      </c>
      <c r="H1115" s="10"/>
      <c r="I1115" s="9"/>
      <c r="J1115" s="7" t="s">
        <v>4</v>
      </c>
      <c r="K1115" s="7"/>
      <c r="L1115" s="8"/>
      <c r="M1115" s="8" t="str">
        <f>IF(C1115="Caixa","-",VLOOKUP(J1115,[1]Estrutura!C:E,3,FALSE))</f>
        <v>5.2</v>
      </c>
      <c r="N1115" s="8"/>
      <c r="O1115" s="7">
        <f t="shared" si="68"/>
        <v>30</v>
      </c>
      <c r="P1115" s="7">
        <f t="shared" si="69"/>
        <v>9</v>
      </c>
      <c r="Q1115" s="7">
        <f t="shared" si="70"/>
        <v>2026</v>
      </c>
      <c r="R1115" s="6">
        <f t="shared" si="71"/>
        <v>-512.15</v>
      </c>
      <c r="S1115" s="16">
        <v>46296</v>
      </c>
    </row>
    <row r="1116" spans="1:19">
      <c r="A1116" s="12">
        <v>46295</v>
      </c>
      <c r="B1116" s="8" t="s">
        <v>7</v>
      </c>
      <c r="C1116" s="8" t="s">
        <v>6</v>
      </c>
      <c r="D1116" s="15"/>
      <c r="E1116" s="15">
        <v>486.42</v>
      </c>
      <c r="F1116" s="15"/>
      <c r="G1116" s="8" t="s">
        <v>5</v>
      </c>
      <c r="H1116" s="14"/>
      <c r="I1116" s="13"/>
      <c r="J1116" s="8" t="s">
        <v>4</v>
      </c>
      <c r="K1116" s="7"/>
      <c r="L1116" s="7"/>
      <c r="M1116" s="7" t="str">
        <f>IF(C1116="Caixa","-",VLOOKUP(J1116,[1]Estrutura!C:E,3,FALSE))</f>
        <v>5.2</v>
      </c>
      <c r="N1116" s="7"/>
      <c r="O1116" s="7">
        <f t="shared" si="68"/>
        <v>30</v>
      </c>
      <c r="P1116" s="7">
        <f t="shared" si="69"/>
        <v>9</v>
      </c>
      <c r="Q1116" s="7">
        <f t="shared" si="70"/>
        <v>2026</v>
      </c>
      <c r="R1116" s="6">
        <f t="shared" si="71"/>
        <v>-486.42</v>
      </c>
      <c r="S1116" s="12">
        <v>46296</v>
      </c>
    </row>
    <row r="1117" spans="1:19">
      <c r="A1117" s="16">
        <v>46295</v>
      </c>
      <c r="B1117" s="8" t="s">
        <v>3</v>
      </c>
      <c r="C1117" s="8" t="s">
        <v>2</v>
      </c>
      <c r="D1117" s="11">
        <v>7181.359999999986</v>
      </c>
      <c r="E1117" s="15"/>
      <c r="F1117" s="15"/>
      <c r="G1117" s="8" t="s">
        <v>1</v>
      </c>
      <c r="H1117" s="14"/>
      <c r="I1117" s="13"/>
      <c r="J1117" s="8" t="s">
        <v>0</v>
      </c>
      <c r="K1117" s="8" t="s">
        <v>21</v>
      </c>
      <c r="L1117" s="8"/>
      <c r="M1117" s="8" t="str">
        <f>IF(C1117="Caixa","-",VLOOKUP(J1117,[1]Estrutura!C:E,3,FALSE))</f>
        <v>5.1</v>
      </c>
      <c r="N1117" s="8"/>
      <c r="O1117" s="7">
        <f t="shared" si="68"/>
        <v>30</v>
      </c>
      <c r="P1117" s="7">
        <f t="shared" si="69"/>
        <v>9</v>
      </c>
      <c r="Q1117" s="7">
        <f t="shared" si="70"/>
        <v>2026</v>
      </c>
      <c r="R1117" s="6">
        <f t="shared" si="71"/>
        <v>7181.359999999986</v>
      </c>
      <c r="S1117" s="16">
        <v>46296</v>
      </c>
    </row>
    <row r="1118" spans="1:19">
      <c r="A1118" s="12">
        <v>46296</v>
      </c>
      <c r="B1118" s="7" t="s">
        <v>14</v>
      </c>
      <c r="C1118" s="7" t="s">
        <v>9</v>
      </c>
      <c r="D1118" s="11"/>
      <c r="E1118" s="15">
        <v>4953</v>
      </c>
      <c r="F1118" s="15" t="s">
        <v>146</v>
      </c>
      <c r="G1118" s="7" t="s">
        <v>410</v>
      </c>
      <c r="H1118" s="10"/>
      <c r="I1118" s="9"/>
      <c r="J1118" s="7" t="s">
        <v>144</v>
      </c>
      <c r="K1118" s="7"/>
      <c r="L1118" s="7"/>
      <c r="M1118" s="7" t="str">
        <f>IF(C1118="Caixa","-",VLOOKUP(J1118,[1]Estrutura!C:E,3,FALSE))</f>
        <v>4.2</v>
      </c>
      <c r="N1118" s="7"/>
      <c r="O1118" s="7">
        <f t="shared" si="68"/>
        <v>1</v>
      </c>
      <c r="P1118" s="7">
        <f t="shared" si="69"/>
        <v>10</v>
      </c>
      <c r="Q1118" s="7">
        <f t="shared" si="70"/>
        <v>2026</v>
      </c>
      <c r="R1118" s="6">
        <f t="shared" si="71"/>
        <v>-4953</v>
      </c>
      <c r="S1118" s="12">
        <v>46297</v>
      </c>
    </row>
    <row r="1119" spans="1:19">
      <c r="A1119" s="16">
        <v>46296</v>
      </c>
      <c r="B1119" s="8" t="s">
        <v>14</v>
      </c>
      <c r="C1119" s="8" t="s">
        <v>9</v>
      </c>
      <c r="D1119" s="15"/>
      <c r="E1119" s="11">
        <v>100</v>
      </c>
      <c r="F1119" s="15" t="s">
        <v>146</v>
      </c>
      <c r="G1119" s="7" t="s">
        <v>213</v>
      </c>
      <c r="H1119" s="10"/>
      <c r="I1119" s="13"/>
      <c r="J1119" s="8" t="s">
        <v>144</v>
      </c>
      <c r="K1119" s="8"/>
      <c r="L1119" s="8"/>
      <c r="M1119" s="8" t="str">
        <f>IF(C1119="Caixa","-",VLOOKUP(J1119,[1]Estrutura!C:E,3,FALSE))</f>
        <v>4.2</v>
      </c>
      <c r="N1119" s="8"/>
      <c r="O1119" s="7">
        <f t="shared" si="68"/>
        <v>1</v>
      </c>
      <c r="P1119" s="7">
        <f t="shared" si="69"/>
        <v>10</v>
      </c>
      <c r="Q1119" s="7">
        <f t="shared" si="70"/>
        <v>2026</v>
      </c>
      <c r="R1119" s="6">
        <f t="shared" si="71"/>
        <v>-100</v>
      </c>
      <c r="S1119" s="16">
        <v>46297</v>
      </c>
    </row>
    <row r="1120" spans="1:19">
      <c r="A1120" s="16">
        <v>46296</v>
      </c>
      <c r="B1120" s="8" t="s">
        <v>14</v>
      </c>
      <c r="C1120" s="24" t="s">
        <v>9</v>
      </c>
      <c r="D1120" s="15"/>
      <c r="E1120" s="15">
        <v>100</v>
      </c>
      <c r="F1120" s="15" t="s">
        <v>146</v>
      </c>
      <c r="G1120" s="8" t="s">
        <v>213</v>
      </c>
      <c r="H1120" s="14"/>
      <c r="I1120" s="13"/>
      <c r="J1120" s="8" t="s">
        <v>144</v>
      </c>
      <c r="K1120" s="8"/>
      <c r="L1120" s="7"/>
      <c r="M1120" s="7" t="str">
        <f>IF(C1120="Caixa","-",VLOOKUP(J1120,[1]Estrutura!C:E,3,FALSE))</f>
        <v>4.2</v>
      </c>
      <c r="N1120" s="7"/>
      <c r="O1120" s="7">
        <f t="shared" si="68"/>
        <v>1</v>
      </c>
      <c r="P1120" s="7">
        <f t="shared" si="69"/>
        <v>10</v>
      </c>
      <c r="Q1120" s="7">
        <f t="shared" si="70"/>
        <v>2026</v>
      </c>
      <c r="R1120" s="6">
        <f t="shared" si="71"/>
        <v>-100</v>
      </c>
      <c r="S1120" s="16">
        <v>46297</v>
      </c>
    </row>
    <row r="1121" spans="1:19">
      <c r="A1121" s="12">
        <v>46296</v>
      </c>
      <c r="B1121" s="7" t="s">
        <v>14</v>
      </c>
      <c r="C1121" s="18" t="s">
        <v>9</v>
      </c>
      <c r="D1121" s="11"/>
      <c r="E1121" s="15">
        <v>4953</v>
      </c>
      <c r="F1121" s="15" t="s">
        <v>146</v>
      </c>
      <c r="G1121" s="7" t="s">
        <v>409</v>
      </c>
      <c r="H1121" s="10"/>
      <c r="I1121" s="9"/>
      <c r="J1121" s="7" t="s">
        <v>144</v>
      </c>
      <c r="K1121" s="7"/>
      <c r="L1121" s="8"/>
      <c r="M1121" s="8" t="str">
        <f>IF(C1121="Caixa","-",VLOOKUP(J1121,[1]Estrutura!C:E,3,FALSE))</f>
        <v>4.2</v>
      </c>
      <c r="N1121" s="8"/>
      <c r="O1121" s="7">
        <f t="shared" si="68"/>
        <v>1</v>
      </c>
      <c r="P1121" s="7">
        <f t="shared" si="69"/>
        <v>10</v>
      </c>
      <c r="Q1121" s="7">
        <f t="shared" si="70"/>
        <v>2026</v>
      </c>
      <c r="R1121" s="6">
        <f t="shared" si="71"/>
        <v>-4953</v>
      </c>
      <c r="S1121" s="16">
        <v>46297</v>
      </c>
    </row>
    <row r="1122" spans="1:19">
      <c r="A1122" s="12">
        <v>46296</v>
      </c>
      <c r="B1122" s="7" t="s">
        <v>14</v>
      </c>
      <c r="C1122" s="7" t="s">
        <v>9</v>
      </c>
      <c r="D1122" s="11"/>
      <c r="E1122" s="11">
        <v>35838.239999999998</v>
      </c>
      <c r="F1122" s="11" t="s">
        <v>212</v>
      </c>
      <c r="G1122" s="7" t="s">
        <v>408</v>
      </c>
      <c r="H1122" s="10">
        <v>63121378</v>
      </c>
      <c r="I1122" s="9"/>
      <c r="J1122" s="21" t="s">
        <v>210</v>
      </c>
      <c r="K1122" s="7"/>
      <c r="L1122" s="7"/>
      <c r="M1122" s="7" t="str">
        <f>IF(C1122="Caixa","-",VLOOKUP(J1122,[1]Estrutura!C:E,3,FALSE))</f>
        <v>4.12</v>
      </c>
      <c r="N1122" s="7"/>
      <c r="O1122" s="7">
        <f t="shared" si="68"/>
        <v>1</v>
      </c>
      <c r="P1122" s="7">
        <f t="shared" si="69"/>
        <v>10</v>
      </c>
      <c r="Q1122" s="7">
        <f t="shared" si="70"/>
        <v>2026</v>
      </c>
      <c r="R1122" s="6">
        <f t="shared" si="71"/>
        <v>-35838.239999999998</v>
      </c>
      <c r="S1122" s="12">
        <v>46297</v>
      </c>
    </row>
    <row r="1123" spans="1:19">
      <c r="A1123" s="12">
        <v>46296</v>
      </c>
      <c r="B1123" s="7" t="s">
        <v>26</v>
      </c>
      <c r="C1123" s="7" t="s">
        <v>6</v>
      </c>
      <c r="D1123" s="11"/>
      <c r="E1123" s="11">
        <v>1440</v>
      </c>
      <c r="F1123" s="11" t="s">
        <v>223</v>
      </c>
      <c r="G1123" s="7" t="s">
        <v>224</v>
      </c>
      <c r="H1123" s="10"/>
      <c r="I1123" s="9"/>
      <c r="J1123" s="7" t="s">
        <v>201</v>
      </c>
      <c r="K1123" s="7" t="s">
        <v>21</v>
      </c>
      <c r="L1123" s="8"/>
      <c r="M1123" s="8" t="str">
        <f>IF(C1123="Caixa","-",VLOOKUP(J1123,[1]Estrutura!C:E,3,FALSE))</f>
        <v>4.4</v>
      </c>
      <c r="N1123" s="8"/>
      <c r="O1123" s="7">
        <f t="shared" si="68"/>
        <v>1</v>
      </c>
      <c r="P1123" s="7">
        <f t="shared" si="69"/>
        <v>10</v>
      </c>
      <c r="Q1123" s="7">
        <f t="shared" si="70"/>
        <v>2026</v>
      </c>
      <c r="R1123" s="6">
        <f t="shared" si="71"/>
        <v>-1440</v>
      </c>
      <c r="S1123" s="16">
        <v>46298</v>
      </c>
    </row>
    <row r="1124" spans="1:19">
      <c r="A1124" s="16">
        <v>46296</v>
      </c>
      <c r="B1124" s="8" t="s">
        <v>26</v>
      </c>
      <c r="C1124" s="8" t="s">
        <v>6</v>
      </c>
      <c r="D1124" s="15"/>
      <c r="E1124" s="15">
        <v>1440</v>
      </c>
      <c r="F1124" s="15" t="s">
        <v>223</v>
      </c>
      <c r="G1124" s="8" t="s">
        <v>222</v>
      </c>
      <c r="H1124" s="14"/>
      <c r="I1124" s="13"/>
      <c r="J1124" s="8" t="s">
        <v>201</v>
      </c>
      <c r="K1124" s="8" t="s">
        <v>21</v>
      </c>
      <c r="L1124" s="7"/>
      <c r="M1124" s="7" t="str">
        <f>IF(C1124="Caixa","-",VLOOKUP(J1124,[1]Estrutura!C:E,3,FALSE))</f>
        <v>4.4</v>
      </c>
      <c r="N1124" s="7"/>
      <c r="O1124" s="7">
        <f t="shared" si="68"/>
        <v>1</v>
      </c>
      <c r="P1124" s="7">
        <f t="shared" si="69"/>
        <v>10</v>
      </c>
      <c r="Q1124" s="7">
        <f t="shared" si="70"/>
        <v>2026</v>
      </c>
      <c r="R1124" s="6">
        <f t="shared" si="71"/>
        <v>-1440</v>
      </c>
      <c r="S1124" s="12">
        <v>46298</v>
      </c>
    </row>
    <row r="1125" spans="1:19">
      <c r="A1125" s="12">
        <v>46296</v>
      </c>
      <c r="B1125" s="7" t="s">
        <v>26</v>
      </c>
      <c r="C1125" s="7" t="s">
        <v>6</v>
      </c>
      <c r="D1125" s="11"/>
      <c r="E1125" s="11">
        <v>283.32</v>
      </c>
      <c r="F1125" s="11" t="s">
        <v>219</v>
      </c>
      <c r="G1125" s="7" t="s">
        <v>221</v>
      </c>
      <c r="H1125" s="10"/>
      <c r="I1125" s="9"/>
      <c r="J1125" s="7" t="s">
        <v>144</v>
      </c>
      <c r="K1125" s="7" t="s">
        <v>21</v>
      </c>
      <c r="L1125" s="8"/>
      <c r="M1125" s="8" t="str">
        <f>IF(C1125="Caixa","-",VLOOKUP(J1125,[1]Estrutura!C:E,3,FALSE))</f>
        <v>4.2</v>
      </c>
      <c r="N1125" s="8"/>
      <c r="O1125" s="7">
        <f t="shared" si="68"/>
        <v>1</v>
      </c>
      <c r="P1125" s="7">
        <f t="shared" si="69"/>
        <v>10</v>
      </c>
      <c r="Q1125" s="7">
        <f t="shared" si="70"/>
        <v>2026</v>
      </c>
      <c r="R1125" s="6">
        <f t="shared" si="71"/>
        <v>-283.32</v>
      </c>
      <c r="S1125" s="16">
        <v>46298</v>
      </c>
    </row>
    <row r="1126" spans="1:19">
      <c r="A1126" s="16">
        <v>46296</v>
      </c>
      <c r="B1126" s="8" t="s">
        <v>26</v>
      </c>
      <c r="C1126" s="8" t="s">
        <v>6</v>
      </c>
      <c r="D1126" s="15"/>
      <c r="E1126" s="15">
        <v>7515.24</v>
      </c>
      <c r="F1126" s="15" t="s">
        <v>219</v>
      </c>
      <c r="G1126" s="8" t="s">
        <v>220</v>
      </c>
      <c r="H1126" s="14"/>
      <c r="I1126" s="13"/>
      <c r="J1126" s="8" t="s">
        <v>144</v>
      </c>
      <c r="K1126" s="8" t="s">
        <v>21</v>
      </c>
      <c r="L1126" s="7"/>
      <c r="M1126" s="7" t="str">
        <f>IF(C1126="Caixa","-",VLOOKUP(J1126,[1]Estrutura!C:E,3,FALSE))</f>
        <v>4.2</v>
      </c>
      <c r="N1126" s="7"/>
      <c r="O1126" s="7">
        <f t="shared" si="68"/>
        <v>1</v>
      </c>
      <c r="P1126" s="7">
        <f t="shared" si="69"/>
        <v>10</v>
      </c>
      <c r="Q1126" s="7">
        <f t="shared" si="70"/>
        <v>2026</v>
      </c>
      <c r="R1126" s="6">
        <f t="shared" si="71"/>
        <v>-7515.24</v>
      </c>
      <c r="S1126" s="12">
        <v>46298</v>
      </c>
    </row>
    <row r="1127" spans="1:19">
      <c r="A1127" s="12">
        <v>46296</v>
      </c>
      <c r="B1127" s="7" t="s">
        <v>26</v>
      </c>
      <c r="C1127" s="7" t="s">
        <v>6</v>
      </c>
      <c r="D1127" s="11"/>
      <c r="E1127" s="11">
        <v>681.34</v>
      </c>
      <c r="F1127" s="11" t="s">
        <v>219</v>
      </c>
      <c r="G1127" s="7" t="s">
        <v>218</v>
      </c>
      <c r="H1127" s="10"/>
      <c r="I1127" s="9"/>
      <c r="J1127" s="7" t="s">
        <v>144</v>
      </c>
      <c r="K1127" s="7" t="s">
        <v>21</v>
      </c>
      <c r="L1127" s="8"/>
      <c r="M1127" s="8" t="str">
        <f>IF(C1127="Caixa","-",VLOOKUP(J1127,[1]Estrutura!C:E,3,FALSE))</f>
        <v>4.2</v>
      </c>
      <c r="N1127" s="8"/>
      <c r="O1127" s="7">
        <f t="shared" si="68"/>
        <v>1</v>
      </c>
      <c r="P1127" s="7">
        <f t="shared" si="69"/>
        <v>10</v>
      </c>
      <c r="Q1127" s="7">
        <f t="shared" si="70"/>
        <v>2026</v>
      </c>
      <c r="R1127" s="6">
        <f t="shared" si="71"/>
        <v>-681.34</v>
      </c>
      <c r="S1127" s="16">
        <v>46298</v>
      </c>
    </row>
    <row r="1128" spans="1:19">
      <c r="A1128" s="16">
        <v>46296</v>
      </c>
      <c r="B1128" s="8" t="s">
        <v>26</v>
      </c>
      <c r="C1128" s="8" t="s">
        <v>6</v>
      </c>
      <c r="D1128" s="15"/>
      <c r="E1128" s="15">
        <v>31</v>
      </c>
      <c r="F1128" s="15" t="s">
        <v>294</v>
      </c>
      <c r="G1128" s="8" t="s">
        <v>407</v>
      </c>
      <c r="H1128" s="14">
        <v>38021</v>
      </c>
      <c r="I1128" s="13"/>
      <c r="J1128" s="8" t="s">
        <v>102</v>
      </c>
      <c r="K1128" s="8" t="s">
        <v>21</v>
      </c>
      <c r="L1128" s="7"/>
      <c r="M1128" s="7" t="str">
        <f>IF(C1128="Caixa","-",VLOOKUP(J1128,[1]Estrutura!C:E,3,FALSE))</f>
        <v>4.5</v>
      </c>
      <c r="N1128" s="7"/>
      <c r="O1128" s="7">
        <f t="shared" si="68"/>
        <v>1</v>
      </c>
      <c r="P1128" s="7">
        <f t="shared" si="69"/>
        <v>10</v>
      </c>
      <c r="Q1128" s="7">
        <f t="shared" si="70"/>
        <v>2026</v>
      </c>
      <c r="R1128" s="6">
        <f t="shared" si="71"/>
        <v>-31</v>
      </c>
      <c r="S1128" s="12">
        <v>46298</v>
      </c>
    </row>
    <row r="1129" spans="1:19">
      <c r="A1129" s="12">
        <v>46296</v>
      </c>
      <c r="B1129" s="7" t="s">
        <v>26</v>
      </c>
      <c r="C1129" s="7" t="s">
        <v>6</v>
      </c>
      <c r="D1129" s="11"/>
      <c r="E1129" s="15">
        <v>8500</v>
      </c>
      <c r="F1129" s="11" t="s">
        <v>263</v>
      </c>
      <c r="G1129" s="7" t="s">
        <v>262</v>
      </c>
      <c r="H1129" s="10"/>
      <c r="I1129" s="9"/>
      <c r="J1129" s="7" t="s">
        <v>116</v>
      </c>
      <c r="K1129" s="8" t="s">
        <v>21</v>
      </c>
      <c r="L1129" s="8"/>
      <c r="M1129" s="8" t="str">
        <f>IF(C1129="Caixa","-",VLOOKUP(J1129,[1]Estrutura!C:E,3,FALSE))</f>
        <v>4.12</v>
      </c>
      <c r="N1129" s="8"/>
      <c r="O1129" s="7">
        <f t="shared" si="68"/>
        <v>1</v>
      </c>
      <c r="P1129" s="7">
        <f t="shared" si="69"/>
        <v>10</v>
      </c>
      <c r="Q1129" s="7">
        <f t="shared" si="70"/>
        <v>2026</v>
      </c>
      <c r="R1129" s="6">
        <f t="shared" si="71"/>
        <v>-8500</v>
      </c>
      <c r="S1129" s="16">
        <v>46298</v>
      </c>
    </row>
    <row r="1130" spans="1:19">
      <c r="A1130" s="12">
        <v>46296</v>
      </c>
      <c r="B1130" s="7" t="s">
        <v>26</v>
      </c>
      <c r="C1130" s="7" t="s">
        <v>6</v>
      </c>
      <c r="D1130" s="11"/>
      <c r="E1130" s="11">
        <v>1000</v>
      </c>
      <c r="F1130" s="11" t="s">
        <v>199</v>
      </c>
      <c r="G1130" s="7" t="s">
        <v>57</v>
      </c>
      <c r="H1130" s="10"/>
      <c r="I1130" s="9"/>
      <c r="J1130" s="7" t="s">
        <v>56</v>
      </c>
      <c r="K1130" s="7" t="s">
        <v>21</v>
      </c>
      <c r="L1130" s="7"/>
      <c r="M1130" s="7" t="str">
        <f>IF(C1130="Caixa","-",VLOOKUP(J1130,[1]Estrutura!C:E,3,FALSE))</f>
        <v>6.1</v>
      </c>
      <c r="N1130" s="7"/>
      <c r="O1130" s="7">
        <f t="shared" si="68"/>
        <v>1</v>
      </c>
      <c r="P1130" s="7">
        <f t="shared" si="69"/>
        <v>10</v>
      </c>
      <c r="Q1130" s="7">
        <f t="shared" si="70"/>
        <v>2026</v>
      </c>
      <c r="R1130" s="6">
        <f t="shared" si="71"/>
        <v>-1000</v>
      </c>
      <c r="S1130" s="16">
        <v>46298</v>
      </c>
    </row>
    <row r="1131" spans="1:19">
      <c r="A1131" s="16">
        <v>46296</v>
      </c>
      <c r="B1131" s="8" t="s">
        <v>26</v>
      </c>
      <c r="C1131" s="8" t="s">
        <v>6</v>
      </c>
      <c r="D1131" s="15"/>
      <c r="E1131" s="15">
        <v>40000</v>
      </c>
      <c r="F1131" s="15" t="s">
        <v>406</v>
      </c>
      <c r="G1131" s="8" t="s">
        <v>405</v>
      </c>
      <c r="H1131" s="14"/>
      <c r="I1131" s="13"/>
      <c r="J1131" s="8" t="s">
        <v>17</v>
      </c>
      <c r="K1131" s="8" t="s">
        <v>34</v>
      </c>
      <c r="L1131" s="8"/>
      <c r="M1131" s="8" t="str">
        <f>IF(C1131="Caixa","-",VLOOKUP(J1131,[1]Estrutura!C:E,3,FALSE))</f>
        <v>4.4</v>
      </c>
      <c r="N1131" s="8"/>
      <c r="O1131" s="7">
        <f t="shared" si="68"/>
        <v>1</v>
      </c>
      <c r="P1131" s="7">
        <f t="shared" si="69"/>
        <v>10</v>
      </c>
      <c r="Q1131" s="7">
        <f t="shared" si="70"/>
        <v>2026</v>
      </c>
      <c r="R1131" s="6">
        <f t="shared" si="71"/>
        <v>-40000</v>
      </c>
      <c r="S1131" s="19">
        <v>46300</v>
      </c>
    </row>
    <row r="1132" spans="1:19">
      <c r="A1132" s="12">
        <v>46296</v>
      </c>
      <c r="B1132" s="7" t="s">
        <v>26</v>
      </c>
      <c r="C1132" s="7" t="s">
        <v>6</v>
      </c>
      <c r="D1132" s="11"/>
      <c r="E1132" s="11">
        <v>247</v>
      </c>
      <c r="F1132" s="11" t="s">
        <v>404</v>
      </c>
      <c r="G1132" s="7" t="s">
        <v>403</v>
      </c>
      <c r="H1132" s="10"/>
      <c r="I1132" s="9"/>
      <c r="J1132" s="7" t="s">
        <v>17</v>
      </c>
      <c r="K1132" s="7" t="s">
        <v>40</v>
      </c>
      <c r="L1132" s="7"/>
      <c r="M1132" s="7" t="str">
        <f>IF(C1132="Caixa","-",VLOOKUP(J1132,[1]Estrutura!C:E,3,FALSE))</f>
        <v>4.4</v>
      </c>
      <c r="N1132" s="7"/>
      <c r="O1132" s="7">
        <f t="shared" si="68"/>
        <v>1</v>
      </c>
      <c r="P1132" s="7">
        <f t="shared" si="69"/>
        <v>10</v>
      </c>
      <c r="Q1132" s="7">
        <f t="shared" si="70"/>
        <v>2026</v>
      </c>
      <c r="R1132" s="6">
        <f t="shared" si="71"/>
        <v>-247</v>
      </c>
      <c r="S1132" s="12">
        <v>46300</v>
      </c>
    </row>
    <row r="1133" spans="1:19">
      <c r="A1133" s="16">
        <v>46296</v>
      </c>
      <c r="B1133" s="8" t="s">
        <v>26</v>
      </c>
      <c r="C1133" s="8" t="s">
        <v>6</v>
      </c>
      <c r="D1133" s="15"/>
      <c r="E1133" s="15">
        <v>510.1</v>
      </c>
      <c r="F1133" s="15" t="s">
        <v>292</v>
      </c>
      <c r="G1133" s="8" t="s">
        <v>402</v>
      </c>
      <c r="H1133" s="14">
        <v>32691</v>
      </c>
      <c r="I1133" s="13"/>
      <c r="J1133" s="8" t="s">
        <v>52</v>
      </c>
      <c r="K1133" s="8" t="s">
        <v>34</v>
      </c>
      <c r="L1133" s="8"/>
      <c r="M1133" s="8" t="str">
        <f>IF(C1133="Caixa","-",VLOOKUP(J1133,[1]Estrutura!C:E,3,FALSE))</f>
        <v>4.2</v>
      </c>
      <c r="N1133" s="8"/>
      <c r="O1133" s="7">
        <f t="shared" si="68"/>
        <v>1</v>
      </c>
      <c r="P1133" s="7">
        <f t="shared" si="69"/>
        <v>10</v>
      </c>
      <c r="Q1133" s="7">
        <f t="shared" si="70"/>
        <v>2026</v>
      </c>
      <c r="R1133" s="6">
        <f t="shared" si="71"/>
        <v>-510.1</v>
      </c>
      <c r="S1133" s="16">
        <v>46300</v>
      </c>
    </row>
    <row r="1134" spans="1:19">
      <c r="A1134" s="12">
        <v>46296</v>
      </c>
      <c r="B1134" s="7" t="s">
        <v>26</v>
      </c>
      <c r="C1134" s="7" t="s">
        <v>6</v>
      </c>
      <c r="D1134" s="11"/>
      <c r="E1134" s="11">
        <v>3225.71</v>
      </c>
      <c r="F1134" s="11" t="s">
        <v>341</v>
      </c>
      <c r="G1134" s="7" t="s">
        <v>401</v>
      </c>
      <c r="H1134" s="10"/>
      <c r="I1134" s="9"/>
      <c r="J1134" s="7" t="s">
        <v>339</v>
      </c>
      <c r="K1134" s="7" t="s">
        <v>21</v>
      </c>
      <c r="L1134" s="7"/>
      <c r="M1134" s="7" t="str">
        <f>IF(C1134="Caixa","-",VLOOKUP(J1134,[1]Estrutura!C:E,3,FALSE))</f>
        <v>4.6</v>
      </c>
      <c r="N1134" s="7"/>
      <c r="O1134" s="7">
        <f t="shared" si="68"/>
        <v>1</v>
      </c>
      <c r="P1134" s="7">
        <f t="shared" si="69"/>
        <v>10</v>
      </c>
      <c r="Q1134" s="7">
        <f t="shared" si="70"/>
        <v>2026</v>
      </c>
      <c r="R1134" s="6">
        <f t="shared" si="71"/>
        <v>-3225.71</v>
      </c>
      <c r="S1134" s="12">
        <v>46300</v>
      </c>
    </row>
    <row r="1135" spans="1:19">
      <c r="A1135" s="16">
        <v>46296</v>
      </c>
      <c r="B1135" s="8" t="s">
        <v>7</v>
      </c>
      <c r="C1135" s="8" t="s">
        <v>9</v>
      </c>
      <c r="D1135" s="15"/>
      <c r="E1135" s="15">
        <v>100.06</v>
      </c>
      <c r="F1135" s="15" t="s">
        <v>198</v>
      </c>
      <c r="G1135" s="8" t="s">
        <v>290</v>
      </c>
      <c r="H1135" s="14"/>
      <c r="I1135" s="13"/>
      <c r="J1135" s="8" t="s">
        <v>196</v>
      </c>
      <c r="K1135" s="8"/>
      <c r="L1135" s="8"/>
      <c r="M1135" s="8" t="str">
        <f>IF(C1135="Caixa","-",VLOOKUP(J1135,[1]Estrutura!C:E,3,FALSE))</f>
        <v>4.3</v>
      </c>
      <c r="N1135" s="8"/>
      <c r="O1135" s="7">
        <f t="shared" si="68"/>
        <v>1</v>
      </c>
      <c r="P1135" s="7">
        <f t="shared" si="69"/>
        <v>10</v>
      </c>
      <c r="Q1135" s="7">
        <f t="shared" si="70"/>
        <v>2026</v>
      </c>
      <c r="R1135" s="6">
        <f t="shared" si="71"/>
        <v>-100.06</v>
      </c>
      <c r="S1135" s="12">
        <v>46300</v>
      </c>
    </row>
    <row r="1136" spans="1:19">
      <c r="A1136" s="12">
        <v>46297</v>
      </c>
      <c r="B1136" s="7" t="s">
        <v>122</v>
      </c>
      <c r="C1136" s="7" t="s">
        <v>6</v>
      </c>
      <c r="D1136" s="11">
        <v>30000</v>
      </c>
      <c r="E1136" s="11"/>
      <c r="F1136" s="11" t="s">
        <v>148</v>
      </c>
      <c r="G1136" s="7" t="s">
        <v>129</v>
      </c>
      <c r="H1136" s="10"/>
      <c r="I1136" s="9"/>
      <c r="J1136" s="7" t="s">
        <v>128</v>
      </c>
      <c r="K1136" s="7"/>
      <c r="L1136" s="7"/>
      <c r="M1136" s="7" t="str">
        <f>IF(C1136="Caixa","-",VLOOKUP(J1136,[1]Estrutura!C:E,3,FALSE))</f>
        <v>9.1</v>
      </c>
      <c r="N1136" s="7"/>
      <c r="O1136" s="7">
        <f t="shared" si="68"/>
        <v>2</v>
      </c>
      <c r="P1136" s="7">
        <f t="shared" si="69"/>
        <v>10</v>
      </c>
      <c r="Q1136" s="7">
        <f t="shared" si="70"/>
        <v>2026</v>
      </c>
      <c r="R1136" s="6">
        <f t="shared" si="71"/>
        <v>30000</v>
      </c>
      <c r="S1136" s="16">
        <v>46301</v>
      </c>
    </row>
    <row r="1137" spans="1:19">
      <c r="A1137" s="16">
        <v>46297</v>
      </c>
      <c r="B1137" s="8" t="s">
        <v>14</v>
      </c>
      <c r="C1137" s="7" t="s">
        <v>9</v>
      </c>
      <c r="D1137" s="15">
        <v>3450</v>
      </c>
      <c r="E1137" s="15"/>
      <c r="F1137" s="15"/>
      <c r="G1137" s="8" t="s">
        <v>11</v>
      </c>
      <c r="H1137" s="8"/>
      <c r="I1137" s="17"/>
      <c r="J1137" s="8" t="s">
        <v>10</v>
      </c>
      <c r="K1137" s="8"/>
      <c r="L1137" s="8"/>
      <c r="M1137" s="8" t="str">
        <f>IF(C1137="Caixa","-",VLOOKUP(J1137,[1]Estrutura!C:E,3,FALSE))</f>
        <v>1.1</v>
      </c>
      <c r="N1137" s="8"/>
      <c r="O1137" s="7">
        <f t="shared" si="68"/>
        <v>2</v>
      </c>
      <c r="P1137" s="7">
        <f t="shared" si="69"/>
        <v>10</v>
      </c>
      <c r="Q1137" s="7">
        <f t="shared" si="70"/>
        <v>2026</v>
      </c>
      <c r="R1137" s="6">
        <f t="shared" si="71"/>
        <v>3450</v>
      </c>
      <c r="S1137" s="12">
        <v>46301</v>
      </c>
    </row>
    <row r="1138" spans="1:19">
      <c r="A1138" s="16">
        <v>46297</v>
      </c>
      <c r="B1138" s="8" t="s">
        <v>26</v>
      </c>
      <c r="C1138" s="8" t="s">
        <v>25</v>
      </c>
      <c r="D1138" s="15"/>
      <c r="E1138" s="15">
        <v>86.8</v>
      </c>
      <c r="F1138" s="15"/>
      <c r="G1138" s="8" t="s">
        <v>200</v>
      </c>
      <c r="H1138" s="14"/>
      <c r="I1138" s="13"/>
      <c r="J1138" s="8" t="s">
        <v>4</v>
      </c>
      <c r="K1138" s="8" t="s">
        <v>21</v>
      </c>
      <c r="L1138" s="7"/>
      <c r="M1138" s="7" t="str">
        <f>IF(C1138="Caixa","-",VLOOKUP(J1138,[1]Estrutura!C:E,3,FALSE))</f>
        <v>5.2</v>
      </c>
      <c r="N1138" s="7"/>
      <c r="O1138" s="7">
        <f t="shared" si="68"/>
        <v>2</v>
      </c>
      <c r="P1138" s="7">
        <f t="shared" si="69"/>
        <v>10</v>
      </c>
      <c r="Q1138" s="7">
        <f t="shared" si="70"/>
        <v>2026</v>
      </c>
      <c r="R1138" s="6">
        <f t="shared" si="71"/>
        <v>-86.8</v>
      </c>
      <c r="S1138" s="16">
        <v>46301</v>
      </c>
    </row>
    <row r="1139" spans="1:19">
      <c r="A1139" s="16">
        <v>46297</v>
      </c>
      <c r="B1139" s="7" t="s">
        <v>7</v>
      </c>
      <c r="C1139" s="7" t="s">
        <v>9</v>
      </c>
      <c r="D1139" s="15">
        <v>1194.29</v>
      </c>
      <c r="E1139" s="15"/>
      <c r="F1139" s="15"/>
      <c r="G1139" s="8" t="s">
        <v>11</v>
      </c>
      <c r="H1139" s="8"/>
      <c r="I1139" s="17"/>
      <c r="J1139" s="8" t="s">
        <v>10</v>
      </c>
      <c r="K1139" s="8"/>
      <c r="L1139" s="8"/>
      <c r="M1139" s="8" t="str">
        <f>IF(C1139="Caixa","-",VLOOKUP(J1139,[1]Estrutura!C:E,3,FALSE))</f>
        <v>1.1</v>
      </c>
      <c r="N1139" s="8"/>
      <c r="O1139" s="7">
        <f t="shared" si="68"/>
        <v>2</v>
      </c>
      <c r="P1139" s="7">
        <f t="shared" si="69"/>
        <v>10</v>
      </c>
      <c r="Q1139" s="7">
        <f t="shared" si="70"/>
        <v>2026</v>
      </c>
      <c r="R1139" s="6">
        <f t="shared" si="71"/>
        <v>1194.29</v>
      </c>
      <c r="S1139" s="12">
        <v>46301</v>
      </c>
    </row>
    <row r="1140" spans="1:19">
      <c r="A1140" s="12">
        <v>46297</v>
      </c>
      <c r="B1140" s="7" t="s">
        <v>7</v>
      </c>
      <c r="C1140" s="7" t="s">
        <v>9</v>
      </c>
      <c r="D1140" s="11"/>
      <c r="E1140" s="11">
        <v>30000</v>
      </c>
      <c r="F1140" s="11" t="s">
        <v>130</v>
      </c>
      <c r="G1140" s="7" t="s">
        <v>129</v>
      </c>
      <c r="H1140" s="10"/>
      <c r="I1140" s="9"/>
      <c r="J1140" s="7" t="s">
        <v>128</v>
      </c>
      <c r="K1140" s="8"/>
      <c r="L1140" s="7"/>
      <c r="M1140" s="7" t="str">
        <f>IF(C1140="Caixa","-",VLOOKUP(J1140,[1]Estrutura!C:E,3,FALSE))</f>
        <v>9.1</v>
      </c>
      <c r="N1140" s="7"/>
      <c r="O1140" s="7">
        <f t="shared" si="68"/>
        <v>2</v>
      </c>
      <c r="P1140" s="7">
        <f t="shared" si="69"/>
        <v>10</v>
      </c>
      <c r="Q1140" s="7">
        <f t="shared" si="70"/>
        <v>2026</v>
      </c>
      <c r="R1140" s="6">
        <f t="shared" si="71"/>
        <v>-30000</v>
      </c>
      <c r="S1140" s="16">
        <v>46301</v>
      </c>
    </row>
    <row r="1141" spans="1:19">
      <c r="A1141" s="16">
        <v>46298</v>
      </c>
      <c r="B1141" s="8" t="s">
        <v>14</v>
      </c>
      <c r="C1141" s="7" t="s">
        <v>9</v>
      </c>
      <c r="D1141" s="15">
        <v>1593.26</v>
      </c>
      <c r="E1141" s="15"/>
      <c r="F1141" s="15"/>
      <c r="G1141" s="8" t="s">
        <v>11</v>
      </c>
      <c r="H1141" s="8"/>
      <c r="I1141" s="17"/>
      <c r="J1141" s="8" t="s">
        <v>10</v>
      </c>
      <c r="K1141" s="8"/>
      <c r="L1141" s="8"/>
      <c r="M1141" s="8" t="str">
        <f>IF(C1141="Caixa","-",VLOOKUP(J1141,[1]Estrutura!C:E,3,FALSE))</f>
        <v>1.1</v>
      </c>
      <c r="N1141" s="8"/>
      <c r="O1141" s="7">
        <f t="shared" si="68"/>
        <v>3</v>
      </c>
      <c r="P1141" s="7">
        <f t="shared" si="69"/>
        <v>10</v>
      </c>
      <c r="Q1141" s="7">
        <f t="shared" si="70"/>
        <v>2026</v>
      </c>
      <c r="R1141" s="6">
        <f t="shared" si="71"/>
        <v>1593.26</v>
      </c>
      <c r="S1141" s="16">
        <v>46301</v>
      </c>
    </row>
    <row r="1142" spans="1:19">
      <c r="A1142" s="12">
        <v>46298</v>
      </c>
      <c r="B1142" s="7" t="s">
        <v>14</v>
      </c>
      <c r="C1142" s="7" t="s">
        <v>9</v>
      </c>
      <c r="D1142" s="11"/>
      <c r="E1142" s="11">
        <v>109.9</v>
      </c>
      <c r="F1142" s="11" t="s">
        <v>400</v>
      </c>
      <c r="G1142" s="11" t="s">
        <v>399</v>
      </c>
      <c r="H1142" s="10">
        <v>16635071</v>
      </c>
      <c r="I1142" s="9"/>
      <c r="J1142" s="21" t="s">
        <v>67</v>
      </c>
      <c r="K1142" s="7"/>
      <c r="L1142" s="7"/>
      <c r="M1142" s="7" t="str">
        <f>IF(C1142="Caixa","-",VLOOKUP(J1142,[1]Estrutura!C:E,3,FALSE))</f>
        <v>4.5</v>
      </c>
      <c r="N1142" s="7"/>
      <c r="O1142" s="7">
        <f t="shared" si="68"/>
        <v>3</v>
      </c>
      <c r="P1142" s="7">
        <f t="shared" si="69"/>
        <v>10</v>
      </c>
      <c r="Q1142" s="7">
        <f t="shared" si="70"/>
        <v>2026</v>
      </c>
      <c r="R1142" s="6">
        <f t="shared" si="71"/>
        <v>-109.9</v>
      </c>
      <c r="S1142" s="12">
        <v>46301</v>
      </c>
    </row>
    <row r="1143" spans="1:19">
      <c r="A1143" s="16">
        <v>46298</v>
      </c>
      <c r="B1143" s="8" t="s">
        <v>26</v>
      </c>
      <c r="C1143" s="8" t="s">
        <v>25</v>
      </c>
      <c r="D1143" s="34">
        <v>1518</v>
      </c>
      <c r="E1143" s="15"/>
      <c r="F1143" s="15" t="s">
        <v>95</v>
      </c>
      <c r="G1143" s="15" t="s">
        <v>205</v>
      </c>
      <c r="H1143" s="8"/>
      <c r="I1143" s="14"/>
      <c r="J1143" s="8" t="s">
        <v>107</v>
      </c>
      <c r="K1143" s="8" t="s">
        <v>21</v>
      </c>
      <c r="L1143" s="8"/>
      <c r="M1143" s="8" t="str">
        <f>IF(C1143="Caixa","-",VLOOKUP(J1143,[1]Estrutura!C:E,3,FALSE))</f>
        <v>1.4</v>
      </c>
      <c r="N1143" s="8"/>
      <c r="O1143" s="7">
        <f t="shared" si="68"/>
        <v>3</v>
      </c>
      <c r="P1143" s="7">
        <f t="shared" si="69"/>
        <v>10</v>
      </c>
      <c r="Q1143" s="7">
        <f t="shared" si="70"/>
        <v>2026</v>
      </c>
      <c r="R1143" s="6">
        <f t="shared" si="71"/>
        <v>1518</v>
      </c>
      <c r="S1143" s="16">
        <v>46301</v>
      </c>
    </row>
    <row r="1144" spans="1:19">
      <c r="A1144" s="12">
        <v>46298</v>
      </c>
      <c r="B1144" s="7" t="s">
        <v>26</v>
      </c>
      <c r="C1144" s="7" t="s">
        <v>25</v>
      </c>
      <c r="D1144" s="33">
        <v>6920.56</v>
      </c>
      <c r="E1144" s="11"/>
      <c r="F1144" s="11" t="s">
        <v>95</v>
      </c>
      <c r="G1144" s="11" t="s">
        <v>204</v>
      </c>
      <c r="H1144" s="10"/>
      <c r="I1144" s="10"/>
      <c r="J1144" s="7" t="s">
        <v>107</v>
      </c>
      <c r="K1144" s="7" t="s">
        <v>21</v>
      </c>
      <c r="L1144" s="7"/>
      <c r="M1144" s="7" t="str">
        <f>IF(C1144="Caixa","-",VLOOKUP(J1144,[1]Estrutura!C:E,3,FALSE))</f>
        <v>1.4</v>
      </c>
      <c r="N1144" s="7"/>
      <c r="O1144" s="7">
        <f t="shared" si="68"/>
        <v>3</v>
      </c>
      <c r="P1144" s="7">
        <f t="shared" si="69"/>
        <v>10</v>
      </c>
      <c r="Q1144" s="7">
        <f t="shared" si="70"/>
        <v>2026</v>
      </c>
      <c r="R1144" s="6">
        <f t="shared" si="71"/>
        <v>6920.56</v>
      </c>
      <c r="S1144" s="12">
        <v>46301</v>
      </c>
    </row>
    <row r="1145" spans="1:19">
      <c r="A1145" s="16">
        <v>46298</v>
      </c>
      <c r="B1145" s="8" t="s">
        <v>26</v>
      </c>
      <c r="C1145" s="8" t="s">
        <v>6</v>
      </c>
      <c r="D1145" s="15"/>
      <c r="E1145" s="15">
        <v>2166.67</v>
      </c>
      <c r="F1145" s="15" t="s">
        <v>397</v>
      </c>
      <c r="G1145" s="8" t="s">
        <v>398</v>
      </c>
      <c r="H1145" s="14"/>
      <c r="I1145" s="13"/>
      <c r="J1145" s="8" t="s">
        <v>52</v>
      </c>
      <c r="K1145" s="8" t="s">
        <v>40</v>
      </c>
      <c r="L1145" s="8"/>
      <c r="M1145" s="8" t="str">
        <f>IF(C1145="Caixa","-",VLOOKUP(J1145,[1]Estrutura!C:E,3,FALSE))</f>
        <v>4.2</v>
      </c>
      <c r="N1145" s="8"/>
      <c r="O1145" s="7">
        <f t="shared" si="68"/>
        <v>3</v>
      </c>
      <c r="P1145" s="7">
        <f t="shared" si="69"/>
        <v>10</v>
      </c>
      <c r="Q1145" s="7">
        <f t="shared" si="70"/>
        <v>2026</v>
      </c>
      <c r="R1145" s="6">
        <f t="shared" si="71"/>
        <v>-2166.67</v>
      </c>
      <c r="S1145" s="12">
        <v>46301</v>
      </c>
    </row>
    <row r="1146" spans="1:19">
      <c r="A1146" s="12">
        <v>46298</v>
      </c>
      <c r="B1146" s="7" t="s">
        <v>26</v>
      </c>
      <c r="C1146" s="7" t="s">
        <v>6</v>
      </c>
      <c r="D1146" s="11"/>
      <c r="E1146" s="11">
        <v>1950</v>
      </c>
      <c r="F1146" s="11" t="s">
        <v>397</v>
      </c>
      <c r="G1146" s="7" t="s">
        <v>396</v>
      </c>
      <c r="H1146" s="10"/>
      <c r="I1146" s="9"/>
      <c r="J1146" s="7" t="s">
        <v>52</v>
      </c>
      <c r="K1146" s="7" t="s">
        <v>40</v>
      </c>
      <c r="L1146" s="7"/>
      <c r="M1146" s="7" t="str">
        <f>IF(C1146="Caixa","-",VLOOKUP(J1146,[1]Estrutura!C:E,3,FALSE))</f>
        <v>4.2</v>
      </c>
      <c r="N1146" s="7"/>
      <c r="O1146" s="7">
        <f t="shared" si="68"/>
        <v>3</v>
      </c>
      <c r="P1146" s="7">
        <f t="shared" si="69"/>
        <v>10</v>
      </c>
      <c r="Q1146" s="7">
        <f t="shared" si="70"/>
        <v>2026</v>
      </c>
      <c r="R1146" s="6">
        <f t="shared" si="71"/>
        <v>-1950</v>
      </c>
      <c r="S1146" s="16">
        <v>46301</v>
      </c>
    </row>
    <row r="1147" spans="1:19">
      <c r="A1147" s="16">
        <v>46298</v>
      </c>
      <c r="B1147" s="8" t="s">
        <v>26</v>
      </c>
      <c r="C1147" s="8" t="s">
        <v>6</v>
      </c>
      <c r="D1147" s="15"/>
      <c r="E1147" s="15">
        <v>4500</v>
      </c>
      <c r="F1147" s="15" t="s">
        <v>132</v>
      </c>
      <c r="G1147" s="8" t="s">
        <v>395</v>
      </c>
      <c r="H1147" s="14"/>
      <c r="I1147" s="13"/>
      <c r="J1147" s="8" t="s">
        <v>52</v>
      </c>
      <c r="K1147" s="8" t="s">
        <v>40</v>
      </c>
      <c r="L1147" s="8"/>
      <c r="M1147" s="8" t="str">
        <f>IF(C1147="Caixa","-",VLOOKUP(J1147,[1]Estrutura!C:E,3,FALSE))</f>
        <v>4.2</v>
      </c>
      <c r="N1147" s="8"/>
      <c r="O1147" s="7">
        <f t="shared" si="68"/>
        <v>3</v>
      </c>
      <c r="P1147" s="7">
        <f t="shared" si="69"/>
        <v>10</v>
      </c>
      <c r="Q1147" s="7">
        <f t="shared" si="70"/>
        <v>2026</v>
      </c>
      <c r="R1147" s="6">
        <f t="shared" si="71"/>
        <v>-4500</v>
      </c>
      <c r="S1147" s="12">
        <v>46301</v>
      </c>
    </row>
    <row r="1148" spans="1:19">
      <c r="A1148" s="16">
        <v>46298</v>
      </c>
      <c r="B1148" s="7" t="s">
        <v>7</v>
      </c>
      <c r="C1148" s="7" t="s">
        <v>9</v>
      </c>
      <c r="D1148" s="15">
        <v>1142.57</v>
      </c>
      <c r="E1148" s="15"/>
      <c r="F1148" s="15"/>
      <c r="G1148" s="8" t="s">
        <v>11</v>
      </c>
      <c r="H1148" s="8"/>
      <c r="I1148" s="17"/>
      <c r="J1148" s="8" t="s">
        <v>10</v>
      </c>
      <c r="K1148" s="8"/>
      <c r="L1148" s="7"/>
      <c r="M1148" s="7" t="str">
        <f>IF(C1148="Caixa","-",VLOOKUP(J1148,[1]Estrutura!C:E,3,FALSE))</f>
        <v>1.1</v>
      </c>
      <c r="N1148" s="7"/>
      <c r="O1148" s="7">
        <f t="shared" si="68"/>
        <v>3</v>
      </c>
      <c r="P1148" s="7">
        <f t="shared" si="69"/>
        <v>10</v>
      </c>
      <c r="Q1148" s="7">
        <f t="shared" si="70"/>
        <v>2026</v>
      </c>
      <c r="R1148" s="6">
        <f t="shared" si="71"/>
        <v>1142.57</v>
      </c>
      <c r="S1148" s="16">
        <v>46301</v>
      </c>
    </row>
    <row r="1149" spans="1:19">
      <c r="A1149" s="19">
        <v>46300</v>
      </c>
      <c r="B1149" s="8" t="s">
        <v>14</v>
      </c>
      <c r="C1149" s="7" t="s">
        <v>9</v>
      </c>
      <c r="D1149" s="32">
        <v>4953</v>
      </c>
      <c r="E1149" s="32"/>
      <c r="F1149" s="32"/>
      <c r="G1149" s="8" t="s">
        <v>11</v>
      </c>
      <c r="H1149" s="8"/>
      <c r="I1149" s="17"/>
      <c r="J1149" s="8" t="s">
        <v>10</v>
      </c>
      <c r="K1149" s="24"/>
      <c r="L1149" s="8"/>
      <c r="M1149" s="8" t="str">
        <f>IF(C1149="Caixa","-",VLOOKUP(J1149,[1]Estrutura!C:E,3,FALSE))</f>
        <v>1.1</v>
      </c>
      <c r="N1149" s="8"/>
      <c r="O1149" s="7">
        <f t="shared" si="68"/>
        <v>5</v>
      </c>
      <c r="P1149" s="7">
        <f t="shared" si="69"/>
        <v>10</v>
      </c>
      <c r="Q1149" s="7">
        <f t="shared" si="70"/>
        <v>2026</v>
      </c>
      <c r="R1149" s="6">
        <f t="shared" si="71"/>
        <v>4953</v>
      </c>
      <c r="S1149" s="12">
        <v>46301</v>
      </c>
    </row>
    <row r="1150" spans="1:19">
      <c r="A1150" s="12">
        <v>46300</v>
      </c>
      <c r="B1150" s="8" t="s">
        <v>26</v>
      </c>
      <c r="C1150" s="8" t="s">
        <v>6</v>
      </c>
      <c r="D1150" s="15">
        <v>150000</v>
      </c>
      <c r="E1150" s="15"/>
      <c r="F1150" s="11" t="s">
        <v>148</v>
      </c>
      <c r="G1150" s="8" t="s">
        <v>129</v>
      </c>
      <c r="H1150" s="14"/>
      <c r="I1150" s="13"/>
      <c r="J1150" s="8" t="s">
        <v>128</v>
      </c>
      <c r="K1150" s="8" t="s">
        <v>21</v>
      </c>
      <c r="L1150" s="7"/>
      <c r="M1150" s="7" t="str">
        <f>IF(C1150="Caixa","-",VLOOKUP(J1150,[1]Estrutura!C:E,3,FALSE))</f>
        <v>9.1</v>
      </c>
      <c r="N1150" s="7"/>
      <c r="O1150" s="7">
        <f t="shared" si="68"/>
        <v>5</v>
      </c>
      <c r="P1150" s="7">
        <f t="shared" si="69"/>
        <v>10</v>
      </c>
      <c r="Q1150" s="7">
        <f t="shared" si="70"/>
        <v>2026</v>
      </c>
      <c r="R1150" s="6">
        <f t="shared" si="71"/>
        <v>150000</v>
      </c>
      <c r="S1150" s="12">
        <v>46301</v>
      </c>
    </row>
    <row r="1151" spans="1:19">
      <c r="A1151" s="16">
        <v>46300</v>
      </c>
      <c r="B1151" s="7" t="s">
        <v>7</v>
      </c>
      <c r="C1151" s="7" t="s">
        <v>9</v>
      </c>
      <c r="D1151" s="15">
        <v>3420.9300000000003</v>
      </c>
      <c r="E1151" s="15"/>
      <c r="F1151" s="15"/>
      <c r="G1151" s="8" t="s">
        <v>11</v>
      </c>
      <c r="H1151" s="8"/>
      <c r="I1151" s="17"/>
      <c r="J1151" s="8" t="s">
        <v>10</v>
      </c>
      <c r="K1151" s="8"/>
      <c r="L1151" s="8"/>
      <c r="M1151" s="8" t="str">
        <f>IF(C1151="Caixa","-",VLOOKUP(J1151,[1]Estrutura!C:E,3,FALSE))</f>
        <v>1.1</v>
      </c>
      <c r="N1151" s="8"/>
      <c r="O1151" s="7">
        <f t="shared" si="68"/>
        <v>5</v>
      </c>
      <c r="P1151" s="7">
        <f t="shared" si="69"/>
        <v>10</v>
      </c>
      <c r="Q1151" s="7">
        <f t="shared" si="70"/>
        <v>2026</v>
      </c>
      <c r="R1151" s="6">
        <f t="shared" si="71"/>
        <v>3420.9300000000003</v>
      </c>
      <c r="S1151" s="16">
        <v>46301</v>
      </c>
    </row>
    <row r="1152" spans="1:19">
      <c r="A1152" s="12">
        <v>46300</v>
      </c>
      <c r="B1152" s="8" t="s">
        <v>7</v>
      </c>
      <c r="C1152" s="8" t="s">
        <v>9</v>
      </c>
      <c r="D1152" s="15"/>
      <c r="E1152" s="15">
        <v>150000</v>
      </c>
      <c r="F1152" s="15" t="s">
        <v>76</v>
      </c>
      <c r="G1152" s="8" t="s">
        <v>129</v>
      </c>
      <c r="H1152" s="14"/>
      <c r="I1152" s="13"/>
      <c r="J1152" s="8" t="s">
        <v>128</v>
      </c>
      <c r="K1152" s="8"/>
      <c r="L1152" s="7"/>
      <c r="M1152" s="7" t="str">
        <f>IF(C1152="Caixa","-",VLOOKUP(J1152,[1]Estrutura!C:E,3,FALSE))</f>
        <v>9.1</v>
      </c>
      <c r="N1152" s="7"/>
      <c r="O1152" s="7">
        <f t="shared" si="68"/>
        <v>5</v>
      </c>
      <c r="P1152" s="7">
        <f t="shared" si="69"/>
        <v>10</v>
      </c>
      <c r="Q1152" s="7">
        <f t="shared" si="70"/>
        <v>2026</v>
      </c>
      <c r="R1152" s="6">
        <f t="shared" si="71"/>
        <v>-150000</v>
      </c>
      <c r="S1152" s="12">
        <v>46301</v>
      </c>
    </row>
    <row r="1153" spans="1:19">
      <c r="A1153" s="12">
        <v>46300</v>
      </c>
      <c r="B1153" s="7" t="s">
        <v>7</v>
      </c>
      <c r="C1153" s="7" t="s">
        <v>9</v>
      </c>
      <c r="D1153" s="11"/>
      <c r="E1153" s="11">
        <v>946.67</v>
      </c>
      <c r="F1153" s="11" t="s">
        <v>280</v>
      </c>
      <c r="G1153" s="7" t="s">
        <v>279</v>
      </c>
      <c r="H1153" s="10"/>
      <c r="I1153" s="9"/>
      <c r="J1153" s="7" t="s">
        <v>27</v>
      </c>
      <c r="K1153" s="7"/>
      <c r="L1153" s="8"/>
      <c r="M1153" s="8" t="str">
        <f>IF(C1153="Caixa","-",VLOOKUP(J1153,[1]Estrutura!C:E,3,FALSE))</f>
        <v>7.3</v>
      </c>
      <c r="N1153" s="8"/>
      <c r="O1153" s="7">
        <f t="shared" si="68"/>
        <v>5</v>
      </c>
      <c r="P1153" s="7">
        <f t="shared" si="69"/>
        <v>10</v>
      </c>
      <c r="Q1153" s="7">
        <f t="shared" si="70"/>
        <v>2026</v>
      </c>
      <c r="R1153" s="6">
        <f t="shared" si="71"/>
        <v>-946.67</v>
      </c>
      <c r="S1153" s="16">
        <v>46301</v>
      </c>
    </row>
    <row r="1154" spans="1:19">
      <c r="A1154" s="16">
        <v>46301</v>
      </c>
      <c r="B1154" s="8" t="s">
        <v>122</v>
      </c>
      <c r="C1154" s="8" t="s">
        <v>9</v>
      </c>
      <c r="D1154" s="15"/>
      <c r="E1154" s="15">
        <v>39.68</v>
      </c>
      <c r="F1154" s="15" t="s">
        <v>228</v>
      </c>
      <c r="G1154" s="8" t="s">
        <v>394</v>
      </c>
      <c r="H1154" s="14"/>
      <c r="I1154" s="13"/>
      <c r="J1154" s="8" t="s">
        <v>144</v>
      </c>
      <c r="K1154" s="8"/>
      <c r="L1154" s="7"/>
      <c r="M1154" s="7" t="str">
        <f>IF(C1154="Caixa","-",VLOOKUP(J1154,[1]Estrutura!C:E,3,FALSE))</f>
        <v>4.2</v>
      </c>
      <c r="N1154" s="7"/>
      <c r="O1154" s="7">
        <f t="shared" si="68"/>
        <v>6</v>
      </c>
      <c r="P1154" s="7">
        <f t="shared" si="69"/>
        <v>10</v>
      </c>
      <c r="Q1154" s="7">
        <f t="shared" si="70"/>
        <v>2026</v>
      </c>
      <c r="R1154" s="6">
        <f t="shared" si="71"/>
        <v>-39.68</v>
      </c>
      <c r="S1154" s="12">
        <v>46301</v>
      </c>
    </row>
    <row r="1155" spans="1:19">
      <c r="A1155" s="12">
        <v>46301</v>
      </c>
      <c r="B1155" s="8" t="s">
        <v>122</v>
      </c>
      <c r="C1155" s="7" t="s">
        <v>9</v>
      </c>
      <c r="D1155" s="11"/>
      <c r="E1155" s="11">
        <v>17.88</v>
      </c>
      <c r="F1155" s="11" t="s">
        <v>228</v>
      </c>
      <c r="G1155" s="7" t="s">
        <v>232</v>
      </c>
      <c r="H1155" s="10"/>
      <c r="I1155" s="9"/>
      <c r="J1155" s="7" t="s">
        <v>144</v>
      </c>
      <c r="K1155" s="7"/>
      <c r="L1155" s="8"/>
      <c r="M1155" s="8" t="str">
        <f>IF(C1155="Caixa","-",VLOOKUP(J1155,[1]Estrutura!C:E,3,FALSE))</f>
        <v>4.2</v>
      </c>
      <c r="N1155" s="8"/>
      <c r="O1155" s="7">
        <f t="shared" si="68"/>
        <v>6</v>
      </c>
      <c r="P1155" s="7">
        <f t="shared" si="69"/>
        <v>10</v>
      </c>
      <c r="Q1155" s="7">
        <f t="shared" si="70"/>
        <v>2026</v>
      </c>
      <c r="R1155" s="6">
        <f t="shared" si="71"/>
        <v>-17.88</v>
      </c>
      <c r="S1155" s="16">
        <v>46301</v>
      </c>
    </row>
    <row r="1156" spans="1:19">
      <c r="A1156" s="16">
        <v>46301</v>
      </c>
      <c r="B1156" s="8" t="s">
        <v>122</v>
      </c>
      <c r="C1156" s="8" t="s">
        <v>6</v>
      </c>
      <c r="D1156" s="15"/>
      <c r="E1156" s="15">
        <v>-129.76</v>
      </c>
      <c r="F1156" s="15" t="s">
        <v>184</v>
      </c>
      <c r="G1156" s="8" t="s">
        <v>287</v>
      </c>
      <c r="H1156" s="14"/>
      <c r="I1156" s="13"/>
      <c r="J1156" s="8" t="s">
        <v>144</v>
      </c>
      <c r="K1156" s="8"/>
      <c r="L1156" s="7"/>
      <c r="M1156" s="7" t="str">
        <f>IF(C1156="Caixa","-",VLOOKUP(J1156,[1]Estrutura!C:E,3,FALSE))</f>
        <v>4.2</v>
      </c>
      <c r="N1156" s="7"/>
      <c r="O1156" s="7">
        <f t="shared" si="68"/>
        <v>6</v>
      </c>
      <c r="P1156" s="7">
        <f t="shared" si="69"/>
        <v>10</v>
      </c>
      <c r="Q1156" s="7">
        <f t="shared" si="70"/>
        <v>2026</v>
      </c>
      <c r="R1156" s="6">
        <f t="shared" si="71"/>
        <v>129.76</v>
      </c>
      <c r="S1156" s="12">
        <v>46301</v>
      </c>
    </row>
    <row r="1157" spans="1:19">
      <c r="A1157" s="12">
        <v>46301</v>
      </c>
      <c r="B1157" s="7" t="s">
        <v>122</v>
      </c>
      <c r="C1157" s="7" t="s">
        <v>6</v>
      </c>
      <c r="D1157" s="11"/>
      <c r="E1157" s="11">
        <v>528.67999999999995</v>
      </c>
      <c r="F1157" s="15" t="s">
        <v>184</v>
      </c>
      <c r="G1157" s="7" t="s">
        <v>286</v>
      </c>
      <c r="H1157" s="10"/>
      <c r="I1157" s="9"/>
      <c r="J1157" s="7" t="s">
        <v>144</v>
      </c>
      <c r="K1157" s="7"/>
      <c r="L1157" s="8"/>
      <c r="M1157" s="8" t="str">
        <f>IF(C1157="Caixa","-",VLOOKUP(J1157,[1]Estrutura!C:E,3,FALSE))</f>
        <v>4.2</v>
      </c>
      <c r="N1157" s="8"/>
      <c r="O1157" s="7">
        <f t="shared" si="68"/>
        <v>6</v>
      </c>
      <c r="P1157" s="7">
        <f t="shared" si="69"/>
        <v>10</v>
      </c>
      <c r="Q1157" s="7">
        <f t="shared" si="70"/>
        <v>2026</v>
      </c>
      <c r="R1157" s="6">
        <f t="shared" si="71"/>
        <v>-528.67999999999995</v>
      </c>
      <c r="S1157" s="16">
        <v>46301</v>
      </c>
    </row>
    <row r="1158" spans="1:19">
      <c r="A1158" s="16">
        <v>46301</v>
      </c>
      <c r="B1158" s="8" t="s">
        <v>122</v>
      </c>
      <c r="C1158" s="8" t="s">
        <v>6</v>
      </c>
      <c r="D1158" s="15"/>
      <c r="E1158" s="15">
        <v>331.61</v>
      </c>
      <c r="F1158" s="15" t="s">
        <v>184</v>
      </c>
      <c r="G1158" s="8" t="s">
        <v>188</v>
      </c>
      <c r="H1158" s="14"/>
      <c r="I1158" s="13"/>
      <c r="J1158" s="8" t="s">
        <v>144</v>
      </c>
      <c r="K1158" s="8"/>
      <c r="L1158" s="7"/>
      <c r="M1158" s="7" t="str">
        <f>IF(C1158="Caixa","-",VLOOKUP(J1158,[1]Estrutura!C:E,3,FALSE))</f>
        <v>4.2</v>
      </c>
      <c r="N1158" s="7"/>
      <c r="O1158" s="7">
        <f t="shared" si="68"/>
        <v>6</v>
      </c>
      <c r="P1158" s="7">
        <f t="shared" si="69"/>
        <v>10</v>
      </c>
      <c r="Q1158" s="7">
        <f t="shared" si="70"/>
        <v>2026</v>
      </c>
      <c r="R1158" s="6">
        <f t="shared" si="71"/>
        <v>-331.61</v>
      </c>
      <c r="S1158" s="16">
        <v>46301</v>
      </c>
    </row>
    <row r="1159" spans="1:19">
      <c r="A1159" s="16">
        <v>46301</v>
      </c>
      <c r="B1159" s="8" t="s">
        <v>122</v>
      </c>
      <c r="C1159" s="8" t="s">
        <v>9</v>
      </c>
      <c r="D1159" s="15"/>
      <c r="E1159" s="15">
        <v>3458.51</v>
      </c>
      <c r="F1159" s="15" t="s">
        <v>228</v>
      </c>
      <c r="G1159" s="8" t="s">
        <v>231</v>
      </c>
      <c r="H1159" s="14"/>
      <c r="I1159" s="13"/>
      <c r="J1159" s="8" t="s">
        <v>144</v>
      </c>
      <c r="K1159" s="8"/>
      <c r="L1159" s="8"/>
      <c r="M1159" s="8" t="str">
        <f>IF(C1159="Caixa","-",VLOOKUP(J1159,[1]Estrutura!C:E,3,FALSE))</f>
        <v>4.2</v>
      </c>
      <c r="N1159" s="8"/>
      <c r="O1159" s="7">
        <f t="shared" si="68"/>
        <v>6</v>
      </c>
      <c r="P1159" s="7">
        <f t="shared" si="69"/>
        <v>10</v>
      </c>
      <c r="Q1159" s="7">
        <f t="shared" si="70"/>
        <v>2026</v>
      </c>
      <c r="R1159" s="6">
        <f t="shared" si="71"/>
        <v>-3458.51</v>
      </c>
      <c r="S1159" s="12">
        <v>46301</v>
      </c>
    </row>
    <row r="1160" spans="1:19">
      <c r="A1160" s="12">
        <v>46301</v>
      </c>
      <c r="B1160" s="7" t="s">
        <v>122</v>
      </c>
      <c r="C1160" s="7" t="s">
        <v>6</v>
      </c>
      <c r="D1160" s="11"/>
      <c r="E1160" s="11">
        <v>5072.82</v>
      </c>
      <c r="F1160" s="15" t="s">
        <v>184</v>
      </c>
      <c r="G1160" s="7" t="s">
        <v>393</v>
      </c>
      <c r="H1160" s="10"/>
      <c r="I1160" s="9"/>
      <c r="J1160" s="7" t="s">
        <v>144</v>
      </c>
      <c r="K1160" s="7"/>
      <c r="L1160" s="7"/>
      <c r="M1160" s="7" t="str">
        <f>IF(C1160="Caixa","-",VLOOKUP(J1160,[1]Estrutura!C:E,3,FALSE))</f>
        <v>4.2</v>
      </c>
      <c r="N1160" s="7"/>
      <c r="O1160" s="7">
        <f t="shared" si="68"/>
        <v>6</v>
      </c>
      <c r="P1160" s="7">
        <f t="shared" si="69"/>
        <v>10</v>
      </c>
      <c r="Q1160" s="7">
        <f t="shared" si="70"/>
        <v>2026</v>
      </c>
      <c r="R1160" s="6">
        <f t="shared" si="71"/>
        <v>-5072.82</v>
      </c>
      <c r="S1160" s="16">
        <v>46302</v>
      </c>
    </row>
    <row r="1161" spans="1:19">
      <c r="A1161" s="16">
        <v>46301</v>
      </c>
      <c r="B1161" s="8" t="s">
        <v>122</v>
      </c>
      <c r="C1161" s="8" t="s">
        <v>6</v>
      </c>
      <c r="D1161" s="15"/>
      <c r="E1161" s="15">
        <v>212.52</v>
      </c>
      <c r="F1161" s="15" t="s">
        <v>184</v>
      </c>
      <c r="G1161" s="8" t="s">
        <v>186</v>
      </c>
      <c r="H1161" s="14"/>
      <c r="I1161" s="13"/>
      <c r="J1161" s="8" t="s">
        <v>144</v>
      </c>
      <c r="K1161" s="8"/>
      <c r="L1161" s="8"/>
      <c r="M1161" s="8" t="str">
        <f>IF(C1161="Caixa","-",VLOOKUP(J1161,[1]Estrutura!C:E,3,FALSE))</f>
        <v>4.2</v>
      </c>
      <c r="N1161" s="8"/>
      <c r="O1161" s="7">
        <f t="shared" si="68"/>
        <v>6</v>
      </c>
      <c r="P1161" s="7">
        <f t="shared" si="69"/>
        <v>10</v>
      </c>
      <c r="Q1161" s="7">
        <f t="shared" si="70"/>
        <v>2026</v>
      </c>
      <c r="R1161" s="6">
        <f t="shared" si="71"/>
        <v>-212.52</v>
      </c>
      <c r="S1161" s="16">
        <v>46303</v>
      </c>
    </row>
    <row r="1162" spans="1:19">
      <c r="A1162" s="12">
        <v>46301</v>
      </c>
      <c r="B1162" s="7" t="s">
        <v>122</v>
      </c>
      <c r="C1162" s="7" t="s">
        <v>6</v>
      </c>
      <c r="D1162" s="11"/>
      <c r="E1162" s="11">
        <v>253.64</v>
      </c>
      <c r="F1162" s="15" t="s">
        <v>184</v>
      </c>
      <c r="G1162" s="7" t="s">
        <v>185</v>
      </c>
      <c r="H1162" s="10"/>
      <c r="I1162" s="9"/>
      <c r="J1162" s="7" t="s">
        <v>144</v>
      </c>
      <c r="K1162" s="7"/>
      <c r="L1162" s="7"/>
      <c r="M1162" s="7" t="str">
        <f>IF(C1162="Caixa","-",VLOOKUP(J1162,[1]Estrutura!C:E,3,FALSE))</f>
        <v>4.2</v>
      </c>
      <c r="N1162" s="7"/>
      <c r="O1162" s="7">
        <f t="shared" si="68"/>
        <v>6</v>
      </c>
      <c r="P1162" s="7">
        <f t="shared" si="69"/>
        <v>10</v>
      </c>
      <c r="Q1162" s="7">
        <f t="shared" si="70"/>
        <v>2026</v>
      </c>
      <c r="R1162" s="6">
        <f t="shared" si="71"/>
        <v>-253.64</v>
      </c>
      <c r="S1162" s="12">
        <v>46303</v>
      </c>
    </row>
    <row r="1163" spans="1:19">
      <c r="A1163" s="12">
        <v>46301</v>
      </c>
      <c r="B1163" s="8" t="s">
        <v>122</v>
      </c>
      <c r="C1163" s="7" t="s">
        <v>9</v>
      </c>
      <c r="D1163" s="11"/>
      <c r="E1163" s="11">
        <v>172.93</v>
      </c>
      <c r="F1163" s="11" t="s">
        <v>228</v>
      </c>
      <c r="G1163" s="7" t="s">
        <v>230</v>
      </c>
      <c r="H1163" s="10"/>
      <c r="I1163" s="9"/>
      <c r="J1163" s="7" t="s">
        <v>144</v>
      </c>
      <c r="K1163" s="7"/>
      <c r="L1163" s="8"/>
      <c r="M1163" s="8" t="str">
        <f>IF(C1163="Caixa","-",VLOOKUP(J1163,[1]Estrutura!C:E,3,FALSE))</f>
        <v>4.2</v>
      </c>
      <c r="N1163" s="8"/>
      <c r="O1163" s="7">
        <f t="shared" si="68"/>
        <v>6</v>
      </c>
      <c r="P1163" s="7">
        <f t="shared" si="69"/>
        <v>10</v>
      </c>
      <c r="Q1163" s="7">
        <f t="shared" si="70"/>
        <v>2026</v>
      </c>
      <c r="R1163" s="6">
        <f t="shared" si="71"/>
        <v>-172.93</v>
      </c>
      <c r="S1163" s="16">
        <v>46303</v>
      </c>
    </row>
    <row r="1164" spans="1:19">
      <c r="A1164" s="16">
        <v>46301</v>
      </c>
      <c r="B1164" s="8" t="s">
        <v>122</v>
      </c>
      <c r="C1164" s="8" t="s">
        <v>9</v>
      </c>
      <c r="D1164" s="15"/>
      <c r="E1164" s="15">
        <v>470.14</v>
      </c>
      <c r="F1164" s="15" t="s">
        <v>228</v>
      </c>
      <c r="G1164" s="8" t="s">
        <v>229</v>
      </c>
      <c r="H1164" s="14"/>
      <c r="I1164" s="13"/>
      <c r="J1164" s="8" t="s">
        <v>144</v>
      </c>
      <c r="K1164" s="8"/>
      <c r="L1164" s="7"/>
      <c r="M1164" s="7" t="str">
        <f>IF(C1164="Caixa","-",VLOOKUP(J1164,[1]Estrutura!C:E,3,FALSE))</f>
        <v>4.2</v>
      </c>
      <c r="N1164" s="7"/>
      <c r="O1164" s="7">
        <f t="shared" si="68"/>
        <v>6</v>
      </c>
      <c r="P1164" s="7">
        <f t="shared" si="69"/>
        <v>10</v>
      </c>
      <c r="Q1164" s="7">
        <f t="shared" si="70"/>
        <v>2026</v>
      </c>
      <c r="R1164" s="6">
        <f t="shared" si="71"/>
        <v>-470.14</v>
      </c>
      <c r="S1164" s="12">
        <v>46303</v>
      </c>
    </row>
    <row r="1165" spans="1:19">
      <c r="A1165" s="12">
        <v>46301</v>
      </c>
      <c r="B1165" s="8" t="s">
        <v>122</v>
      </c>
      <c r="C1165" s="7" t="s">
        <v>9</v>
      </c>
      <c r="D1165" s="11"/>
      <c r="E1165" s="11">
        <v>375.41</v>
      </c>
      <c r="F1165" s="11" t="s">
        <v>228</v>
      </c>
      <c r="G1165" s="7" t="s">
        <v>227</v>
      </c>
      <c r="H1165" s="10"/>
      <c r="I1165" s="9"/>
      <c r="J1165" s="7" t="s">
        <v>144</v>
      </c>
      <c r="K1165" s="7"/>
      <c r="L1165" s="8"/>
      <c r="M1165" s="8" t="str">
        <f>IF(C1165="Caixa","-",VLOOKUP(J1165,[1]Estrutura!C:E,3,FALSE))</f>
        <v>4.2</v>
      </c>
      <c r="N1165" s="8"/>
      <c r="O1165" s="7">
        <f t="shared" si="68"/>
        <v>6</v>
      </c>
      <c r="P1165" s="7">
        <f t="shared" si="69"/>
        <v>10</v>
      </c>
      <c r="Q1165" s="7">
        <f t="shared" si="70"/>
        <v>2026</v>
      </c>
      <c r="R1165" s="6">
        <f t="shared" si="71"/>
        <v>-375.41</v>
      </c>
      <c r="S1165" s="16">
        <v>46303</v>
      </c>
    </row>
    <row r="1166" spans="1:19">
      <c r="A1166" s="16">
        <v>46301</v>
      </c>
      <c r="B1166" s="8" t="s">
        <v>122</v>
      </c>
      <c r="C1166" s="8" t="s">
        <v>6</v>
      </c>
      <c r="D1166" s="15"/>
      <c r="E1166" s="15">
        <v>212.52</v>
      </c>
      <c r="F1166" s="15" t="s">
        <v>184</v>
      </c>
      <c r="G1166" s="8" t="s">
        <v>183</v>
      </c>
      <c r="H1166" s="14"/>
      <c r="I1166" s="13"/>
      <c r="J1166" s="8" t="s">
        <v>144</v>
      </c>
      <c r="K1166" s="8"/>
      <c r="L1166" s="7"/>
      <c r="M1166" s="7" t="str">
        <f>IF(C1166="Caixa","-",VLOOKUP(J1166,[1]Estrutura!C:E,3,FALSE))</f>
        <v>4.2</v>
      </c>
      <c r="N1166" s="7"/>
      <c r="O1166" s="7">
        <f t="shared" ref="O1166:O1229" si="72">DAY(A1166)</f>
        <v>6</v>
      </c>
      <c r="P1166" s="7">
        <f t="shared" ref="P1166:P1229" si="73">MONTH(A1166)</f>
        <v>10</v>
      </c>
      <c r="Q1166" s="7">
        <f t="shared" ref="Q1166:Q1229" si="74">YEAR(A1166)</f>
        <v>2026</v>
      </c>
      <c r="R1166" s="6">
        <f t="shared" ref="R1166:R1229" si="75">D1166-E1166</f>
        <v>-212.52</v>
      </c>
      <c r="S1166" s="16">
        <v>46303</v>
      </c>
    </row>
    <row r="1167" spans="1:19">
      <c r="A1167" s="12">
        <v>46301</v>
      </c>
      <c r="B1167" s="7" t="s">
        <v>14</v>
      </c>
      <c r="C1167" s="7" t="s">
        <v>9</v>
      </c>
      <c r="D1167" s="11">
        <v>9751.4500000000007</v>
      </c>
      <c r="E1167" s="11"/>
      <c r="F1167" s="11" t="s">
        <v>181</v>
      </c>
      <c r="G1167" s="7" t="s">
        <v>180</v>
      </c>
      <c r="H1167" s="10"/>
      <c r="I1167" s="9"/>
      <c r="J1167" s="7" t="s">
        <v>179</v>
      </c>
      <c r="K1167" s="7"/>
      <c r="L1167" s="8"/>
      <c r="M1167" s="8" t="str">
        <f>IF(C1167="Caixa","-",VLOOKUP(J1167,[1]Estrutura!C:E,3,FALSE))</f>
        <v>1.2</v>
      </c>
      <c r="N1167" s="8"/>
      <c r="O1167" s="7">
        <f t="shared" si="72"/>
        <v>6</v>
      </c>
      <c r="P1167" s="7">
        <f t="shared" si="73"/>
        <v>10</v>
      </c>
      <c r="Q1167" s="7">
        <f t="shared" si="74"/>
        <v>2026</v>
      </c>
      <c r="R1167" s="6">
        <f t="shared" si="75"/>
        <v>9751.4500000000007</v>
      </c>
      <c r="S1167" s="12">
        <v>46303</v>
      </c>
    </row>
    <row r="1168" spans="1:19">
      <c r="A1168" s="12">
        <v>46301</v>
      </c>
      <c r="B1168" s="7" t="s">
        <v>14</v>
      </c>
      <c r="C1168" s="7" t="s">
        <v>25</v>
      </c>
      <c r="D1168" s="11"/>
      <c r="E1168" s="11">
        <v>444.95</v>
      </c>
      <c r="F1168" s="11" t="s">
        <v>125</v>
      </c>
      <c r="G1168" s="7" t="s">
        <v>284</v>
      </c>
      <c r="H1168" s="10"/>
      <c r="I1168" s="9"/>
      <c r="J1168" s="8" t="s">
        <v>99</v>
      </c>
      <c r="K1168" s="7"/>
      <c r="L1168" s="7"/>
      <c r="M1168" s="7" t="str">
        <f>IF(C1168="Caixa","-",VLOOKUP(J1168,[1]Estrutura!C:E,3,FALSE))</f>
        <v>4.3</v>
      </c>
      <c r="N1168" s="7"/>
      <c r="O1168" s="7">
        <f t="shared" si="72"/>
        <v>6</v>
      </c>
      <c r="P1168" s="7">
        <f t="shared" si="73"/>
        <v>10</v>
      </c>
      <c r="Q1168" s="7">
        <f t="shared" si="74"/>
        <v>2026</v>
      </c>
      <c r="R1168" s="6">
        <f t="shared" si="75"/>
        <v>-444.95</v>
      </c>
      <c r="S1168" s="16">
        <v>46305</v>
      </c>
    </row>
    <row r="1169" spans="1:19">
      <c r="A1169" s="16">
        <v>46301</v>
      </c>
      <c r="B1169" s="8" t="s">
        <v>14</v>
      </c>
      <c r="C1169" s="8" t="s">
        <v>9</v>
      </c>
      <c r="D1169" s="15"/>
      <c r="E1169" s="15">
        <v>208.5</v>
      </c>
      <c r="F1169" s="15" t="s">
        <v>125</v>
      </c>
      <c r="G1169" s="8" t="s">
        <v>392</v>
      </c>
      <c r="H1169" s="14"/>
      <c r="I1169" s="13"/>
      <c r="J1169" s="8" t="s">
        <v>99</v>
      </c>
      <c r="K1169" s="8"/>
      <c r="L1169" s="8"/>
      <c r="M1169" s="8" t="str">
        <f>IF(C1169="Caixa","-",VLOOKUP(J1169,[1]Estrutura!C:E,3,FALSE))</f>
        <v>4.3</v>
      </c>
      <c r="N1169" s="8"/>
      <c r="O1169" s="7">
        <f t="shared" si="72"/>
        <v>6</v>
      </c>
      <c r="P1169" s="7">
        <f t="shared" si="73"/>
        <v>10</v>
      </c>
      <c r="Q1169" s="7">
        <f t="shared" si="74"/>
        <v>2026</v>
      </c>
      <c r="R1169" s="6">
        <f t="shared" si="75"/>
        <v>-208.5</v>
      </c>
      <c r="S1169" s="12">
        <v>46305</v>
      </c>
    </row>
    <row r="1170" spans="1:19">
      <c r="A1170" s="12">
        <v>46301</v>
      </c>
      <c r="B1170" s="7" t="s">
        <v>14</v>
      </c>
      <c r="C1170" s="7" t="s">
        <v>9</v>
      </c>
      <c r="D1170" s="11"/>
      <c r="E1170" s="11">
        <v>950</v>
      </c>
      <c r="F1170" s="11" t="s">
        <v>226</v>
      </c>
      <c r="G1170" s="11" t="s">
        <v>391</v>
      </c>
      <c r="H1170" s="10">
        <v>248</v>
      </c>
      <c r="I1170" s="9"/>
      <c r="J1170" s="7" t="s">
        <v>17</v>
      </c>
      <c r="K1170" s="7"/>
      <c r="L1170" s="7"/>
      <c r="M1170" s="7" t="str">
        <f>IF(C1170="Caixa","-",VLOOKUP(J1170,[1]Estrutura!C:E,3,FALSE))</f>
        <v>4.4</v>
      </c>
      <c r="N1170" s="7"/>
      <c r="O1170" s="7">
        <f t="shared" si="72"/>
        <v>6</v>
      </c>
      <c r="P1170" s="7">
        <f t="shared" si="73"/>
        <v>10</v>
      </c>
      <c r="Q1170" s="7">
        <f t="shared" si="74"/>
        <v>2026</v>
      </c>
      <c r="R1170" s="6">
        <f t="shared" si="75"/>
        <v>-950</v>
      </c>
      <c r="S1170" s="16">
        <v>46305</v>
      </c>
    </row>
    <row r="1171" spans="1:19">
      <c r="A1171" s="16">
        <v>46301</v>
      </c>
      <c r="B1171" s="8" t="s">
        <v>14</v>
      </c>
      <c r="C1171" s="8" t="s">
        <v>9</v>
      </c>
      <c r="D1171" s="15"/>
      <c r="E1171" s="15">
        <v>379.96</v>
      </c>
      <c r="F1171" s="15" t="s">
        <v>390</v>
      </c>
      <c r="G1171" s="15" t="s">
        <v>389</v>
      </c>
      <c r="H1171" s="14"/>
      <c r="I1171" s="13"/>
      <c r="J1171" s="8" t="s">
        <v>388</v>
      </c>
      <c r="K1171" s="8"/>
      <c r="L1171" s="8"/>
      <c r="M1171" s="8" t="str">
        <f>IF(C1171="Caixa","-",VLOOKUP(J1171,[1]Estrutura!C:E,3,FALSE))</f>
        <v>4.7</v>
      </c>
      <c r="N1171" s="8"/>
      <c r="O1171" s="7">
        <f t="shared" si="72"/>
        <v>6</v>
      </c>
      <c r="P1171" s="7">
        <f t="shared" si="73"/>
        <v>10</v>
      </c>
      <c r="Q1171" s="7">
        <f t="shared" si="74"/>
        <v>2026</v>
      </c>
      <c r="R1171" s="6">
        <f t="shared" si="75"/>
        <v>-379.96</v>
      </c>
      <c r="S1171" s="12">
        <v>46305</v>
      </c>
    </row>
    <row r="1172" spans="1:19">
      <c r="A1172" s="12">
        <v>46301</v>
      </c>
      <c r="B1172" s="7" t="s">
        <v>14</v>
      </c>
      <c r="C1172" s="7" t="s">
        <v>9</v>
      </c>
      <c r="D1172" s="11"/>
      <c r="E1172" s="11">
        <v>210.5</v>
      </c>
      <c r="F1172" s="11" t="s">
        <v>282</v>
      </c>
      <c r="G1172" s="7" t="s">
        <v>387</v>
      </c>
      <c r="H1172" s="10">
        <v>16413611</v>
      </c>
      <c r="I1172" s="9"/>
      <c r="J1172" s="21" t="s">
        <v>67</v>
      </c>
      <c r="K1172" s="7"/>
      <c r="L1172" s="7"/>
      <c r="M1172" s="7" t="str">
        <f>IF(C1172="Caixa","-",VLOOKUP(J1172,[1]Estrutura!C:E,3,FALSE))</f>
        <v>4.5</v>
      </c>
      <c r="N1172" s="7"/>
      <c r="O1172" s="7">
        <f t="shared" si="72"/>
        <v>6</v>
      </c>
      <c r="P1172" s="7">
        <f t="shared" si="73"/>
        <v>10</v>
      </c>
      <c r="Q1172" s="7">
        <f t="shared" si="74"/>
        <v>2026</v>
      </c>
      <c r="R1172" s="6">
        <f t="shared" si="75"/>
        <v>-210.5</v>
      </c>
      <c r="S1172" s="16">
        <v>46305</v>
      </c>
    </row>
    <row r="1173" spans="1:19">
      <c r="A1173" s="16">
        <v>46301</v>
      </c>
      <c r="B1173" s="8" t="s">
        <v>14</v>
      </c>
      <c r="C1173" s="8" t="s">
        <v>9</v>
      </c>
      <c r="D1173" s="15"/>
      <c r="E1173" s="15">
        <v>164.7</v>
      </c>
      <c r="F1173" s="15" t="s">
        <v>82</v>
      </c>
      <c r="G1173" s="8" t="s">
        <v>277</v>
      </c>
      <c r="H1173" s="14"/>
      <c r="I1173" s="13"/>
      <c r="J1173" s="8" t="s">
        <v>80</v>
      </c>
      <c r="K1173" s="8"/>
      <c r="L1173" s="8"/>
      <c r="M1173" s="8" t="str">
        <f>IF(C1173="Caixa","-",VLOOKUP(J1173,[1]Estrutura!C:E,3,FALSE))</f>
        <v>4.5</v>
      </c>
      <c r="N1173" s="8"/>
      <c r="O1173" s="7">
        <f t="shared" si="72"/>
        <v>6</v>
      </c>
      <c r="P1173" s="7">
        <f t="shared" si="73"/>
        <v>10</v>
      </c>
      <c r="Q1173" s="7">
        <f t="shared" si="74"/>
        <v>2026</v>
      </c>
      <c r="R1173" s="6">
        <f t="shared" si="75"/>
        <v>-164.7</v>
      </c>
      <c r="S1173" s="12">
        <v>46305</v>
      </c>
    </row>
    <row r="1174" spans="1:19">
      <c r="A1174" s="12">
        <v>46301</v>
      </c>
      <c r="B1174" s="7" t="s">
        <v>26</v>
      </c>
      <c r="C1174" s="7" t="s">
        <v>6</v>
      </c>
      <c r="D1174" s="11"/>
      <c r="E1174" s="11">
        <v>157.09</v>
      </c>
      <c r="F1174" s="11" t="s">
        <v>101</v>
      </c>
      <c r="G1174" s="7" t="s">
        <v>295</v>
      </c>
      <c r="H1174" s="10"/>
      <c r="I1174" s="9"/>
      <c r="J1174" s="8" t="s">
        <v>99</v>
      </c>
      <c r="K1174" s="7" t="s">
        <v>34</v>
      </c>
      <c r="L1174" s="7"/>
      <c r="M1174" s="7" t="str">
        <f>IF(C1174="Caixa","-",VLOOKUP(J1174,[1]Estrutura!C:E,3,FALSE))</f>
        <v>4.3</v>
      </c>
      <c r="N1174" s="7"/>
      <c r="O1174" s="7">
        <f t="shared" si="72"/>
        <v>6</v>
      </c>
      <c r="P1174" s="7">
        <f t="shared" si="73"/>
        <v>10</v>
      </c>
      <c r="Q1174" s="7">
        <f t="shared" si="74"/>
        <v>2026</v>
      </c>
      <c r="R1174" s="6">
        <f t="shared" si="75"/>
        <v>-157.09</v>
      </c>
      <c r="S1174" s="16">
        <v>46305</v>
      </c>
    </row>
    <row r="1175" spans="1:19">
      <c r="A1175" s="16">
        <v>46301</v>
      </c>
      <c r="B1175" s="8" t="s">
        <v>26</v>
      </c>
      <c r="C1175" s="8" t="s">
        <v>25</v>
      </c>
      <c r="D1175" s="15"/>
      <c r="E1175" s="15">
        <v>5000</v>
      </c>
      <c r="F1175" s="15" t="s">
        <v>109</v>
      </c>
      <c r="G1175" s="8" t="s">
        <v>278</v>
      </c>
      <c r="H1175" s="14">
        <v>9938</v>
      </c>
      <c r="I1175" s="13"/>
      <c r="J1175" s="8" t="s">
        <v>17</v>
      </c>
      <c r="K1175" s="8" t="s">
        <v>21</v>
      </c>
      <c r="L1175" s="8"/>
      <c r="M1175" s="8" t="str">
        <f>IF(C1175="Caixa","-",VLOOKUP(J1175,[1]Estrutura!C:E,3,FALSE))</f>
        <v>4.4</v>
      </c>
      <c r="N1175" s="8"/>
      <c r="O1175" s="7">
        <f t="shared" si="72"/>
        <v>6</v>
      </c>
      <c r="P1175" s="7">
        <f t="shared" si="73"/>
        <v>10</v>
      </c>
      <c r="Q1175" s="7">
        <f t="shared" si="74"/>
        <v>2026</v>
      </c>
      <c r="R1175" s="6">
        <f t="shared" si="75"/>
        <v>-5000</v>
      </c>
      <c r="S1175" s="16">
        <v>46305</v>
      </c>
    </row>
    <row r="1176" spans="1:19">
      <c r="A1176" s="16">
        <v>46301</v>
      </c>
      <c r="B1176" s="7" t="s">
        <v>7</v>
      </c>
      <c r="C1176" s="7" t="s">
        <v>9</v>
      </c>
      <c r="D1176" s="15">
        <v>5732.3399999999992</v>
      </c>
      <c r="E1176" s="15"/>
      <c r="F1176" s="15"/>
      <c r="G1176" s="8" t="s">
        <v>11</v>
      </c>
      <c r="H1176" s="8"/>
      <c r="I1176" s="17"/>
      <c r="J1176" s="8" t="s">
        <v>10</v>
      </c>
      <c r="K1176" s="8"/>
      <c r="L1176" s="7"/>
      <c r="M1176" s="7" t="str">
        <f>IF(C1176="Caixa","-",VLOOKUP(J1176,[1]Estrutura!C:E,3,FALSE))</f>
        <v>1.1</v>
      </c>
      <c r="N1176" s="7"/>
      <c r="O1176" s="7">
        <f t="shared" si="72"/>
        <v>6</v>
      </c>
      <c r="P1176" s="7">
        <f t="shared" si="73"/>
        <v>10</v>
      </c>
      <c r="Q1176" s="7">
        <f t="shared" si="74"/>
        <v>2026</v>
      </c>
      <c r="R1176" s="6">
        <f t="shared" si="75"/>
        <v>5732.3399999999992</v>
      </c>
      <c r="S1176" s="12">
        <v>46305</v>
      </c>
    </row>
    <row r="1177" spans="1:19">
      <c r="A1177" s="12">
        <v>46301</v>
      </c>
      <c r="B1177" s="7" t="s">
        <v>7</v>
      </c>
      <c r="C1177" s="7" t="s">
        <v>9</v>
      </c>
      <c r="D1177" s="11"/>
      <c r="E1177" s="11">
        <v>3500</v>
      </c>
      <c r="F1177" s="11" t="s">
        <v>132</v>
      </c>
      <c r="G1177" s="7" t="s">
        <v>386</v>
      </c>
      <c r="H1177" s="10">
        <v>42</v>
      </c>
      <c r="I1177" s="9"/>
      <c r="J1177" s="7" t="s">
        <v>29</v>
      </c>
      <c r="K1177" s="7"/>
      <c r="L1177" s="8"/>
      <c r="M1177" s="8" t="str">
        <f>IF(C1177="Caixa","-",VLOOKUP(J1177,[1]Estrutura!C:E,3,FALSE))</f>
        <v>4.8</v>
      </c>
      <c r="N1177" s="8"/>
      <c r="O1177" s="7">
        <f t="shared" si="72"/>
        <v>6</v>
      </c>
      <c r="P1177" s="7">
        <f t="shared" si="73"/>
        <v>10</v>
      </c>
      <c r="Q1177" s="7">
        <f t="shared" si="74"/>
        <v>2026</v>
      </c>
      <c r="R1177" s="6">
        <f t="shared" si="75"/>
        <v>-3500</v>
      </c>
      <c r="S1177" s="16">
        <v>46305</v>
      </c>
    </row>
    <row r="1178" spans="1:19">
      <c r="A1178" s="16">
        <v>46302</v>
      </c>
      <c r="B1178" s="7" t="s">
        <v>7</v>
      </c>
      <c r="C1178" s="7" t="s">
        <v>9</v>
      </c>
      <c r="D1178" s="15">
        <v>1248.33</v>
      </c>
      <c r="E1178" s="15"/>
      <c r="F1178" s="15"/>
      <c r="G1178" s="8" t="s">
        <v>11</v>
      </c>
      <c r="H1178" s="8"/>
      <c r="I1178" s="17"/>
      <c r="J1178" s="8" t="s">
        <v>10</v>
      </c>
      <c r="K1178" s="8"/>
      <c r="L1178" s="7"/>
      <c r="M1178" s="7" t="str">
        <f>IF(C1178="Caixa","-",VLOOKUP(J1178,[1]Estrutura!C:E,3,FALSE))</f>
        <v>1.1</v>
      </c>
      <c r="N1178" s="7"/>
      <c r="O1178" s="7">
        <f t="shared" si="72"/>
        <v>7</v>
      </c>
      <c r="P1178" s="7">
        <f t="shared" si="73"/>
        <v>10</v>
      </c>
      <c r="Q1178" s="7">
        <f t="shared" si="74"/>
        <v>2026</v>
      </c>
      <c r="R1178" s="6">
        <f t="shared" si="75"/>
        <v>1248.33</v>
      </c>
      <c r="S1178" s="12">
        <v>46305</v>
      </c>
    </row>
    <row r="1179" spans="1:19">
      <c r="A1179" s="16">
        <v>46303</v>
      </c>
      <c r="B1179" s="8" t="s">
        <v>14</v>
      </c>
      <c r="C1179" s="7" t="s">
        <v>9</v>
      </c>
      <c r="D1179" s="15">
        <v>1273.52</v>
      </c>
      <c r="E1179" s="15"/>
      <c r="F1179" s="15"/>
      <c r="G1179" s="8" t="s">
        <v>11</v>
      </c>
      <c r="H1179" s="8"/>
      <c r="I1179" s="17"/>
      <c r="J1179" s="8" t="s">
        <v>10</v>
      </c>
      <c r="K1179" s="8"/>
      <c r="L1179" s="8"/>
      <c r="M1179" s="8" t="str">
        <f>IF(C1179="Caixa","-",VLOOKUP(J1179,[1]Estrutura!C:E,3,FALSE))</f>
        <v>1.1</v>
      </c>
      <c r="N1179" s="8"/>
      <c r="O1179" s="7">
        <f t="shared" si="72"/>
        <v>8</v>
      </c>
      <c r="P1179" s="7">
        <f t="shared" si="73"/>
        <v>10</v>
      </c>
      <c r="Q1179" s="7">
        <f t="shared" si="74"/>
        <v>2026</v>
      </c>
      <c r="R1179" s="6">
        <f t="shared" si="75"/>
        <v>1273.52</v>
      </c>
      <c r="S1179" s="16">
        <v>46305</v>
      </c>
    </row>
    <row r="1180" spans="1:19">
      <c r="A1180" s="12">
        <v>46303</v>
      </c>
      <c r="B1180" s="7" t="s">
        <v>14</v>
      </c>
      <c r="C1180" s="7" t="s">
        <v>9</v>
      </c>
      <c r="D1180" s="11"/>
      <c r="E1180" s="11">
        <v>700.74</v>
      </c>
      <c r="F1180" s="11" t="s">
        <v>24</v>
      </c>
      <c r="G1180" s="7" t="s">
        <v>126</v>
      </c>
      <c r="H1180" s="10"/>
      <c r="I1180" s="9"/>
      <c r="J1180" s="7" t="s">
        <v>77</v>
      </c>
      <c r="K1180" s="7"/>
      <c r="L1180" s="7"/>
      <c r="M1180" s="7" t="str">
        <f>IF(C1180="Caixa","-",VLOOKUP(J1180,[1]Estrutura!C:E,3,FALSE))</f>
        <v>4.3</v>
      </c>
      <c r="N1180" s="7"/>
      <c r="O1180" s="7">
        <f t="shared" si="72"/>
        <v>8</v>
      </c>
      <c r="P1180" s="7">
        <f t="shared" si="73"/>
        <v>10</v>
      </c>
      <c r="Q1180" s="7">
        <f t="shared" si="74"/>
        <v>2026</v>
      </c>
      <c r="R1180" s="6">
        <f t="shared" si="75"/>
        <v>-700.74</v>
      </c>
      <c r="S1180" s="12">
        <v>46305</v>
      </c>
    </row>
    <row r="1181" spans="1:19">
      <c r="A1181" s="16">
        <v>46303</v>
      </c>
      <c r="B1181" s="8" t="s">
        <v>14</v>
      </c>
      <c r="C1181" s="8" t="s">
        <v>9</v>
      </c>
      <c r="D1181" s="15"/>
      <c r="E1181" s="15">
        <v>780</v>
      </c>
      <c r="F1181" s="15" t="s">
        <v>385</v>
      </c>
      <c r="G1181" s="15" t="s">
        <v>384</v>
      </c>
      <c r="H1181" s="14">
        <v>1218</v>
      </c>
      <c r="I1181" s="13"/>
      <c r="J1181" s="8" t="s">
        <v>64</v>
      </c>
      <c r="K1181" s="8"/>
      <c r="L1181" s="8"/>
      <c r="M1181" s="8" t="str">
        <f>IF(C1181="Caixa","-",VLOOKUP(J1181,[1]Estrutura!C:E,3,FALSE))</f>
        <v>4.4</v>
      </c>
      <c r="N1181" s="8"/>
      <c r="O1181" s="7">
        <f t="shared" si="72"/>
        <v>8</v>
      </c>
      <c r="P1181" s="7">
        <f t="shared" si="73"/>
        <v>10</v>
      </c>
      <c r="Q1181" s="7">
        <f t="shared" si="74"/>
        <v>2026</v>
      </c>
      <c r="R1181" s="6">
        <f t="shared" si="75"/>
        <v>-780</v>
      </c>
      <c r="S1181" s="16">
        <v>46305</v>
      </c>
    </row>
    <row r="1182" spans="1:19">
      <c r="A1182" s="12">
        <v>46303</v>
      </c>
      <c r="B1182" s="7" t="s">
        <v>26</v>
      </c>
      <c r="C1182" s="7" t="s">
        <v>25</v>
      </c>
      <c r="D1182" s="11"/>
      <c r="E1182" s="11">
        <v>699.21</v>
      </c>
      <c r="F1182" s="11" t="s">
        <v>101</v>
      </c>
      <c r="G1182" s="7" t="s">
        <v>261</v>
      </c>
      <c r="H1182" s="10"/>
      <c r="I1182" s="9"/>
      <c r="J1182" s="8" t="s">
        <v>99</v>
      </c>
      <c r="K1182" s="7" t="s">
        <v>34</v>
      </c>
      <c r="L1182" s="7"/>
      <c r="M1182" s="7" t="str">
        <f>IF(C1182="Caixa","-",VLOOKUP(J1182,[1]Estrutura!C:E,3,FALSE))</f>
        <v>4.3</v>
      </c>
      <c r="N1182" s="7"/>
      <c r="O1182" s="7">
        <f t="shared" si="72"/>
        <v>8</v>
      </c>
      <c r="P1182" s="7">
        <f t="shared" si="73"/>
        <v>10</v>
      </c>
      <c r="Q1182" s="7">
        <f t="shared" si="74"/>
        <v>2026</v>
      </c>
      <c r="R1182" s="6">
        <f t="shared" si="75"/>
        <v>-699.21</v>
      </c>
      <c r="S1182" s="16">
        <v>46305</v>
      </c>
    </row>
    <row r="1183" spans="1:19">
      <c r="A1183" s="16">
        <v>46303</v>
      </c>
      <c r="B1183" s="8" t="s">
        <v>26</v>
      </c>
      <c r="C1183" s="8" t="s">
        <v>25</v>
      </c>
      <c r="D1183" s="15"/>
      <c r="E1183" s="15">
        <v>1063.96</v>
      </c>
      <c r="F1183" s="15" t="s">
        <v>101</v>
      </c>
      <c r="G1183" s="8" t="s">
        <v>260</v>
      </c>
      <c r="H1183" s="14"/>
      <c r="I1183" s="13"/>
      <c r="J1183" s="8" t="s">
        <v>99</v>
      </c>
      <c r="K1183" s="8" t="s">
        <v>40</v>
      </c>
      <c r="L1183" s="8"/>
      <c r="M1183" s="8" t="str">
        <f>IF(C1183="Caixa","-",VLOOKUP(J1183,[1]Estrutura!C:E,3,FALSE))</f>
        <v>4.3</v>
      </c>
      <c r="N1183" s="8"/>
      <c r="O1183" s="7">
        <f t="shared" si="72"/>
        <v>8</v>
      </c>
      <c r="P1183" s="7">
        <f t="shared" si="73"/>
        <v>10</v>
      </c>
      <c r="Q1183" s="7">
        <f t="shared" si="74"/>
        <v>2026</v>
      </c>
      <c r="R1183" s="6">
        <f t="shared" si="75"/>
        <v>-1063.96</v>
      </c>
      <c r="S1183" s="16">
        <v>46305</v>
      </c>
    </row>
    <row r="1184" spans="1:19">
      <c r="A1184" s="16">
        <v>46303</v>
      </c>
      <c r="B1184" s="7" t="s">
        <v>7</v>
      </c>
      <c r="C1184" s="7" t="s">
        <v>9</v>
      </c>
      <c r="D1184" s="15">
        <v>911.88</v>
      </c>
      <c r="E1184" s="15"/>
      <c r="F1184" s="15"/>
      <c r="G1184" s="8" t="s">
        <v>11</v>
      </c>
      <c r="H1184" s="8"/>
      <c r="I1184" s="17"/>
      <c r="J1184" s="8" t="s">
        <v>10</v>
      </c>
      <c r="K1184" s="8"/>
      <c r="L1184" s="7"/>
      <c r="M1184" s="7" t="str">
        <f>IF(C1184="Caixa","-",VLOOKUP(J1184,[1]Estrutura!C:E,3,FALSE))</f>
        <v>1.1</v>
      </c>
      <c r="N1184" s="7"/>
      <c r="O1184" s="7">
        <f t="shared" si="72"/>
        <v>8</v>
      </c>
      <c r="P1184" s="7">
        <f t="shared" si="73"/>
        <v>10</v>
      </c>
      <c r="Q1184" s="7">
        <f t="shared" si="74"/>
        <v>2026</v>
      </c>
      <c r="R1184" s="6">
        <f t="shared" si="75"/>
        <v>911.88</v>
      </c>
      <c r="S1184" s="12">
        <v>46305</v>
      </c>
    </row>
    <row r="1185" spans="1:19">
      <c r="A1185" s="12">
        <v>46303</v>
      </c>
      <c r="B1185" s="7" t="s">
        <v>3</v>
      </c>
      <c r="C1185" s="7" t="s">
        <v>2</v>
      </c>
      <c r="D1185" s="11">
        <v>7181.359999999986</v>
      </c>
      <c r="E1185" s="11"/>
      <c r="F1185" s="11"/>
      <c r="G1185" s="7" t="s">
        <v>1</v>
      </c>
      <c r="H1185" s="10"/>
      <c r="I1185" s="9"/>
      <c r="J1185" s="7" t="s">
        <v>0</v>
      </c>
      <c r="K1185" s="7"/>
      <c r="L1185" s="8"/>
      <c r="M1185" s="8" t="str">
        <f>IF(C1185="Caixa","-",VLOOKUP(J1185,[1]Estrutura!C:E,3,FALSE))</f>
        <v>5.1</v>
      </c>
      <c r="N1185" s="8"/>
      <c r="O1185" s="7">
        <f t="shared" si="72"/>
        <v>8</v>
      </c>
      <c r="P1185" s="7">
        <f t="shared" si="73"/>
        <v>10</v>
      </c>
      <c r="Q1185" s="7">
        <f t="shared" si="74"/>
        <v>2026</v>
      </c>
      <c r="R1185" s="6">
        <f t="shared" si="75"/>
        <v>7181.359999999986</v>
      </c>
      <c r="S1185" s="16">
        <v>46306</v>
      </c>
    </row>
    <row r="1186" spans="1:19">
      <c r="A1186" s="16">
        <v>46305</v>
      </c>
      <c r="B1186" s="8" t="s">
        <v>14</v>
      </c>
      <c r="C1186" s="7" t="s">
        <v>9</v>
      </c>
      <c r="D1186" s="15">
        <v>5286.0999999999995</v>
      </c>
      <c r="E1186" s="15"/>
      <c r="F1186" s="15"/>
      <c r="G1186" s="8" t="s">
        <v>11</v>
      </c>
      <c r="H1186" s="8"/>
      <c r="I1186" s="17"/>
      <c r="J1186" s="8" t="s">
        <v>10</v>
      </c>
      <c r="K1186" s="8"/>
      <c r="L1186" s="7"/>
      <c r="M1186" s="7" t="str">
        <f>IF(C1186="Caixa","-",VLOOKUP(J1186,[1]Estrutura!C:E,3,FALSE))</f>
        <v>1.1</v>
      </c>
      <c r="N1186" s="7"/>
      <c r="O1186" s="7">
        <f t="shared" si="72"/>
        <v>10</v>
      </c>
      <c r="P1186" s="7">
        <f t="shared" si="73"/>
        <v>10</v>
      </c>
      <c r="Q1186" s="7">
        <f t="shared" si="74"/>
        <v>2026</v>
      </c>
      <c r="R1186" s="6">
        <f t="shared" si="75"/>
        <v>5286.0999999999995</v>
      </c>
      <c r="S1186" s="16">
        <v>46306</v>
      </c>
    </row>
    <row r="1187" spans="1:19">
      <c r="A1187" s="12">
        <v>46305</v>
      </c>
      <c r="B1187" s="7" t="s">
        <v>14</v>
      </c>
      <c r="C1187" s="7" t="s">
        <v>9</v>
      </c>
      <c r="D1187" s="11">
        <v>200000</v>
      </c>
      <c r="E1187" s="11"/>
      <c r="F1187" s="11" t="s">
        <v>148</v>
      </c>
      <c r="G1187" s="8" t="s">
        <v>129</v>
      </c>
      <c r="H1187" s="10"/>
      <c r="I1187" s="9"/>
      <c r="J1187" s="7" t="s">
        <v>128</v>
      </c>
      <c r="K1187" s="7"/>
      <c r="L1187" s="8"/>
      <c r="M1187" s="8" t="str">
        <f>IF(C1187="Caixa","-",VLOOKUP(J1187,[1]Estrutura!C:E,3,FALSE))</f>
        <v>9.1</v>
      </c>
      <c r="N1187" s="8"/>
      <c r="O1187" s="7">
        <f t="shared" si="72"/>
        <v>10</v>
      </c>
      <c r="P1187" s="7">
        <f t="shared" si="73"/>
        <v>10</v>
      </c>
      <c r="Q1187" s="7">
        <f t="shared" si="74"/>
        <v>2026</v>
      </c>
      <c r="R1187" s="6">
        <f t="shared" si="75"/>
        <v>200000</v>
      </c>
      <c r="S1187" s="16">
        <v>46307</v>
      </c>
    </row>
    <row r="1188" spans="1:19">
      <c r="A1188" s="16">
        <v>46305</v>
      </c>
      <c r="B1188" s="8" t="s">
        <v>14</v>
      </c>
      <c r="C1188" s="8" t="s">
        <v>9</v>
      </c>
      <c r="D1188" s="15"/>
      <c r="E1188" s="15">
        <v>1060.9000000000001</v>
      </c>
      <c r="F1188" s="15" t="s">
        <v>171</v>
      </c>
      <c r="G1188" s="8" t="s">
        <v>383</v>
      </c>
      <c r="H1188" s="14"/>
      <c r="I1188" s="13"/>
      <c r="J1188" s="8" t="s">
        <v>150</v>
      </c>
      <c r="K1188" s="8"/>
      <c r="L1188" s="7"/>
      <c r="M1188" s="7" t="str">
        <f>IF(C1188="Caixa","-",VLOOKUP(J1188,[1]Estrutura!C:E,3,FALSE))</f>
        <v>4.4</v>
      </c>
      <c r="N1188" s="7"/>
      <c r="O1188" s="7">
        <f t="shared" si="72"/>
        <v>10</v>
      </c>
      <c r="P1188" s="7">
        <f t="shared" si="73"/>
        <v>10</v>
      </c>
      <c r="Q1188" s="7">
        <f t="shared" si="74"/>
        <v>2026</v>
      </c>
      <c r="R1188" s="6">
        <f t="shared" si="75"/>
        <v>-1060.9000000000001</v>
      </c>
      <c r="S1188" s="16">
        <v>46307</v>
      </c>
    </row>
    <row r="1189" spans="1:19">
      <c r="A1189" s="12">
        <v>46305</v>
      </c>
      <c r="B1189" s="7" t="s">
        <v>14</v>
      </c>
      <c r="C1189" s="7" t="s">
        <v>9</v>
      </c>
      <c r="D1189" s="11"/>
      <c r="E1189" s="11">
        <v>109.8</v>
      </c>
      <c r="F1189" s="11" t="s">
        <v>168</v>
      </c>
      <c r="G1189" s="7" t="s">
        <v>382</v>
      </c>
      <c r="H1189" s="10"/>
      <c r="I1189" s="9"/>
      <c r="J1189" s="7" t="s">
        <v>77</v>
      </c>
      <c r="K1189" s="7"/>
      <c r="L1189" s="8"/>
      <c r="M1189" s="8" t="str">
        <f>IF(C1189="Caixa","-",VLOOKUP(J1189,[1]Estrutura!C:E,3,FALSE))</f>
        <v>4.3</v>
      </c>
      <c r="N1189" s="8"/>
      <c r="O1189" s="7">
        <f t="shared" si="72"/>
        <v>10</v>
      </c>
      <c r="P1189" s="7">
        <f t="shared" si="73"/>
        <v>10</v>
      </c>
      <c r="Q1189" s="7">
        <f t="shared" si="74"/>
        <v>2026</v>
      </c>
      <c r="R1189" s="6">
        <f t="shared" si="75"/>
        <v>-109.8</v>
      </c>
      <c r="S1189" s="16">
        <v>46308</v>
      </c>
    </row>
    <row r="1190" spans="1:19">
      <c r="A1190" s="16">
        <v>46305</v>
      </c>
      <c r="B1190" s="8" t="s">
        <v>14</v>
      </c>
      <c r="C1190" s="8" t="s">
        <v>9</v>
      </c>
      <c r="D1190" s="15"/>
      <c r="E1190" s="15">
        <v>4.5</v>
      </c>
      <c r="F1190" s="15" t="s">
        <v>275</v>
      </c>
      <c r="G1190" s="8" t="s">
        <v>381</v>
      </c>
      <c r="H1190" s="14">
        <v>16413611</v>
      </c>
      <c r="I1190" s="13"/>
      <c r="J1190" s="8" t="s">
        <v>273</v>
      </c>
      <c r="K1190" s="8"/>
      <c r="L1190" s="7"/>
      <c r="M1190" s="7" t="str">
        <f>IF(C1190="Caixa","-",VLOOKUP(J1190,[1]Estrutura!C:E,3,FALSE))</f>
        <v>4.9</v>
      </c>
      <c r="N1190" s="7"/>
      <c r="O1190" s="7">
        <f t="shared" si="72"/>
        <v>10</v>
      </c>
      <c r="P1190" s="7">
        <f t="shared" si="73"/>
        <v>10</v>
      </c>
      <c r="Q1190" s="7">
        <f t="shared" si="74"/>
        <v>2026</v>
      </c>
      <c r="R1190" s="6">
        <f t="shared" si="75"/>
        <v>-4.5</v>
      </c>
      <c r="S1190" s="16">
        <v>46308</v>
      </c>
    </row>
    <row r="1191" spans="1:19">
      <c r="A1191" s="12">
        <v>46305</v>
      </c>
      <c r="B1191" s="7" t="s">
        <v>14</v>
      </c>
      <c r="C1191" s="7" t="s">
        <v>9</v>
      </c>
      <c r="D1191" s="11"/>
      <c r="E1191" s="11">
        <v>100000</v>
      </c>
      <c r="F1191" s="11" t="s">
        <v>138</v>
      </c>
      <c r="G1191" s="8" t="s">
        <v>129</v>
      </c>
      <c r="H1191" s="10"/>
      <c r="I1191" s="9"/>
      <c r="J1191" s="7" t="s">
        <v>128</v>
      </c>
      <c r="K1191" s="7"/>
      <c r="L1191" s="8"/>
      <c r="M1191" s="8" t="str">
        <f>IF(C1191="Caixa","-",VLOOKUP(J1191,[1]Estrutura!C:E,3,FALSE))</f>
        <v>9.1</v>
      </c>
      <c r="N1191" s="8"/>
      <c r="O1191" s="7">
        <f t="shared" si="72"/>
        <v>10</v>
      </c>
      <c r="P1191" s="7">
        <f t="shared" si="73"/>
        <v>10</v>
      </c>
      <c r="Q1191" s="7">
        <f t="shared" si="74"/>
        <v>2026</v>
      </c>
      <c r="R1191" s="6">
        <f t="shared" si="75"/>
        <v>-100000</v>
      </c>
      <c r="S1191" s="12">
        <v>46308</v>
      </c>
    </row>
    <row r="1192" spans="1:19">
      <c r="A1192" s="16">
        <v>46305</v>
      </c>
      <c r="B1192" s="7" t="s">
        <v>14</v>
      </c>
      <c r="C1192" s="7" t="s">
        <v>9</v>
      </c>
      <c r="D1192" s="11"/>
      <c r="E1192" s="42">
        <v>410</v>
      </c>
      <c r="F1192" s="11" t="s">
        <v>177</v>
      </c>
      <c r="G1192" s="7" t="s">
        <v>176</v>
      </c>
      <c r="H1192" s="10"/>
      <c r="I1192" s="9"/>
      <c r="J1192" s="7" t="s">
        <v>22</v>
      </c>
      <c r="K1192" s="8"/>
      <c r="L1192" s="7"/>
      <c r="M1192" s="7" t="str">
        <f>IF(C1192="Caixa","-",VLOOKUP(J1192,[1]Estrutura!C:E,3,FALSE))</f>
        <v>4.3</v>
      </c>
      <c r="N1192" s="7"/>
      <c r="O1192" s="7">
        <f t="shared" si="72"/>
        <v>10</v>
      </c>
      <c r="P1192" s="7">
        <f t="shared" si="73"/>
        <v>10</v>
      </c>
      <c r="Q1192" s="7">
        <f t="shared" si="74"/>
        <v>2026</v>
      </c>
      <c r="R1192" s="6">
        <f t="shared" si="75"/>
        <v>-410</v>
      </c>
      <c r="S1192" s="16">
        <v>46308</v>
      </c>
    </row>
    <row r="1193" spans="1:19">
      <c r="A1193" s="16">
        <v>46305</v>
      </c>
      <c r="B1193" s="8" t="s">
        <v>26</v>
      </c>
      <c r="C1193" s="8" t="s">
        <v>6</v>
      </c>
      <c r="D1193" s="15"/>
      <c r="E1193" s="15">
        <v>348.1</v>
      </c>
      <c r="F1193" s="15" t="s">
        <v>265</v>
      </c>
      <c r="G1193" s="8" t="s">
        <v>264</v>
      </c>
      <c r="H1193" s="14"/>
      <c r="I1193" s="13"/>
      <c r="J1193" s="8" t="s">
        <v>150</v>
      </c>
      <c r="K1193" s="8" t="s">
        <v>34</v>
      </c>
      <c r="L1193" s="8"/>
      <c r="M1193" s="8" t="str">
        <f>IF(C1193="Caixa","-",VLOOKUP(J1193,[1]Estrutura!C:E,3,FALSE))</f>
        <v>4.4</v>
      </c>
      <c r="N1193" s="8"/>
      <c r="O1193" s="7">
        <f t="shared" si="72"/>
        <v>10</v>
      </c>
      <c r="P1193" s="7">
        <f t="shared" si="73"/>
        <v>10</v>
      </c>
      <c r="Q1193" s="7">
        <f t="shared" si="74"/>
        <v>2026</v>
      </c>
      <c r="R1193" s="6">
        <f t="shared" si="75"/>
        <v>-348.1</v>
      </c>
      <c r="S1193" s="16">
        <v>46308</v>
      </c>
    </row>
    <row r="1194" spans="1:19">
      <c r="A1194" s="12">
        <v>46305</v>
      </c>
      <c r="B1194" s="7" t="s">
        <v>26</v>
      </c>
      <c r="C1194" s="7" t="s">
        <v>6</v>
      </c>
      <c r="D1194" s="11"/>
      <c r="E1194" s="11">
        <v>11.91</v>
      </c>
      <c r="F1194" s="11" t="s">
        <v>155</v>
      </c>
      <c r="G1194" s="7" t="s">
        <v>266</v>
      </c>
      <c r="H1194" s="10"/>
      <c r="I1194" s="9"/>
      <c r="J1194" s="7" t="s">
        <v>153</v>
      </c>
      <c r="K1194" s="7" t="s">
        <v>21</v>
      </c>
      <c r="L1194" s="7"/>
      <c r="M1194" s="7" t="str">
        <f>IF(C1194="Caixa","-",VLOOKUP(J1194,[1]Estrutura!C:E,3,FALSE))</f>
        <v>4.3</v>
      </c>
      <c r="N1194" s="7"/>
      <c r="O1194" s="7">
        <f t="shared" si="72"/>
        <v>10</v>
      </c>
      <c r="P1194" s="7">
        <f t="shared" si="73"/>
        <v>10</v>
      </c>
      <c r="Q1194" s="7">
        <f t="shared" si="74"/>
        <v>2026</v>
      </c>
      <c r="R1194" s="6">
        <f t="shared" si="75"/>
        <v>-11.91</v>
      </c>
      <c r="S1194" s="12">
        <v>46308</v>
      </c>
    </row>
    <row r="1195" spans="1:19">
      <c r="A1195" s="16">
        <v>46305</v>
      </c>
      <c r="B1195" s="8" t="s">
        <v>26</v>
      </c>
      <c r="C1195" s="8" t="s">
        <v>6</v>
      </c>
      <c r="D1195" s="15"/>
      <c r="E1195" s="15">
        <v>31670</v>
      </c>
      <c r="F1195" s="15" t="s">
        <v>165</v>
      </c>
      <c r="G1195" s="8" t="s">
        <v>164</v>
      </c>
      <c r="H1195" s="14"/>
      <c r="I1195" s="13"/>
      <c r="J1195" s="8" t="s">
        <v>17</v>
      </c>
      <c r="K1195" s="8" t="s">
        <v>21</v>
      </c>
      <c r="L1195" s="8"/>
      <c r="M1195" s="8" t="str">
        <f>IF(C1195="Caixa","-",VLOOKUP(J1195,[1]Estrutura!C:E,3,FALSE))</f>
        <v>4.4</v>
      </c>
      <c r="N1195" s="8"/>
      <c r="O1195" s="7">
        <f t="shared" si="72"/>
        <v>10</v>
      </c>
      <c r="P1195" s="7">
        <f t="shared" si="73"/>
        <v>10</v>
      </c>
      <c r="Q1195" s="7">
        <f t="shared" si="74"/>
        <v>2026</v>
      </c>
      <c r="R1195" s="6">
        <f t="shared" si="75"/>
        <v>-31670</v>
      </c>
      <c r="S1195" s="16">
        <v>46308</v>
      </c>
    </row>
    <row r="1196" spans="1:19">
      <c r="A1196" s="12">
        <v>46305</v>
      </c>
      <c r="B1196" s="7" t="s">
        <v>26</v>
      </c>
      <c r="C1196" s="7" t="s">
        <v>6</v>
      </c>
      <c r="D1196" s="11"/>
      <c r="E1196" s="11">
        <v>318.39</v>
      </c>
      <c r="F1196" s="11" t="s">
        <v>24</v>
      </c>
      <c r="G1196" s="7" t="s">
        <v>258</v>
      </c>
      <c r="H1196" s="10"/>
      <c r="I1196" s="9"/>
      <c r="J1196" s="7" t="s">
        <v>77</v>
      </c>
      <c r="K1196" s="7" t="s">
        <v>21</v>
      </c>
      <c r="L1196" s="7"/>
      <c r="M1196" s="7" t="str">
        <f>IF(C1196="Caixa","-",VLOOKUP(J1196,[1]Estrutura!C:E,3,FALSE))</f>
        <v>4.3</v>
      </c>
      <c r="N1196" s="7"/>
      <c r="O1196" s="7">
        <f t="shared" si="72"/>
        <v>10</v>
      </c>
      <c r="P1196" s="7">
        <f t="shared" si="73"/>
        <v>10</v>
      </c>
      <c r="Q1196" s="7">
        <f t="shared" si="74"/>
        <v>2026</v>
      </c>
      <c r="R1196" s="6">
        <f t="shared" si="75"/>
        <v>-318.39</v>
      </c>
      <c r="S1196" s="12">
        <v>46308</v>
      </c>
    </row>
    <row r="1197" spans="1:19">
      <c r="A1197" s="16">
        <v>46305</v>
      </c>
      <c r="B1197" s="8" t="s">
        <v>26</v>
      </c>
      <c r="C1197" s="8" t="s">
        <v>6</v>
      </c>
      <c r="D1197" s="15"/>
      <c r="E1197" s="15">
        <v>272.95</v>
      </c>
      <c r="F1197" s="15" t="s">
        <v>106</v>
      </c>
      <c r="G1197" s="8" t="s">
        <v>380</v>
      </c>
      <c r="H1197" s="14"/>
      <c r="I1197" s="13"/>
      <c r="J1197" s="8" t="s">
        <v>77</v>
      </c>
      <c r="K1197" s="8" t="s">
        <v>40</v>
      </c>
      <c r="L1197" s="8"/>
      <c r="M1197" s="8" t="str">
        <f>IF(C1197="Caixa","-",VLOOKUP(J1197,[1]Estrutura!C:E,3,FALSE))</f>
        <v>4.3</v>
      </c>
      <c r="N1197" s="8"/>
      <c r="O1197" s="7">
        <f t="shared" si="72"/>
        <v>10</v>
      </c>
      <c r="P1197" s="7">
        <f t="shared" si="73"/>
        <v>10</v>
      </c>
      <c r="Q1197" s="7">
        <f t="shared" si="74"/>
        <v>2026</v>
      </c>
      <c r="R1197" s="6">
        <f t="shared" si="75"/>
        <v>-272.95</v>
      </c>
      <c r="S1197" s="16">
        <v>46308</v>
      </c>
    </row>
    <row r="1198" spans="1:19">
      <c r="A1198" s="12">
        <v>46305</v>
      </c>
      <c r="B1198" s="7" t="s">
        <v>26</v>
      </c>
      <c r="C1198" s="7" t="s">
        <v>6</v>
      </c>
      <c r="D1198" s="11"/>
      <c r="E1198" s="11">
        <v>1020</v>
      </c>
      <c r="F1198" s="11" t="s">
        <v>132</v>
      </c>
      <c r="G1198" s="7" t="s">
        <v>379</v>
      </c>
      <c r="H1198" s="10"/>
      <c r="I1198" s="9"/>
      <c r="J1198" s="7" t="s">
        <v>52</v>
      </c>
      <c r="K1198" s="7" t="s">
        <v>34</v>
      </c>
      <c r="L1198" s="7"/>
      <c r="M1198" s="7" t="str">
        <f>IF(C1198="Caixa","-",VLOOKUP(J1198,[1]Estrutura!C:E,3,FALSE))</f>
        <v>4.2</v>
      </c>
      <c r="N1198" s="7"/>
      <c r="O1198" s="7">
        <f t="shared" si="72"/>
        <v>10</v>
      </c>
      <c r="P1198" s="7">
        <f t="shared" si="73"/>
        <v>10</v>
      </c>
      <c r="Q1198" s="7">
        <f t="shared" si="74"/>
        <v>2026</v>
      </c>
      <c r="R1198" s="6">
        <f t="shared" si="75"/>
        <v>-1020</v>
      </c>
      <c r="S1198" s="12">
        <v>46308</v>
      </c>
    </row>
    <row r="1199" spans="1:19">
      <c r="A1199" s="16">
        <v>46305</v>
      </c>
      <c r="B1199" s="8" t="s">
        <v>26</v>
      </c>
      <c r="C1199" s="8" t="s">
        <v>6</v>
      </c>
      <c r="D1199" s="15"/>
      <c r="E1199" s="15">
        <v>313.29000000000002</v>
      </c>
      <c r="F1199" s="15" t="s">
        <v>161</v>
      </c>
      <c r="G1199" s="8" t="s">
        <v>160</v>
      </c>
      <c r="H1199" s="14"/>
      <c r="I1199" s="13"/>
      <c r="J1199" s="7" t="s">
        <v>35</v>
      </c>
      <c r="K1199" s="8" t="s">
        <v>21</v>
      </c>
      <c r="L1199" s="8"/>
      <c r="M1199" s="8" t="str">
        <f>IF(C1199="Caixa","-",VLOOKUP(J1199,[1]Estrutura!C:E,3,FALSE))</f>
        <v>4.1</v>
      </c>
      <c r="N1199" s="8"/>
      <c r="O1199" s="7">
        <f t="shared" si="72"/>
        <v>10</v>
      </c>
      <c r="P1199" s="7">
        <f t="shared" si="73"/>
        <v>10</v>
      </c>
      <c r="Q1199" s="7">
        <f t="shared" si="74"/>
        <v>2026</v>
      </c>
      <c r="R1199" s="6">
        <f t="shared" si="75"/>
        <v>-313.29000000000002</v>
      </c>
      <c r="S1199" s="16">
        <v>46308</v>
      </c>
    </row>
    <row r="1200" spans="1:19">
      <c r="A1200" s="16">
        <v>46305</v>
      </c>
      <c r="B1200" s="7" t="s">
        <v>7</v>
      </c>
      <c r="C1200" s="7" t="s">
        <v>9</v>
      </c>
      <c r="D1200" s="15">
        <v>11926.24</v>
      </c>
      <c r="E1200" s="15"/>
      <c r="F1200" s="15"/>
      <c r="G1200" s="8" t="s">
        <v>11</v>
      </c>
      <c r="H1200" s="8"/>
      <c r="I1200" s="17"/>
      <c r="J1200" s="8" t="s">
        <v>10</v>
      </c>
      <c r="K1200" s="8"/>
      <c r="L1200" s="7"/>
      <c r="M1200" s="7" t="str">
        <f>IF(C1200="Caixa","-",VLOOKUP(J1200,[1]Estrutura!C:E,3,FALSE))</f>
        <v>1.1</v>
      </c>
      <c r="N1200" s="7"/>
      <c r="O1200" s="7">
        <f t="shared" si="72"/>
        <v>10</v>
      </c>
      <c r="P1200" s="7">
        <f t="shared" si="73"/>
        <v>10</v>
      </c>
      <c r="Q1200" s="7">
        <f t="shared" si="74"/>
        <v>2026</v>
      </c>
      <c r="R1200" s="6">
        <f t="shared" si="75"/>
        <v>11926.24</v>
      </c>
      <c r="S1200" s="16">
        <v>46308</v>
      </c>
    </row>
    <row r="1201" spans="1:19">
      <c r="A1201" s="16">
        <v>46305</v>
      </c>
      <c r="B1201" s="8" t="s">
        <v>7</v>
      </c>
      <c r="C1201" s="8" t="s">
        <v>9</v>
      </c>
      <c r="D1201" s="15"/>
      <c r="E1201" s="46">
        <v>24719.200000000001</v>
      </c>
      <c r="F1201" s="15" t="s">
        <v>378</v>
      </c>
      <c r="G1201" s="8" t="s">
        <v>377</v>
      </c>
      <c r="H1201" s="14"/>
      <c r="I1201" s="13"/>
      <c r="J1201" s="7" t="s">
        <v>119</v>
      </c>
      <c r="K1201" s="8"/>
      <c r="L1201" s="8"/>
      <c r="M1201" s="8" t="str">
        <f>IF(C1201="Caixa","-",VLOOKUP(J1201,[1]Estrutura!C:E,3,FALSE))</f>
        <v>4.5</v>
      </c>
      <c r="N1201" s="8"/>
      <c r="O1201" s="7">
        <f t="shared" si="72"/>
        <v>10</v>
      </c>
      <c r="P1201" s="7">
        <f t="shared" si="73"/>
        <v>10</v>
      </c>
      <c r="Q1201" s="7">
        <f t="shared" si="74"/>
        <v>2026</v>
      </c>
      <c r="R1201" s="6">
        <f t="shared" si="75"/>
        <v>-24719.200000000001</v>
      </c>
      <c r="S1201" s="12">
        <v>46308</v>
      </c>
    </row>
    <row r="1202" spans="1:19">
      <c r="A1202" s="12">
        <v>46305</v>
      </c>
      <c r="B1202" s="7" t="s">
        <v>7</v>
      </c>
      <c r="C1202" s="7" t="s">
        <v>9</v>
      </c>
      <c r="D1202" s="11"/>
      <c r="E1202" s="42">
        <v>200000</v>
      </c>
      <c r="F1202" s="11" t="s">
        <v>157</v>
      </c>
      <c r="G1202" s="7" t="s">
        <v>129</v>
      </c>
      <c r="H1202" s="10"/>
      <c r="I1202" s="9"/>
      <c r="J1202" s="7" t="s">
        <v>128</v>
      </c>
      <c r="K1202" s="7"/>
      <c r="L1202" s="7"/>
      <c r="M1202" s="7" t="str">
        <f>IF(C1202="Caixa","-",VLOOKUP(J1202,[1]Estrutura!C:E,3,FALSE))</f>
        <v>9.1</v>
      </c>
      <c r="N1202" s="7"/>
      <c r="O1202" s="7">
        <f t="shared" si="72"/>
        <v>10</v>
      </c>
      <c r="P1202" s="7">
        <f t="shared" si="73"/>
        <v>10</v>
      </c>
      <c r="Q1202" s="7">
        <f t="shared" si="74"/>
        <v>2026</v>
      </c>
      <c r="R1202" s="6">
        <f t="shared" si="75"/>
        <v>-200000</v>
      </c>
      <c r="S1202" s="16">
        <v>46308</v>
      </c>
    </row>
    <row r="1203" spans="1:19">
      <c r="A1203" s="16">
        <v>46306</v>
      </c>
      <c r="B1203" s="8" t="s">
        <v>14</v>
      </c>
      <c r="C1203" s="7" t="s">
        <v>9</v>
      </c>
      <c r="D1203" s="15">
        <v>4430.58</v>
      </c>
      <c r="E1203" s="15"/>
      <c r="F1203" s="15"/>
      <c r="G1203" s="8" t="s">
        <v>11</v>
      </c>
      <c r="H1203" s="8"/>
      <c r="I1203" s="17"/>
      <c r="J1203" s="8" t="s">
        <v>10</v>
      </c>
      <c r="K1203" s="8"/>
      <c r="L1203" s="8"/>
      <c r="M1203" s="8" t="str">
        <f>IF(C1203="Caixa","-",VLOOKUP(J1203,[1]Estrutura!C:E,3,FALSE))</f>
        <v>1.1</v>
      </c>
      <c r="N1203" s="8"/>
      <c r="O1203" s="7">
        <f t="shared" si="72"/>
        <v>11</v>
      </c>
      <c r="P1203" s="7">
        <f t="shared" si="73"/>
        <v>10</v>
      </c>
      <c r="Q1203" s="7">
        <f t="shared" si="74"/>
        <v>2026</v>
      </c>
      <c r="R1203" s="6">
        <f t="shared" si="75"/>
        <v>4430.58</v>
      </c>
      <c r="S1203" s="12">
        <v>46308</v>
      </c>
    </row>
    <row r="1204" spans="1:19">
      <c r="A1204" s="16">
        <v>46306</v>
      </c>
      <c r="B1204" s="7" t="s">
        <v>7</v>
      </c>
      <c r="C1204" s="7" t="s">
        <v>9</v>
      </c>
      <c r="D1204" s="15">
        <v>3860.34</v>
      </c>
      <c r="E1204" s="15"/>
      <c r="F1204" s="15"/>
      <c r="G1204" s="8" t="s">
        <v>11</v>
      </c>
      <c r="H1204" s="8"/>
      <c r="I1204" s="17"/>
      <c r="J1204" s="8" t="s">
        <v>10</v>
      </c>
      <c r="K1204" s="8"/>
      <c r="L1204" s="7"/>
      <c r="M1204" s="7" t="str">
        <f>IF(C1204="Caixa","-",VLOOKUP(J1204,[1]Estrutura!C:E,3,FALSE))</f>
        <v>1.1</v>
      </c>
      <c r="N1204" s="7"/>
      <c r="O1204" s="7">
        <f t="shared" si="72"/>
        <v>11</v>
      </c>
      <c r="P1204" s="7">
        <f t="shared" si="73"/>
        <v>10</v>
      </c>
      <c r="Q1204" s="7">
        <f t="shared" si="74"/>
        <v>2026</v>
      </c>
      <c r="R1204" s="6">
        <f t="shared" si="75"/>
        <v>3860.34</v>
      </c>
      <c r="S1204" s="12">
        <v>46308</v>
      </c>
    </row>
    <row r="1205" spans="1:19">
      <c r="A1205" s="16">
        <v>46307</v>
      </c>
      <c r="B1205" s="8" t="s">
        <v>14</v>
      </c>
      <c r="C1205" s="7" t="s">
        <v>9</v>
      </c>
      <c r="D1205" s="15">
        <v>1242.69</v>
      </c>
      <c r="E1205" s="15"/>
      <c r="F1205" s="15"/>
      <c r="G1205" s="8" t="s">
        <v>11</v>
      </c>
      <c r="H1205" s="8"/>
      <c r="I1205" s="17"/>
      <c r="J1205" s="8" t="s">
        <v>10</v>
      </c>
      <c r="K1205" s="8"/>
      <c r="L1205" s="8"/>
      <c r="M1205" s="8" t="str">
        <f>IF(C1205="Caixa","-",VLOOKUP(J1205,[1]Estrutura!C:E,3,FALSE))</f>
        <v>1.1</v>
      </c>
      <c r="N1205" s="8"/>
      <c r="O1205" s="7">
        <f t="shared" si="72"/>
        <v>12</v>
      </c>
      <c r="P1205" s="7">
        <f t="shared" si="73"/>
        <v>10</v>
      </c>
      <c r="Q1205" s="7">
        <f t="shared" si="74"/>
        <v>2026</v>
      </c>
      <c r="R1205" s="6">
        <f t="shared" si="75"/>
        <v>1242.69</v>
      </c>
      <c r="S1205" s="12">
        <v>46309</v>
      </c>
    </row>
    <row r="1206" spans="1:19">
      <c r="A1206" s="16">
        <v>46307</v>
      </c>
      <c r="B1206" s="7" t="s">
        <v>7</v>
      </c>
      <c r="C1206" s="7" t="s">
        <v>9</v>
      </c>
      <c r="D1206" s="15">
        <v>6298.73</v>
      </c>
      <c r="E1206" s="15"/>
      <c r="F1206" s="15"/>
      <c r="G1206" s="8" t="s">
        <v>11</v>
      </c>
      <c r="H1206" s="8"/>
      <c r="I1206" s="17"/>
      <c r="J1206" s="8" t="s">
        <v>10</v>
      </c>
      <c r="K1206" s="8"/>
      <c r="L1206" s="7"/>
      <c r="M1206" s="7" t="str">
        <f>IF(C1206="Caixa","-",VLOOKUP(J1206,[1]Estrutura!C:E,3,FALSE))</f>
        <v>1.1</v>
      </c>
      <c r="N1206" s="7"/>
      <c r="O1206" s="7">
        <f t="shared" si="72"/>
        <v>12</v>
      </c>
      <c r="P1206" s="7">
        <f t="shared" si="73"/>
        <v>10</v>
      </c>
      <c r="Q1206" s="7">
        <f t="shared" si="74"/>
        <v>2026</v>
      </c>
      <c r="R1206" s="6">
        <f t="shared" si="75"/>
        <v>6298.73</v>
      </c>
      <c r="S1206" s="16">
        <v>46309</v>
      </c>
    </row>
    <row r="1207" spans="1:19">
      <c r="A1207" s="16">
        <v>46308</v>
      </c>
      <c r="B1207" s="8" t="s">
        <v>14</v>
      </c>
      <c r="C1207" s="7" t="s">
        <v>9</v>
      </c>
      <c r="D1207" s="15">
        <v>1469.47</v>
      </c>
      <c r="E1207" s="15"/>
      <c r="F1207" s="15"/>
      <c r="G1207" s="8" t="s">
        <v>11</v>
      </c>
      <c r="H1207" s="8"/>
      <c r="I1207" s="17"/>
      <c r="J1207" s="8" t="s">
        <v>10</v>
      </c>
      <c r="K1207" s="8"/>
      <c r="L1207" s="8"/>
      <c r="M1207" s="8" t="str">
        <f>IF(C1207="Caixa","-",VLOOKUP(J1207,[1]Estrutura!C:E,3,FALSE))</f>
        <v>1.1</v>
      </c>
      <c r="N1207" s="8"/>
      <c r="O1207" s="7">
        <f t="shared" si="72"/>
        <v>13</v>
      </c>
      <c r="P1207" s="7">
        <f t="shared" si="73"/>
        <v>10</v>
      </c>
      <c r="Q1207" s="7">
        <f t="shared" si="74"/>
        <v>2026</v>
      </c>
      <c r="R1207" s="6">
        <f t="shared" si="75"/>
        <v>1469.47</v>
      </c>
      <c r="S1207" s="16">
        <v>46310</v>
      </c>
    </row>
    <row r="1208" spans="1:19">
      <c r="A1208" s="16">
        <v>46308</v>
      </c>
      <c r="B1208" s="8" t="s">
        <v>14</v>
      </c>
      <c r="C1208" s="8" t="s">
        <v>9</v>
      </c>
      <c r="D1208" s="15"/>
      <c r="E1208" s="15">
        <v>2874</v>
      </c>
      <c r="F1208" s="15" t="s">
        <v>146</v>
      </c>
      <c r="G1208" s="15" t="s">
        <v>376</v>
      </c>
      <c r="H1208" s="14"/>
      <c r="I1208" s="13"/>
      <c r="J1208" s="8" t="s">
        <v>144</v>
      </c>
      <c r="K1208" s="8"/>
      <c r="L1208" s="7"/>
      <c r="M1208" s="7" t="str">
        <f>IF(C1208="Caixa","-",VLOOKUP(J1208,[1]Estrutura!C:E,3,FALSE))</f>
        <v>4.2</v>
      </c>
      <c r="N1208" s="7"/>
      <c r="O1208" s="7">
        <f t="shared" si="72"/>
        <v>13</v>
      </c>
      <c r="P1208" s="7">
        <f t="shared" si="73"/>
        <v>10</v>
      </c>
      <c r="Q1208" s="7">
        <f t="shared" si="74"/>
        <v>2026</v>
      </c>
      <c r="R1208" s="6">
        <f t="shared" si="75"/>
        <v>-2874</v>
      </c>
      <c r="S1208" s="12">
        <v>46310</v>
      </c>
    </row>
    <row r="1209" spans="1:19">
      <c r="A1209" s="20">
        <v>46308</v>
      </c>
      <c r="B1209" s="7" t="s">
        <v>14</v>
      </c>
      <c r="C1209" s="7" t="s">
        <v>9</v>
      </c>
      <c r="D1209" s="11"/>
      <c r="E1209" s="11">
        <v>2874</v>
      </c>
      <c r="F1209" s="15" t="s">
        <v>146</v>
      </c>
      <c r="G1209" s="11" t="s">
        <v>375</v>
      </c>
      <c r="H1209" s="10"/>
      <c r="I1209" s="9"/>
      <c r="J1209" s="7" t="s">
        <v>144</v>
      </c>
      <c r="K1209" s="7"/>
      <c r="L1209" s="8"/>
      <c r="M1209" s="8" t="str">
        <f>IF(C1209="Caixa","-",VLOOKUP(J1209,[1]Estrutura!C:E,3,FALSE))</f>
        <v>4.2</v>
      </c>
      <c r="N1209" s="8"/>
      <c r="O1209" s="7">
        <f t="shared" si="72"/>
        <v>13</v>
      </c>
      <c r="P1209" s="7">
        <f t="shared" si="73"/>
        <v>10</v>
      </c>
      <c r="Q1209" s="7">
        <f t="shared" si="74"/>
        <v>2026</v>
      </c>
      <c r="R1209" s="6">
        <f t="shared" si="75"/>
        <v>-2874</v>
      </c>
      <c r="S1209" s="12">
        <v>46310</v>
      </c>
    </row>
    <row r="1210" spans="1:19">
      <c r="A1210" s="16">
        <v>46308</v>
      </c>
      <c r="B1210" s="8" t="s">
        <v>14</v>
      </c>
      <c r="C1210" s="8" t="s">
        <v>9</v>
      </c>
      <c r="D1210" s="15"/>
      <c r="E1210" s="15">
        <v>2832.92</v>
      </c>
      <c r="F1210" s="15" t="s">
        <v>104</v>
      </c>
      <c r="G1210" s="15" t="s">
        <v>374</v>
      </c>
      <c r="H1210" s="14">
        <v>36939</v>
      </c>
      <c r="I1210" s="13"/>
      <c r="J1210" s="8" t="s">
        <v>102</v>
      </c>
      <c r="K1210" s="8"/>
      <c r="L1210" s="7"/>
      <c r="M1210" s="7" t="str">
        <f>IF(C1210="Caixa","-",VLOOKUP(J1210,[1]Estrutura!C:E,3,FALSE))</f>
        <v>4.5</v>
      </c>
      <c r="N1210" s="7"/>
      <c r="O1210" s="7">
        <f t="shared" si="72"/>
        <v>13</v>
      </c>
      <c r="P1210" s="7">
        <f t="shared" si="73"/>
        <v>10</v>
      </c>
      <c r="Q1210" s="7">
        <f t="shared" si="74"/>
        <v>2026</v>
      </c>
      <c r="R1210" s="6">
        <f t="shared" si="75"/>
        <v>-2832.92</v>
      </c>
      <c r="S1210" s="12">
        <v>46310</v>
      </c>
    </row>
    <row r="1211" spans="1:19">
      <c r="A1211" s="16">
        <v>46308</v>
      </c>
      <c r="B1211" s="8" t="s">
        <v>14</v>
      </c>
      <c r="C1211" s="8" t="s">
        <v>9</v>
      </c>
      <c r="D1211" s="15"/>
      <c r="E1211" s="11">
        <v>1134.42</v>
      </c>
      <c r="F1211" s="15" t="s">
        <v>159</v>
      </c>
      <c r="G1211" s="8" t="s">
        <v>158</v>
      </c>
      <c r="H1211" s="14"/>
      <c r="I1211" s="13"/>
      <c r="J1211" s="8" t="s">
        <v>29</v>
      </c>
      <c r="K1211" s="8"/>
      <c r="L1211" s="8"/>
      <c r="M1211" s="8" t="str">
        <f>IF(C1211="Caixa","-",VLOOKUP(J1211,[1]Estrutura!C:E,3,FALSE))</f>
        <v>4.8</v>
      </c>
      <c r="N1211" s="8"/>
      <c r="O1211" s="7">
        <f t="shared" si="72"/>
        <v>13</v>
      </c>
      <c r="P1211" s="7">
        <f t="shared" si="73"/>
        <v>10</v>
      </c>
      <c r="Q1211" s="7">
        <f t="shared" si="74"/>
        <v>2026</v>
      </c>
      <c r="R1211" s="6">
        <f t="shared" si="75"/>
        <v>-1134.42</v>
      </c>
      <c r="S1211" s="16">
        <v>46310</v>
      </c>
    </row>
    <row r="1212" spans="1:19">
      <c r="A1212" s="12">
        <v>46308</v>
      </c>
      <c r="B1212" s="7" t="s">
        <v>14</v>
      </c>
      <c r="C1212" s="7" t="s">
        <v>9</v>
      </c>
      <c r="D1212" s="11"/>
      <c r="E1212" s="11">
        <v>1265.19</v>
      </c>
      <c r="F1212" s="11" t="s">
        <v>271</v>
      </c>
      <c r="G1212" s="11" t="s">
        <v>373</v>
      </c>
      <c r="H1212" s="10"/>
      <c r="I1212" s="9"/>
      <c r="J1212" s="7" t="s">
        <v>269</v>
      </c>
      <c r="K1212" s="7"/>
      <c r="L1212" s="7"/>
      <c r="M1212" s="7" t="str">
        <f>IF(C1212="Caixa","-",VLOOKUP(J1212,[1]Estrutura!C:E,3,FALSE))</f>
        <v>4.7</v>
      </c>
      <c r="N1212" s="7"/>
      <c r="O1212" s="7">
        <f t="shared" si="72"/>
        <v>13</v>
      </c>
      <c r="P1212" s="7">
        <f t="shared" si="73"/>
        <v>10</v>
      </c>
      <c r="Q1212" s="7">
        <f t="shared" si="74"/>
        <v>2026</v>
      </c>
      <c r="R1212" s="6">
        <f t="shared" si="75"/>
        <v>-1265.19</v>
      </c>
      <c r="S1212" s="16">
        <v>46311</v>
      </c>
    </row>
    <row r="1213" spans="1:19">
      <c r="A1213" s="16">
        <v>46308</v>
      </c>
      <c r="B1213" s="8" t="s">
        <v>14</v>
      </c>
      <c r="C1213" s="8" t="s">
        <v>9</v>
      </c>
      <c r="D1213" s="15"/>
      <c r="E1213" s="15">
        <v>410</v>
      </c>
      <c r="F1213" s="15" t="s">
        <v>268</v>
      </c>
      <c r="G1213" s="15" t="s">
        <v>372</v>
      </c>
      <c r="H1213" s="14">
        <v>13767</v>
      </c>
      <c r="I1213" s="13"/>
      <c r="J1213" s="8" t="s">
        <v>22</v>
      </c>
      <c r="K1213" s="8"/>
      <c r="L1213" s="8"/>
      <c r="M1213" s="8" t="str">
        <f>IF(C1213="Caixa","-",VLOOKUP(J1213,[1]Estrutura!C:E,3,FALSE))</f>
        <v>4.3</v>
      </c>
      <c r="N1213" s="8"/>
      <c r="O1213" s="7">
        <f t="shared" si="72"/>
        <v>13</v>
      </c>
      <c r="P1213" s="7">
        <f t="shared" si="73"/>
        <v>10</v>
      </c>
      <c r="Q1213" s="7">
        <f t="shared" si="74"/>
        <v>2026</v>
      </c>
      <c r="R1213" s="6">
        <f t="shared" si="75"/>
        <v>-410</v>
      </c>
      <c r="S1213" s="16">
        <v>46311</v>
      </c>
    </row>
    <row r="1214" spans="1:19">
      <c r="A1214" s="12">
        <v>46308</v>
      </c>
      <c r="B1214" s="7" t="s">
        <v>14</v>
      </c>
      <c r="C1214" s="7" t="s">
        <v>9</v>
      </c>
      <c r="D1214" s="11"/>
      <c r="E1214" s="11">
        <v>129.99</v>
      </c>
      <c r="F1214" s="11" t="s">
        <v>24</v>
      </c>
      <c r="G1214" s="11" t="s">
        <v>371</v>
      </c>
      <c r="H1214" s="10"/>
      <c r="I1214" s="9"/>
      <c r="J1214" s="7" t="s">
        <v>22</v>
      </c>
      <c r="K1214" s="7"/>
      <c r="L1214" s="7"/>
      <c r="M1214" s="7" t="str">
        <f>IF(C1214="Caixa","-",VLOOKUP(J1214,[1]Estrutura!C:E,3,FALSE))</f>
        <v>4.3</v>
      </c>
      <c r="N1214" s="7"/>
      <c r="O1214" s="7">
        <f t="shared" si="72"/>
        <v>13</v>
      </c>
      <c r="P1214" s="7">
        <f t="shared" si="73"/>
        <v>10</v>
      </c>
      <c r="Q1214" s="7">
        <f t="shared" si="74"/>
        <v>2026</v>
      </c>
      <c r="R1214" s="6">
        <f t="shared" si="75"/>
        <v>-129.99</v>
      </c>
      <c r="S1214" s="16">
        <v>46312</v>
      </c>
    </row>
    <row r="1215" spans="1:19">
      <c r="A1215" s="16">
        <v>46308</v>
      </c>
      <c r="B1215" s="8" t="s">
        <v>26</v>
      </c>
      <c r="C1215" s="8" t="s">
        <v>6</v>
      </c>
      <c r="D1215" s="15"/>
      <c r="E1215" s="15">
        <v>1053.45</v>
      </c>
      <c r="F1215" s="15" t="s">
        <v>104</v>
      </c>
      <c r="G1215" s="8" t="s">
        <v>370</v>
      </c>
      <c r="H1215" s="14">
        <v>36946</v>
      </c>
      <c r="I1215" s="13"/>
      <c r="J1215" s="8" t="s">
        <v>102</v>
      </c>
      <c r="K1215" s="8" t="s">
        <v>21</v>
      </c>
      <c r="L1215" s="8"/>
      <c r="M1215" s="8" t="str">
        <f>IF(C1215="Caixa","-",VLOOKUP(J1215,[1]Estrutura!C:E,3,FALSE))</f>
        <v>4.5</v>
      </c>
      <c r="N1215" s="8"/>
      <c r="O1215" s="7">
        <f t="shared" si="72"/>
        <v>13</v>
      </c>
      <c r="P1215" s="7">
        <f t="shared" si="73"/>
        <v>10</v>
      </c>
      <c r="Q1215" s="7">
        <f t="shared" si="74"/>
        <v>2026</v>
      </c>
      <c r="R1215" s="6">
        <f t="shared" si="75"/>
        <v>-1053.45</v>
      </c>
      <c r="S1215" s="16">
        <v>46312</v>
      </c>
    </row>
    <row r="1216" spans="1:19">
      <c r="A1216" s="12">
        <v>46308</v>
      </c>
      <c r="B1216" s="7" t="s">
        <v>26</v>
      </c>
      <c r="C1216" s="7" t="s">
        <v>6</v>
      </c>
      <c r="D1216" s="11"/>
      <c r="E1216" s="11">
        <v>1612.18</v>
      </c>
      <c r="F1216" s="11" t="s">
        <v>368</v>
      </c>
      <c r="G1216" s="7" t="s">
        <v>369</v>
      </c>
      <c r="H1216" s="10">
        <v>4862</v>
      </c>
      <c r="I1216" s="9"/>
      <c r="J1216" s="7" t="s">
        <v>17</v>
      </c>
      <c r="K1216" s="7" t="s">
        <v>21</v>
      </c>
      <c r="L1216" s="7"/>
      <c r="M1216" s="7" t="str">
        <f>IF(C1216="Caixa","-",VLOOKUP(J1216,[1]Estrutura!C:E,3,FALSE))</f>
        <v>4.4</v>
      </c>
      <c r="N1216" s="7"/>
      <c r="O1216" s="7">
        <f t="shared" si="72"/>
        <v>13</v>
      </c>
      <c r="P1216" s="7">
        <f t="shared" si="73"/>
        <v>10</v>
      </c>
      <c r="Q1216" s="7">
        <f t="shared" si="74"/>
        <v>2026</v>
      </c>
      <c r="R1216" s="6">
        <f t="shared" si="75"/>
        <v>-1612.18</v>
      </c>
      <c r="S1216" s="12">
        <v>46312</v>
      </c>
    </row>
    <row r="1217" spans="1:19">
      <c r="A1217" s="16">
        <v>46308</v>
      </c>
      <c r="B1217" s="8" t="s">
        <v>26</v>
      </c>
      <c r="C1217" s="8" t="s">
        <v>6</v>
      </c>
      <c r="D1217" s="15"/>
      <c r="E1217" s="46">
        <v>575.63</v>
      </c>
      <c r="F1217" s="15" t="s">
        <v>368</v>
      </c>
      <c r="G1217" s="8" t="s">
        <v>367</v>
      </c>
      <c r="H1217" s="14">
        <v>4877</v>
      </c>
      <c r="I1217" s="13"/>
      <c r="J1217" s="8" t="s">
        <v>17</v>
      </c>
      <c r="K1217" s="8" t="s">
        <v>21</v>
      </c>
      <c r="L1217" s="8"/>
      <c r="M1217" s="8" t="str">
        <f>IF(C1217="Caixa","-",VLOOKUP(J1217,[1]Estrutura!C:E,3,FALSE))</f>
        <v>4.4</v>
      </c>
      <c r="N1217" s="8"/>
      <c r="O1217" s="7">
        <f t="shared" si="72"/>
        <v>13</v>
      </c>
      <c r="P1217" s="7">
        <f t="shared" si="73"/>
        <v>10</v>
      </c>
      <c r="Q1217" s="7">
        <f t="shared" si="74"/>
        <v>2026</v>
      </c>
      <c r="R1217" s="6">
        <f t="shared" si="75"/>
        <v>-575.63</v>
      </c>
      <c r="S1217" s="12">
        <v>46312</v>
      </c>
    </row>
    <row r="1218" spans="1:19">
      <c r="A1218" s="16">
        <v>46308</v>
      </c>
      <c r="B1218" s="7" t="s">
        <v>7</v>
      </c>
      <c r="C1218" s="7" t="s">
        <v>9</v>
      </c>
      <c r="D1218" s="15">
        <v>11455.24</v>
      </c>
      <c r="E1218" s="15"/>
      <c r="F1218" s="15"/>
      <c r="G1218" s="8" t="s">
        <v>11</v>
      </c>
      <c r="H1218" s="8"/>
      <c r="I1218" s="17"/>
      <c r="J1218" s="8" t="s">
        <v>10</v>
      </c>
      <c r="K1218" s="8"/>
      <c r="L1218" s="7"/>
      <c r="M1218" s="7" t="str">
        <f>IF(C1218="Caixa","-",VLOOKUP(J1218,[1]Estrutura!C:E,3,FALSE))</f>
        <v>1.1</v>
      </c>
      <c r="N1218" s="7"/>
      <c r="O1218" s="7">
        <f t="shared" si="72"/>
        <v>13</v>
      </c>
      <c r="P1218" s="7">
        <f t="shared" si="73"/>
        <v>10</v>
      </c>
      <c r="Q1218" s="7">
        <f t="shared" si="74"/>
        <v>2026</v>
      </c>
      <c r="R1218" s="6">
        <f t="shared" si="75"/>
        <v>11455.24</v>
      </c>
      <c r="S1218" s="16">
        <v>46312</v>
      </c>
    </row>
    <row r="1219" spans="1:19">
      <c r="A1219" s="12">
        <v>46308</v>
      </c>
      <c r="B1219" s="7" t="s">
        <v>7</v>
      </c>
      <c r="C1219" s="7" t="s">
        <v>9</v>
      </c>
      <c r="D1219" s="11"/>
      <c r="E1219" s="11">
        <v>2232.8000000000002</v>
      </c>
      <c r="F1219" s="11" t="s">
        <v>134</v>
      </c>
      <c r="G1219" s="8" t="s">
        <v>133</v>
      </c>
      <c r="H1219" s="10"/>
      <c r="I1219" s="9"/>
      <c r="J1219" s="7" t="s">
        <v>119</v>
      </c>
      <c r="K1219" s="7"/>
      <c r="L1219" s="8"/>
      <c r="M1219" s="8" t="str">
        <f>IF(C1219="Caixa","-",VLOOKUP(J1219,[1]Estrutura!C:E,3,FALSE))</f>
        <v>4.5</v>
      </c>
      <c r="N1219" s="8"/>
      <c r="O1219" s="7">
        <f t="shared" si="72"/>
        <v>13</v>
      </c>
      <c r="P1219" s="7">
        <f t="shared" si="73"/>
        <v>10</v>
      </c>
      <c r="Q1219" s="7">
        <f t="shared" si="74"/>
        <v>2026</v>
      </c>
      <c r="R1219" s="6">
        <f t="shared" si="75"/>
        <v>-2232.8000000000002</v>
      </c>
      <c r="S1219" s="12">
        <v>46312</v>
      </c>
    </row>
    <row r="1220" spans="1:19">
      <c r="A1220" s="16">
        <v>46308</v>
      </c>
      <c r="B1220" s="8" t="s">
        <v>7</v>
      </c>
      <c r="C1220" s="8" t="s">
        <v>9</v>
      </c>
      <c r="D1220" s="15"/>
      <c r="E1220" s="15">
        <v>1061.74</v>
      </c>
      <c r="F1220" s="15" t="s">
        <v>248</v>
      </c>
      <c r="G1220" s="8" t="s">
        <v>366</v>
      </c>
      <c r="H1220" s="14">
        <v>10171</v>
      </c>
      <c r="I1220" s="13"/>
      <c r="J1220" s="8" t="s">
        <v>173</v>
      </c>
      <c r="K1220" s="8"/>
      <c r="L1220" s="7"/>
      <c r="M1220" s="7" t="str">
        <f>IF(C1220="Caixa","-",VLOOKUP(J1220,[1]Estrutura!C:E,3,FALSE))</f>
        <v>4.3</v>
      </c>
      <c r="N1220" s="7"/>
      <c r="O1220" s="7">
        <f t="shared" si="72"/>
        <v>13</v>
      </c>
      <c r="P1220" s="7">
        <f t="shared" si="73"/>
        <v>10</v>
      </c>
      <c r="Q1220" s="7">
        <f t="shared" si="74"/>
        <v>2026</v>
      </c>
      <c r="R1220" s="6">
        <f t="shared" si="75"/>
        <v>-1061.74</v>
      </c>
      <c r="S1220" s="16">
        <v>46312</v>
      </c>
    </row>
    <row r="1221" spans="1:19">
      <c r="A1221" s="12">
        <v>46308</v>
      </c>
      <c r="B1221" s="7" t="s">
        <v>7</v>
      </c>
      <c r="C1221" s="7" t="s">
        <v>9</v>
      </c>
      <c r="D1221" s="11"/>
      <c r="E1221" s="11">
        <v>2717.81</v>
      </c>
      <c r="F1221" s="11" t="s">
        <v>104</v>
      </c>
      <c r="G1221" s="7" t="s">
        <v>365</v>
      </c>
      <c r="H1221" s="10">
        <v>36759</v>
      </c>
      <c r="I1221" s="9"/>
      <c r="J1221" s="8" t="s">
        <v>102</v>
      </c>
      <c r="K1221" s="7"/>
      <c r="L1221" s="8"/>
      <c r="M1221" s="8" t="str">
        <f>IF(C1221="Caixa","-",VLOOKUP(J1221,[1]Estrutura!C:E,3,FALSE))</f>
        <v>4.5</v>
      </c>
      <c r="N1221" s="8"/>
      <c r="O1221" s="7">
        <f t="shared" si="72"/>
        <v>13</v>
      </c>
      <c r="P1221" s="7">
        <f t="shared" si="73"/>
        <v>10</v>
      </c>
      <c r="Q1221" s="7">
        <f t="shared" si="74"/>
        <v>2026</v>
      </c>
      <c r="R1221" s="6">
        <f t="shared" si="75"/>
        <v>-2717.81</v>
      </c>
      <c r="S1221" s="12">
        <v>46312</v>
      </c>
    </row>
    <row r="1222" spans="1:19">
      <c r="A1222" s="12">
        <v>46308</v>
      </c>
      <c r="B1222" s="7" t="s">
        <v>7</v>
      </c>
      <c r="C1222" s="7" t="s">
        <v>9</v>
      </c>
      <c r="D1222" s="11"/>
      <c r="E1222" s="15">
        <v>3661.15</v>
      </c>
      <c r="F1222" s="11" t="s">
        <v>159</v>
      </c>
      <c r="G1222" s="7" t="s">
        <v>158</v>
      </c>
      <c r="H1222" s="10"/>
      <c r="I1222" s="9"/>
      <c r="J1222" s="7" t="s">
        <v>29</v>
      </c>
      <c r="K1222" s="7"/>
      <c r="L1222" s="7"/>
      <c r="M1222" s="7" t="str">
        <f>IF(C1222="Caixa","-",VLOOKUP(J1222,[1]Estrutura!C:E,3,FALSE))</f>
        <v>4.8</v>
      </c>
      <c r="N1222" s="7"/>
      <c r="O1222" s="7">
        <f t="shared" si="72"/>
        <v>13</v>
      </c>
      <c r="P1222" s="7">
        <f t="shared" si="73"/>
        <v>10</v>
      </c>
      <c r="Q1222" s="7">
        <f t="shared" si="74"/>
        <v>2026</v>
      </c>
      <c r="R1222" s="6">
        <f t="shared" si="75"/>
        <v>-3661.15</v>
      </c>
      <c r="S1222" s="16">
        <v>46312</v>
      </c>
    </row>
    <row r="1223" spans="1:19">
      <c r="A1223" s="12">
        <v>46309</v>
      </c>
      <c r="B1223" s="7" t="s">
        <v>14</v>
      </c>
      <c r="C1223" s="7" t="s">
        <v>25</v>
      </c>
      <c r="D1223" s="11"/>
      <c r="E1223" s="11">
        <v>4560.8999999999996</v>
      </c>
      <c r="F1223" s="11" t="s">
        <v>157</v>
      </c>
      <c r="G1223" s="7" t="s">
        <v>156</v>
      </c>
      <c r="H1223" s="10">
        <v>4158</v>
      </c>
      <c r="I1223" s="9"/>
      <c r="J1223" s="7" t="s">
        <v>17</v>
      </c>
      <c r="K1223" s="7"/>
      <c r="L1223" s="8"/>
      <c r="M1223" s="8" t="str">
        <f>IF(C1223="Caixa","-",VLOOKUP(J1223,[1]Estrutura!C:E,3,FALSE))</f>
        <v>4.4</v>
      </c>
      <c r="N1223" s="8"/>
      <c r="O1223" s="7">
        <f t="shared" si="72"/>
        <v>14</v>
      </c>
      <c r="P1223" s="7">
        <f t="shared" si="73"/>
        <v>10</v>
      </c>
      <c r="Q1223" s="7">
        <f t="shared" si="74"/>
        <v>2026</v>
      </c>
      <c r="R1223" s="6">
        <f t="shared" si="75"/>
        <v>-4560.8999999999996</v>
      </c>
      <c r="S1223" s="12">
        <v>46312</v>
      </c>
    </row>
    <row r="1224" spans="1:19">
      <c r="A1224" s="16">
        <v>46309</v>
      </c>
      <c r="B1224" s="7" t="s">
        <v>7</v>
      </c>
      <c r="C1224" s="7" t="s">
        <v>9</v>
      </c>
      <c r="D1224" s="15">
        <v>4589.53</v>
      </c>
      <c r="E1224" s="15"/>
      <c r="F1224" s="15"/>
      <c r="G1224" s="8" t="s">
        <v>11</v>
      </c>
      <c r="H1224" s="8"/>
      <c r="I1224" s="17"/>
      <c r="J1224" s="8" t="s">
        <v>10</v>
      </c>
      <c r="K1224" s="8"/>
      <c r="L1224" s="7"/>
      <c r="M1224" s="7" t="str">
        <f>IF(C1224="Caixa","-",VLOOKUP(J1224,[1]Estrutura!C:E,3,FALSE))</f>
        <v>1.1</v>
      </c>
      <c r="N1224" s="7"/>
      <c r="O1224" s="7">
        <f t="shared" si="72"/>
        <v>14</v>
      </c>
      <c r="P1224" s="7">
        <f t="shared" si="73"/>
        <v>10</v>
      </c>
      <c r="Q1224" s="7">
        <f t="shared" si="74"/>
        <v>2026</v>
      </c>
      <c r="R1224" s="6">
        <f t="shared" si="75"/>
        <v>4589.53</v>
      </c>
      <c r="S1224" s="16">
        <v>46313</v>
      </c>
    </row>
    <row r="1225" spans="1:19">
      <c r="A1225" s="16">
        <v>46310</v>
      </c>
      <c r="B1225" s="8" t="s">
        <v>14</v>
      </c>
      <c r="C1225" s="8" t="s">
        <v>9</v>
      </c>
      <c r="D1225" s="15"/>
      <c r="E1225" s="15">
        <v>2874</v>
      </c>
      <c r="F1225" s="15" t="s">
        <v>146</v>
      </c>
      <c r="G1225" s="8" t="s">
        <v>147</v>
      </c>
      <c r="H1225" s="8"/>
      <c r="I1225" s="17"/>
      <c r="J1225" s="8" t="s">
        <v>144</v>
      </c>
      <c r="K1225" s="8"/>
      <c r="L1225" s="8"/>
      <c r="M1225" s="8" t="str">
        <f>IF(C1225="Caixa","-",VLOOKUP(J1225,[1]Estrutura!C:E,3,FALSE))</f>
        <v>4.2</v>
      </c>
      <c r="N1225" s="8"/>
      <c r="O1225" s="7">
        <f t="shared" si="72"/>
        <v>15</v>
      </c>
      <c r="P1225" s="7">
        <f t="shared" si="73"/>
        <v>10</v>
      </c>
      <c r="Q1225" s="7">
        <f t="shared" si="74"/>
        <v>2026</v>
      </c>
      <c r="R1225" s="6">
        <f t="shared" si="75"/>
        <v>-2874</v>
      </c>
      <c r="S1225" s="16">
        <v>46314</v>
      </c>
    </row>
    <row r="1226" spans="1:19">
      <c r="A1226" s="12">
        <v>46310</v>
      </c>
      <c r="B1226" s="7" t="s">
        <v>14</v>
      </c>
      <c r="C1226" s="7" t="s">
        <v>9</v>
      </c>
      <c r="D1226" s="11"/>
      <c r="E1226" s="15">
        <v>2874</v>
      </c>
      <c r="F1226" s="15" t="s">
        <v>146</v>
      </c>
      <c r="G1226" s="7" t="s">
        <v>145</v>
      </c>
      <c r="H1226" s="7"/>
      <c r="I1226" s="30"/>
      <c r="J1226" s="7" t="s">
        <v>144</v>
      </c>
      <c r="K1226" s="7"/>
      <c r="L1226" s="7"/>
      <c r="M1226" s="7" t="str">
        <f>IF(C1226="Caixa","-",VLOOKUP(J1226,[1]Estrutura!C:E,3,FALSE))</f>
        <v>4.2</v>
      </c>
      <c r="N1226" s="7"/>
      <c r="O1226" s="7">
        <f t="shared" si="72"/>
        <v>15</v>
      </c>
      <c r="P1226" s="7">
        <f t="shared" si="73"/>
        <v>10</v>
      </c>
      <c r="Q1226" s="7">
        <f t="shared" si="74"/>
        <v>2026</v>
      </c>
      <c r="R1226" s="6">
        <f t="shared" si="75"/>
        <v>-2874</v>
      </c>
      <c r="S1226" s="16">
        <v>46314</v>
      </c>
    </row>
    <row r="1227" spans="1:19">
      <c r="A1227" s="12">
        <v>46310</v>
      </c>
      <c r="B1227" s="7" t="s">
        <v>26</v>
      </c>
      <c r="C1227" s="7" t="s">
        <v>6</v>
      </c>
      <c r="D1227" s="11"/>
      <c r="E1227" s="11">
        <v>2000</v>
      </c>
      <c r="F1227" s="7" t="s">
        <v>136</v>
      </c>
      <c r="G1227" s="11" t="s">
        <v>137</v>
      </c>
      <c r="H1227" s="10"/>
      <c r="I1227" s="9"/>
      <c r="J1227" s="7" t="s">
        <v>56</v>
      </c>
      <c r="K1227" s="7" t="s">
        <v>136</v>
      </c>
      <c r="L1227" s="8"/>
      <c r="M1227" s="8" t="str">
        <f>IF(C1227="Caixa","-",VLOOKUP(J1227,[1]Estrutura!C:E,3,FALSE))</f>
        <v>6.1</v>
      </c>
      <c r="N1227" s="8"/>
      <c r="O1227" s="7">
        <f t="shared" si="72"/>
        <v>15</v>
      </c>
      <c r="P1227" s="7">
        <f t="shared" si="73"/>
        <v>10</v>
      </c>
      <c r="Q1227" s="7">
        <f t="shared" si="74"/>
        <v>2026</v>
      </c>
      <c r="R1227" s="6">
        <f t="shared" si="75"/>
        <v>-2000</v>
      </c>
      <c r="S1227" s="16">
        <v>46315</v>
      </c>
    </row>
    <row r="1228" spans="1:19">
      <c r="A1228" s="12">
        <v>46310</v>
      </c>
      <c r="B1228" s="7" t="s">
        <v>26</v>
      </c>
      <c r="C1228" s="8" t="s">
        <v>6</v>
      </c>
      <c r="D1228" s="11"/>
      <c r="E1228" s="15">
        <v>6243.4</v>
      </c>
      <c r="F1228" s="11" t="s">
        <v>157</v>
      </c>
      <c r="G1228" s="7" t="s">
        <v>251</v>
      </c>
      <c r="H1228" s="10"/>
      <c r="I1228" s="9"/>
      <c r="J1228" s="7" t="s">
        <v>250</v>
      </c>
      <c r="K1228" s="7" t="s">
        <v>21</v>
      </c>
      <c r="L1228" s="7"/>
      <c r="M1228" s="7" t="str">
        <f>IF(C1228="Caixa","-",VLOOKUP(J1228,[1]Estrutura!C:E,3,FALSE))</f>
        <v>4.9</v>
      </c>
      <c r="N1228" s="7"/>
      <c r="O1228" s="7">
        <f t="shared" si="72"/>
        <v>15</v>
      </c>
      <c r="P1228" s="7">
        <f t="shared" si="73"/>
        <v>10</v>
      </c>
      <c r="Q1228" s="7">
        <f t="shared" si="74"/>
        <v>2026</v>
      </c>
      <c r="R1228" s="6">
        <f t="shared" si="75"/>
        <v>-6243.4</v>
      </c>
      <c r="S1228" s="16">
        <v>46315</v>
      </c>
    </row>
    <row r="1229" spans="1:19">
      <c r="A1229" s="47">
        <v>46310</v>
      </c>
      <c r="B1229" s="7" t="s">
        <v>7</v>
      </c>
      <c r="C1229" s="39" t="s">
        <v>9</v>
      </c>
      <c r="D1229" s="46">
        <v>15097.09</v>
      </c>
      <c r="E1229" s="15"/>
      <c r="F1229" s="46"/>
      <c r="G1229" s="43" t="s">
        <v>11</v>
      </c>
      <c r="H1229" s="43"/>
      <c r="I1229" s="48"/>
      <c r="J1229" s="43" t="s">
        <v>10</v>
      </c>
      <c r="K1229" s="43"/>
      <c r="L1229" s="8"/>
      <c r="M1229" s="8" t="str">
        <f>IF(C1229="Caixa","-",VLOOKUP(J1229,[1]Estrutura!C:E,3,FALSE))</f>
        <v>1.1</v>
      </c>
      <c r="N1229" s="8"/>
      <c r="O1229" s="7">
        <f t="shared" si="72"/>
        <v>15</v>
      </c>
      <c r="P1229" s="7">
        <f t="shared" si="73"/>
        <v>10</v>
      </c>
      <c r="Q1229" s="7">
        <f t="shared" si="74"/>
        <v>2026</v>
      </c>
      <c r="R1229" s="6">
        <f t="shared" si="75"/>
        <v>15097.09</v>
      </c>
      <c r="S1229" s="16">
        <v>46315</v>
      </c>
    </row>
    <row r="1230" spans="1:19">
      <c r="A1230" s="47">
        <v>46311</v>
      </c>
      <c r="B1230" s="8" t="s">
        <v>14</v>
      </c>
      <c r="C1230" s="39" t="s">
        <v>9</v>
      </c>
      <c r="D1230" s="46">
        <v>2783.2</v>
      </c>
      <c r="E1230" s="15"/>
      <c r="F1230" s="46"/>
      <c r="G1230" s="43" t="s">
        <v>11</v>
      </c>
      <c r="H1230" s="43"/>
      <c r="I1230" s="48"/>
      <c r="J1230" s="43" t="s">
        <v>10</v>
      </c>
      <c r="K1230" s="43"/>
      <c r="L1230" s="7"/>
      <c r="M1230" s="7" t="str">
        <f>IF(C1230="Caixa","-",VLOOKUP(J1230,[1]Estrutura!C:E,3,FALSE))</f>
        <v>1.1</v>
      </c>
      <c r="N1230" s="7"/>
      <c r="O1230" s="7">
        <f t="shared" ref="O1230:O1293" si="76">DAY(A1230)</f>
        <v>16</v>
      </c>
      <c r="P1230" s="7">
        <f t="shared" ref="P1230:P1293" si="77">MONTH(A1230)</f>
        <v>10</v>
      </c>
      <c r="Q1230" s="7">
        <f t="shared" ref="Q1230:Q1293" si="78">YEAR(A1230)</f>
        <v>2026</v>
      </c>
      <c r="R1230" s="6">
        <f t="shared" ref="R1230:R1293" si="79">D1230-E1230</f>
        <v>2783.2</v>
      </c>
      <c r="S1230" s="12">
        <v>46315</v>
      </c>
    </row>
    <row r="1231" spans="1:19">
      <c r="A1231" s="47">
        <v>46311</v>
      </c>
      <c r="B1231" s="7" t="s">
        <v>7</v>
      </c>
      <c r="C1231" s="39" t="s">
        <v>9</v>
      </c>
      <c r="D1231" s="46">
        <v>5066.75</v>
      </c>
      <c r="E1231" s="15"/>
      <c r="F1231" s="46"/>
      <c r="G1231" s="43" t="s">
        <v>11</v>
      </c>
      <c r="H1231" s="43"/>
      <c r="I1231" s="48"/>
      <c r="J1231" s="43" t="s">
        <v>10</v>
      </c>
      <c r="K1231" s="43"/>
      <c r="L1231" s="8"/>
      <c r="M1231" s="8" t="str">
        <f>IF(C1231="Caixa","-",VLOOKUP(J1231,[1]Estrutura!C:E,3,FALSE))</f>
        <v>1.1</v>
      </c>
      <c r="N1231" s="8"/>
      <c r="O1231" s="7">
        <f t="shared" si="76"/>
        <v>16</v>
      </c>
      <c r="P1231" s="7">
        <f t="shared" si="77"/>
        <v>10</v>
      </c>
      <c r="Q1231" s="7">
        <f t="shared" si="78"/>
        <v>2026</v>
      </c>
      <c r="R1231" s="6">
        <f t="shared" si="79"/>
        <v>5066.75</v>
      </c>
      <c r="S1231" s="16">
        <v>46315</v>
      </c>
    </row>
    <row r="1232" spans="1:19">
      <c r="A1232" s="47">
        <v>46312</v>
      </c>
      <c r="B1232" s="8" t="s">
        <v>14</v>
      </c>
      <c r="C1232" s="39" t="s">
        <v>9</v>
      </c>
      <c r="D1232" s="46">
        <v>1240.02</v>
      </c>
      <c r="E1232" s="15"/>
      <c r="F1232" s="46"/>
      <c r="G1232" s="43" t="s">
        <v>11</v>
      </c>
      <c r="H1232" s="43"/>
      <c r="I1232" s="48"/>
      <c r="J1232" s="43" t="s">
        <v>10</v>
      </c>
      <c r="K1232" s="43"/>
      <c r="L1232" s="7"/>
      <c r="M1232" s="7" t="str">
        <f>IF(C1232="Caixa","-",VLOOKUP(J1232,[1]Estrutura!C:E,3,FALSE))</f>
        <v>1.1</v>
      </c>
      <c r="N1232" s="7"/>
      <c r="O1232" s="7">
        <f t="shared" si="76"/>
        <v>17</v>
      </c>
      <c r="P1232" s="7">
        <f t="shared" si="77"/>
        <v>10</v>
      </c>
      <c r="Q1232" s="7">
        <f t="shared" si="78"/>
        <v>2026</v>
      </c>
      <c r="R1232" s="6">
        <f t="shared" si="79"/>
        <v>1240.02</v>
      </c>
      <c r="S1232" s="12">
        <v>46315</v>
      </c>
    </row>
    <row r="1233" spans="1:19">
      <c r="A1233" s="47">
        <v>46312</v>
      </c>
      <c r="B1233" s="8" t="s">
        <v>14</v>
      </c>
      <c r="C1233" s="43" t="s">
        <v>9</v>
      </c>
      <c r="D1233" s="46">
        <v>1576.73</v>
      </c>
      <c r="E1233" s="15"/>
      <c r="F1233" s="46" t="s">
        <v>157</v>
      </c>
      <c r="G1233" s="43" t="s">
        <v>364</v>
      </c>
      <c r="H1233" s="45"/>
      <c r="I1233" s="44"/>
      <c r="J1233" s="43" t="s">
        <v>178</v>
      </c>
      <c r="K1233" s="43"/>
      <c r="L1233" s="8"/>
      <c r="M1233" s="8" t="str">
        <f>IF(C1233="Caixa","-",VLOOKUP(J1233,[1]Estrutura!C:E,3,FALSE))</f>
        <v>4.1</v>
      </c>
      <c r="N1233" s="8"/>
      <c r="O1233" s="7">
        <f t="shared" si="76"/>
        <v>17</v>
      </c>
      <c r="P1233" s="7">
        <f t="shared" si="77"/>
        <v>10</v>
      </c>
      <c r="Q1233" s="7">
        <f t="shared" si="78"/>
        <v>2026</v>
      </c>
      <c r="R1233" s="6">
        <f t="shared" si="79"/>
        <v>1576.73</v>
      </c>
      <c r="S1233" s="16">
        <v>46315</v>
      </c>
    </row>
    <row r="1234" spans="1:19">
      <c r="A1234" s="12">
        <v>46312</v>
      </c>
      <c r="B1234" s="7" t="s">
        <v>14</v>
      </c>
      <c r="C1234" s="7" t="s">
        <v>9</v>
      </c>
      <c r="D1234" s="42">
        <v>5675.82</v>
      </c>
      <c r="E1234" s="11"/>
      <c r="F1234" s="42" t="s">
        <v>157</v>
      </c>
      <c r="G1234" s="39" t="s">
        <v>363</v>
      </c>
      <c r="H1234" s="41"/>
      <c r="I1234" s="40"/>
      <c r="J1234" s="39" t="s">
        <v>12</v>
      </c>
      <c r="K1234" s="39"/>
      <c r="L1234" s="7"/>
      <c r="M1234" s="7" t="str">
        <f>IF(C1234="Caixa","-",VLOOKUP(J1234,[1]Estrutura!C:E,3,FALSE))</f>
        <v>4.9</v>
      </c>
      <c r="N1234" s="7"/>
      <c r="O1234" s="7">
        <f t="shared" si="76"/>
        <v>17</v>
      </c>
      <c r="P1234" s="7">
        <f t="shared" si="77"/>
        <v>10</v>
      </c>
      <c r="Q1234" s="7">
        <f t="shared" si="78"/>
        <v>2026</v>
      </c>
      <c r="R1234" s="6">
        <f t="shared" si="79"/>
        <v>5675.82</v>
      </c>
      <c r="S1234" s="12">
        <v>46315</v>
      </c>
    </row>
    <row r="1235" spans="1:19">
      <c r="A1235" s="12">
        <v>46312</v>
      </c>
      <c r="B1235" s="7" t="s">
        <v>26</v>
      </c>
      <c r="C1235" s="7" t="s">
        <v>6</v>
      </c>
      <c r="D1235" s="11"/>
      <c r="E1235" s="11">
        <v>350</v>
      </c>
      <c r="F1235" s="11" t="s">
        <v>362</v>
      </c>
      <c r="G1235" s="7" t="s">
        <v>361</v>
      </c>
      <c r="H1235" s="10"/>
      <c r="I1235" s="9"/>
      <c r="J1235" s="7" t="s">
        <v>116</v>
      </c>
      <c r="K1235" s="7" t="s">
        <v>21</v>
      </c>
      <c r="L1235" s="8"/>
      <c r="M1235" s="8" t="str">
        <f>IF(C1235="Caixa","-",VLOOKUP(J1235,[1]Estrutura!C:E,3,FALSE))</f>
        <v>4.12</v>
      </c>
      <c r="N1235" s="8"/>
      <c r="O1235" s="7">
        <f t="shared" si="76"/>
        <v>17</v>
      </c>
      <c r="P1235" s="7">
        <f t="shared" si="77"/>
        <v>10</v>
      </c>
      <c r="Q1235" s="7">
        <f t="shared" si="78"/>
        <v>2026</v>
      </c>
      <c r="R1235" s="6">
        <f t="shared" si="79"/>
        <v>-350</v>
      </c>
      <c r="S1235" s="16">
        <v>46315</v>
      </c>
    </row>
    <row r="1236" spans="1:19">
      <c r="A1236" s="16">
        <v>46312</v>
      </c>
      <c r="B1236" s="8" t="s">
        <v>26</v>
      </c>
      <c r="C1236" s="8" t="s">
        <v>6</v>
      </c>
      <c r="D1236" s="15"/>
      <c r="E1236" s="15">
        <v>43.82</v>
      </c>
      <c r="F1236" s="15" t="s">
        <v>125</v>
      </c>
      <c r="G1236" s="8" t="s">
        <v>360</v>
      </c>
      <c r="H1236" s="14"/>
      <c r="I1236" s="13"/>
      <c r="J1236" s="8" t="s">
        <v>99</v>
      </c>
      <c r="K1236" s="8" t="s">
        <v>21</v>
      </c>
      <c r="L1236" s="7"/>
      <c r="M1236" s="7" t="str">
        <f>IF(C1236="Caixa","-",VLOOKUP(J1236,[1]Estrutura!C:E,3,FALSE))</f>
        <v>4.3</v>
      </c>
      <c r="N1236" s="7"/>
      <c r="O1236" s="7">
        <f t="shared" si="76"/>
        <v>17</v>
      </c>
      <c r="P1236" s="7">
        <f t="shared" si="77"/>
        <v>10</v>
      </c>
      <c r="Q1236" s="7">
        <f t="shared" si="78"/>
        <v>2026</v>
      </c>
      <c r="R1236" s="6">
        <f t="shared" si="79"/>
        <v>-43.82</v>
      </c>
      <c r="S1236" s="12">
        <v>46315</v>
      </c>
    </row>
    <row r="1237" spans="1:19">
      <c r="A1237" s="12">
        <v>46312</v>
      </c>
      <c r="B1237" s="7" t="s">
        <v>26</v>
      </c>
      <c r="C1237" s="7" t="s">
        <v>6</v>
      </c>
      <c r="D1237" s="11"/>
      <c r="E1237" s="11">
        <v>1576.73</v>
      </c>
      <c r="F1237" s="15" t="s">
        <v>178</v>
      </c>
      <c r="G1237" s="7" t="s">
        <v>359</v>
      </c>
      <c r="H1237" s="10"/>
      <c r="I1237" s="9"/>
      <c r="J1237" s="7" t="s">
        <v>178</v>
      </c>
      <c r="K1237" s="18" t="s">
        <v>34</v>
      </c>
      <c r="L1237" s="8"/>
      <c r="M1237" s="8" t="str">
        <f>IF(C1237="Caixa","-",VLOOKUP(J1237,[1]Estrutura!C:E,3,FALSE))</f>
        <v>4.1</v>
      </c>
      <c r="N1237" s="8"/>
      <c r="O1237" s="7">
        <f t="shared" si="76"/>
        <v>17</v>
      </c>
      <c r="P1237" s="7">
        <f t="shared" si="77"/>
        <v>10</v>
      </c>
      <c r="Q1237" s="7">
        <f t="shared" si="78"/>
        <v>2026</v>
      </c>
      <c r="R1237" s="6">
        <f t="shared" si="79"/>
        <v>-1576.73</v>
      </c>
      <c r="S1237" s="16">
        <v>46315</v>
      </c>
    </row>
    <row r="1238" spans="1:19">
      <c r="A1238" s="16">
        <v>46312</v>
      </c>
      <c r="B1238" s="8" t="s">
        <v>26</v>
      </c>
      <c r="C1238" s="8" t="s">
        <v>6</v>
      </c>
      <c r="D1238" s="15"/>
      <c r="E1238" s="15">
        <v>1800</v>
      </c>
      <c r="F1238" s="15" t="s">
        <v>358</v>
      </c>
      <c r="G1238" s="8" t="s">
        <v>357</v>
      </c>
      <c r="H1238" s="14"/>
      <c r="I1238" s="13"/>
      <c r="J1238" s="8" t="s">
        <v>17</v>
      </c>
      <c r="K1238" s="8" t="s">
        <v>34</v>
      </c>
      <c r="L1238" s="7"/>
      <c r="M1238" s="7" t="str">
        <f>IF(C1238="Caixa","-",VLOOKUP(J1238,[1]Estrutura!C:E,3,FALSE))</f>
        <v>4.4</v>
      </c>
      <c r="N1238" s="7"/>
      <c r="O1238" s="7">
        <f t="shared" si="76"/>
        <v>17</v>
      </c>
      <c r="P1238" s="7">
        <f t="shared" si="77"/>
        <v>10</v>
      </c>
      <c r="Q1238" s="7">
        <f t="shared" si="78"/>
        <v>2026</v>
      </c>
      <c r="R1238" s="6">
        <f t="shared" si="79"/>
        <v>-1800</v>
      </c>
      <c r="S1238" s="16">
        <v>46315</v>
      </c>
    </row>
    <row r="1239" spans="1:19">
      <c r="A1239" s="12">
        <v>46312</v>
      </c>
      <c r="B1239" s="7" t="s">
        <v>26</v>
      </c>
      <c r="C1239" s="7" t="s">
        <v>6</v>
      </c>
      <c r="D1239" s="11"/>
      <c r="E1239" s="11">
        <v>180</v>
      </c>
      <c r="F1239" s="11" t="s">
        <v>294</v>
      </c>
      <c r="G1239" s="7" t="s">
        <v>356</v>
      </c>
      <c r="H1239" s="10"/>
      <c r="I1239" s="9"/>
      <c r="J1239" s="7" t="s">
        <v>17</v>
      </c>
      <c r="K1239" s="7" t="s">
        <v>21</v>
      </c>
      <c r="L1239" s="8"/>
      <c r="M1239" s="8" t="str">
        <f>IF(C1239="Caixa","-",VLOOKUP(J1239,[1]Estrutura!C:E,3,FALSE))</f>
        <v>4.4</v>
      </c>
      <c r="N1239" s="8"/>
      <c r="O1239" s="7">
        <f t="shared" si="76"/>
        <v>17</v>
      </c>
      <c r="P1239" s="7">
        <f t="shared" si="77"/>
        <v>10</v>
      </c>
      <c r="Q1239" s="7">
        <f t="shared" si="78"/>
        <v>2026</v>
      </c>
      <c r="R1239" s="6">
        <f t="shared" si="79"/>
        <v>-180</v>
      </c>
      <c r="S1239" s="12">
        <v>46315</v>
      </c>
    </row>
    <row r="1240" spans="1:19">
      <c r="A1240" s="16">
        <v>46312</v>
      </c>
      <c r="B1240" s="8" t="s">
        <v>26</v>
      </c>
      <c r="C1240" s="8" t="s">
        <v>6</v>
      </c>
      <c r="D1240" s="15"/>
      <c r="E1240" s="15">
        <v>1210</v>
      </c>
      <c r="F1240" s="15" t="s">
        <v>355</v>
      </c>
      <c r="G1240" s="8" t="s">
        <v>354</v>
      </c>
      <c r="H1240" s="14"/>
      <c r="I1240" s="13"/>
      <c r="J1240" s="8" t="s">
        <v>52</v>
      </c>
      <c r="K1240" s="8" t="s">
        <v>40</v>
      </c>
      <c r="L1240" s="7"/>
      <c r="M1240" s="7" t="str">
        <f>IF(C1240="Caixa","-",VLOOKUP(J1240,[1]Estrutura!C:E,3,FALSE))</f>
        <v>4.2</v>
      </c>
      <c r="N1240" s="7"/>
      <c r="O1240" s="7">
        <f t="shared" si="76"/>
        <v>17</v>
      </c>
      <c r="P1240" s="7">
        <f t="shared" si="77"/>
        <v>10</v>
      </c>
      <c r="Q1240" s="7">
        <f t="shared" si="78"/>
        <v>2026</v>
      </c>
      <c r="R1240" s="6">
        <f t="shared" si="79"/>
        <v>-1210</v>
      </c>
      <c r="S1240" s="12">
        <v>46315</v>
      </c>
    </row>
    <row r="1241" spans="1:19">
      <c r="A1241" s="12">
        <v>46312</v>
      </c>
      <c r="B1241" s="7" t="s">
        <v>26</v>
      </c>
      <c r="C1241" s="7" t="s">
        <v>6</v>
      </c>
      <c r="D1241" s="11"/>
      <c r="E1241" s="11">
        <v>5675.82</v>
      </c>
      <c r="F1241" s="11" t="s">
        <v>157</v>
      </c>
      <c r="G1241" s="7" t="s">
        <v>353</v>
      </c>
      <c r="H1241" s="10"/>
      <c r="I1241" s="9"/>
      <c r="J1241" s="7" t="s">
        <v>12</v>
      </c>
      <c r="K1241" s="7" t="s">
        <v>21</v>
      </c>
      <c r="L1241" s="8"/>
      <c r="M1241" s="8" t="str">
        <f>IF(C1241="Caixa","-",VLOOKUP(J1241,[1]Estrutura!C:E,3,FALSE))</f>
        <v>4.9</v>
      </c>
      <c r="N1241" s="8"/>
      <c r="O1241" s="7">
        <f t="shared" si="76"/>
        <v>17</v>
      </c>
      <c r="P1241" s="7">
        <f t="shared" si="77"/>
        <v>10</v>
      </c>
      <c r="Q1241" s="7">
        <f t="shared" si="78"/>
        <v>2026</v>
      </c>
      <c r="R1241" s="6">
        <f t="shared" si="79"/>
        <v>-5675.82</v>
      </c>
      <c r="S1241" s="12">
        <v>46315</v>
      </c>
    </row>
    <row r="1242" spans="1:19">
      <c r="A1242" s="16">
        <v>46313</v>
      </c>
      <c r="B1242" s="7" t="s">
        <v>7</v>
      </c>
      <c r="C1242" s="7" t="s">
        <v>9</v>
      </c>
      <c r="D1242" s="15">
        <v>4132.76</v>
      </c>
      <c r="E1242" s="15"/>
      <c r="F1242" s="15"/>
      <c r="G1242" s="8" t="s">
        <v>11</v>
      </c>
      <c r="H1242" s="8"/>
      <c r="I1242" s="17"/>
      <c r="J1242" s="8" t="s">
        <v>10</v>
      </c>
      <c r="K1242" s="8"/>
      <c r="L1242" s="7"/>
      <c r="M1242" s="7" t="str">
        <f>IF(C1242="Caixa","-",VLOOKUP(J1242,[1]Estrutura!C:E,3,FALSE))</f>
        <v>1.1</v>
      </c>
      <c r="N1242" s="7"/>
      <c r="O1242" s="7">
        <f t="shared" si="76"/>
        <v>18</v>
      </c>
      <c r="P1242" s="7">
        <f t="shared" si="77"/>
        <v>10</v>
      </c>
      <c r="Q1242" s="7">
        <f t="shared" si="78"/>
        <v>2026</v>
      </c>
      <c r="R1242" s="6">
        <f t="shared" si="79"/>
        <v>4132.76</v>
      </c>
      <c r="S1242" s="16">
        <v>46315</v>
      </c>
    </row>
    <row r="1243" spans="1:19">
      <c r="A1243" s="16">
        <v>46314</v>
      </c>
      <c r="B1243" s="8" t="s">
        <v>14</v>
      </c>
      <c r="C1243" s="7" t="s">
        <v>9</v>
      </c>
      <c r="D1243" s="15">
        <v>2112.06</v>
      </c>
      <c r="E1243" s="15"/>
      <c r="F1243" s="15"/>
      <c r="G1243" s="8" t="s">
        <v>11</v>
      </c>
      <c r="H1243" s="8"/>
      <c r="I1243" s="17"/>
      <c r="J1243" s="8" t="s">
        <v>10</v>
      </c>
      <c r="K1243" s="8"/>
      <c r="L1243" s="8"/>
      <c r="M1243" s="8" t="str">
        <f>IF(C1243="Caixa","-",VLOOKUP(J1243,[1]Estrutura!C:E,3,FALSE))</f>
        <v>1.1</v>
      </c>
      <c r="N1243" s="8"/>
      <c r="O1243" s="7">
        <f t="shared" si="76"/>
        <v>19</v>
      </c>
      <c r="P1243" s="7">
        <f t="shared" si="77"/>
        <v>10</v>
      </c>
      <c r="Q1243" s="7">
        <f t="shared" si="78"/>
        <v>2026</v>
      </c>
      <c r="R1243" s="6">
        <f t="shared" si="79"/>
        <v>2112.06</v>
      </c>
      <c r="S1243" s="16">
        <v>46315</v>
      </c>
    </row>
    <row r="1244" spans="1:19">
      <c r="A1244" s="16">
        <v>46314</v>
      </c>
      <c r="B1244" s="7" t="s">
        <v>7</v>
      </c>
      <c r="C1244" s="7" t="s">
        <v>9</v>
      </c>
      <c r="D1244" s="15">
        <v>3332.33</v>
      </c>
      <c r="E1244" s="15"/>
      <c r="F1244" s="15"/>
      <c r="G1244" s="8" t="s">
        <v>11</v>
      </c>
      <c r="H1244" s="8"/>
      <c r="I1244" s="17"/>
      <c r="J1244" s="8" t="s">
        <v>10</v>
      </c>
      <c r="K1244" s="8"/>
      <c r="L1244" s="7"/>
      <c r="M1244" s="7" t="str">
        <f>IF(C1244="Caixa","-",VLOOKUP(J1244,[1]Estrutura!C:E,3,FALSE))</f>
        <v>1.1</v>
      </c>
      <c r="N1244" s="7"/>
      <c r="O1244" s="7">
        <f t="shared" si="76"/>
        <v>19</v>
      </c>
      <c r="P1244" s="7">
        <f t="shared" si="77"/>
        <v>10</v>
      </c>
      <c r="Q1244" s="7">
        <f t="shared" si="78"/>
        <v>2026</v>
      </c>
      <c r="R1244" s="6">
        <f t="shared" si="79"/>
        <v>3332.33</v>
      </c>
      <c r="S1244" s="12">
        <v>46315</v>
      </c>
    </row>
    <row r="1245" spans="1:19">
      <c r="A1245" s="16">
        <v>46315</v>
      </c>
      <c r="B1245" s="8" t="s">
        <v>14</v>
      </c>
      <c r="C1245" s="7" t="s">
        <v>9</v>
      </c>
      <c r="D1245" s="15">
        <v>3472.13</v>
      </c>
      <c r="E1245" s="15"/>
      <c r="F1245" s="15"/>
      <c r="G1245" s="8" t="s">
        <v>11</v>
      </c>
      <c r="H1245" s="8"/>
      <c r="I1245" s="17"/>
      <c r="J1245" s="8" t="s">
        <v>10</v>
      </c>
      <c r="K1245" s="8"/>
      <c r="L1245" s="8"/>
      <c r="M1245" s="8" t="str">
        <f>IF(C1245="Caixa","-",VLOOKUP(J1245,[1]Estrutura!C:E,3,FALSE))</f>
        <v>1.1</v>
      </c>
      <c r="N1245" s="8"/>
      <c r="O1245" s="7">
        <f t="shared" si="76"/>
        <v>20</v>
      </c>
      <c r="P1245" s="7">
        <f t="shared" si="77"/>
        <v>10</v>
      </c>
      <c r="Q1245" s="7">
        <f t="shared" si="78"/>
        <v>2026</v>
      </c>
      <c r="R1245" s="6">
        <f t="shared" si="79"/>
        <v>3472.13</v>
      </c>
      <c r="S1245" s="12">
        <v>46315</v>
      </c>
    </row>
    <row r="1246" spans="1:19">
      <c r="A1246" s="16">
        <v>46315</v>
      </c>
      <c r="B1246" s="8" t="s">
        <v>14</v>
      </c>
      <c r="C1246" s="8" t="s">
        <v>9</v>
      </c>
      <c r="D1246" s="15"/>
      <c r="E1246" s="15">
        <v>3211.95</v>
      </c>
      <c r="F1246" s="15" t="s">
        <v>97</v>
      </c>
      <c r="G1246" s="8" t="s">
        <v>338</v>
      </c>
      <c r="H1246" s="14"/>
      <c r="I1246" s="13"/>
      <c r="J1246" s="8" t="s">
        <v>33</v>
      </c>
      <c r="K1246" s="8"/>
      <c r="L1246" s="7"/>
      <c r="M1246" s="7" t="str">
        <f>IF(C1246="Caixa","-",VLOOKUP(J1246,[1]Estrutura!C:E,3,FALSE))</f>
        <v>2.1</v>
      </c>
      <c r="N1246" s="7"/>
      <c r="O1246" s="7">
        <f t="shared" si="76"/>
        <v>20</v>
      </c>
      <c r="P1246" s="7">
        <f t="shared" si="77"/>
        <v>10</v>
      </c>
      <c r="Q1246" s="7">
        <f t="shared" si="78"/>
        <v>2026</v>
      </c>
      <c r="R1246" s="6">
        <f t="shared" si="79"/>
        <v>-3211.95</v>
      </c>
      <c r="S1246" s="16">
        <v>46315</v>
      </c>
    </row>
    <row r="1247" spans="1:19">
      <c r="A1247" s="16">
        <v>46315</v>
      </c>
      <c r="B1247" s="8" t="s">
        <v>14</v>
      </c>
      <c r="C1247" s="8" t="s">
        <v>9</v>
      </c>
      <c r="D1247" s="15"/>
      <c r="E1247" s="15">
        <v>427.2399999999999</v>
      </c>
      <c r="F1247" s="15"/>
      <c r="G1247" s="8" t="s">
        <v>8</v>
      </c>
      <c r="H1247" s="14"/>
      <c r="I1247" s="13"/>
      <c r="J1247" s="8" t="s">
        <v>4</v>
      </c>
      <c r="K1247" s="8"/>
      <c r="L1247" s="8"/>
      <c r="M1247" s="8" t="str">
        <f>IF(C1247="Caixa","-",VLOOKUP(J1247,[1]Estrutura!C:E,3,FALSE))</f>
        <v>5.2</v>
      </c>
      <c r="N1247" s="8"/>
      <c r="O1247" s="7">
        <f t="shared" si="76"/>
        <v>20</v>
      </c>
      <c r="P1247" s="7">
        <f t="shared" si="77"/>
        <v>10</v>
      </c>
      <c r="Q1247" s="7">
        <f t="shared" si="78"/>
        <v>2026</v>
      </c>
      <c r="R1247" s="6">
        <f t="shared" si="79"/>
        <v>-427.2399999999999</v>
      </c>
      <c r="S1247" s="12">
        <v>46315</v>
      </c>
    </row>
    <row r="1248" spans="1:19">
      <c r="A1248" s="12">
        <v>46315</v>
      </c>
      <c r="B1248" s="7" t="s">
        <v>14</v>
      </c>
      <c r="C1248" s="7" t="s">
        <v>9</v>
      </c>
      <c r="D1248" s="11"/>
      <c r="E1248" s="11">
        <v>384.7</v>
      </c>
      <c r="F1248" s="11" t="s">
        <v>352</v>
      </c>
      <c r="G1248" s="7" t="s">
        <v>117</v>
      </c>
      <c r="H1248" s="10"/>
      <c r="I1248" s="9"/>
      <c r="J1248" s="7" t="s">
        <v>116</v>
      </c>
      <c r="K1248" s="7"/>
      <c r="L1248" s="7"/>
      <c r="M1248" s="7" t="str">
        <f>IF(C1248="Caixa","-",VLOOKUP(J1248,[1]Estrutura!C:E,3,FALSE))</f>
        <v>4.12</v>
      </c>
      <c r="N1248" s="7"/>
      <c r="O1248" s="7">
        <f t="shared" si="76"/>
        <v>20</v>
      </c>
      <c r="P1248" s="7">
        <f t="shared" si="77"/>
        <v>10</v>
      </c>
      <c r="Q1248" s="7">
        <f t="shared" si="78"/>
        <v>2026</v>
      </c>
      <c r="R1248" s="6">
        <f t="shared" si="79"/>
        <v>-384.7</v>
      </c>
      <c r="S1248" s="16">
        <v>46315</v>
      </c>
    </row>
    <row r="1249" spans="1:19">
      <c r="A1249" s="16">
        <v>46315</v>
      </c>
      <c r="B1249" s="8" t="s">
        <v>14</v>
      </c>
      <c r="C1249" s="8" t="s">
        <v>9</v>
      </c>
      <c r="D1249" s="15"/>
      <c r="E1249" s="15">
        <v>157.93</v>
      </c>
      <c r="F1249" s="15" t="s">
        <v>125</v>
      </c>
      <c r="G1249" s="8" t="s">
        <v>351</v>
      </c>
      <c r="H1249" s="14"/>
      <c r="I1249" s="13"/>
      <c r="J1249" s="8" t="s">
        <v>99</v>
      </c>
      <c r="K1249" s="8"/>
      <c r="L1249" s="8"/>
      <c r="M1249" s="8" t="str">
        <f>IF(C1249="Caixa","-",VLOOKUP(J1249,[1]Estrutura!C:E,3,FALSE))</f>
        <v>4.3</v>
      </c>
      <c r="N1249" s="8"/>
      <c r="O1249" s="7">
        <f t="shared" si="76"/>
        <v>20</v>
      </c>
      <c r="P1249" s="7">
        <f t="shared" si="77"/>
        <v>10</v>
      </c>
      <c r="Q1249" s="7">
        <f t="shared" si="78"/>
        <v>2026</v>
      </c>
      <c r="R1249" s="6">
        <f t="shared" si="79"/>
        <v>-157.93</v>
      </c>
      <c r="S1249" s="12">
        <v>46315</v>
      </c>
    </row>
    <row r="1250" spans="1:19">
      <c r="A1250" s="12">
        <v>46315</v>
      </c>
      <c r="B1250" s="7" t="s">
        <v>14</v>
      </c>
      <c r="C1250" s="7" t="s">
        <v>9</v>
      </c>
      <c r="D1250" s="11"/>
      <c r="E1250" s="11">
        <v>2170.88</v>
      </c>
      <c r="F1250" s="11" t="s">
        <v>178</v>
      </c>
      <c r="G1250" s="7" t="s">
        <v>350</v>
      </c>
      <c r="H1250" s="10"/>
      <c r="I1250" s="9"/>
      <c r="J1250" s="7" t="s">
        <v>178</v>
      </c>
      <c r="K1250" s="7"/>
      <c r="L1250" s="7"/>
      <c r="M1250" s="7" t="str">
        <f>IF(C1250="Caixa","-",VLOOKUP(J1250,[1]Estrutura!C:E,3,FALSE))</f>
        <v>4.1</v>
      </c>
      <c r="N1250" s="7"/>
      <c r="O1250" s="7">
        <f t="shared" si="76"/>
        <v>20</v>
      </c>
      <c r="P1250" s="7">
        <f t="shared" si="77"/>
        <v>10</v>
      </c>
      <c r="Q1250" s="7">
        <f t="shared" si="78"/>
        <v>2026</v>
      </c>
      <c r="R1250" s="6">
        <f t="shared" si="79"/>
        <v>-2170.88</v>
      </c>
      <c r="S1250" s="16">
        <v>46315</v>
      </c>
    </row>
    <row r="1251" spans="1:19">
      <c r="A1251" s="16">
        <v>46315</v>
      </c>
      <c r="B1251" s="8" t="s">
        <v>14</v>
      </c>
      <c r="C1251" s="8" t="s">
        <v>9</v>
      </c>
      <c r="D1251" s="15"/>
      <c r="E1251" s="15">
        <v>1576.73</v>
      </c>
      <c r="F1251" s="15" t="s">
        <v>178</v>
      </c>
      <c r="G1251" s="8" t="s">
        <v>349</v>
      </c>
      <c r="H1251" s="14"/>
      <c r="I1251" s="13"/>
      <c r="J1251" s="8" t="s">
        <v>178</v>
      </c>
      <c r="K1251" s="8"/>
      <c r="L1251" s="8"/>
      <c r="M1251" s="8" t="str">
        <f>IF(C1251="Caixa","-",VLOOKUP(J1251,[1]Estrutura!C:E,3,FALSE))</f>
        <v>4.1</v>
      </c>
      <c r="N1251" s="8"/>
      <c r="O1251" s="7">
        <f t="shared" si="76"/>
        <v>20</v>
      </c>
      <c r="P1251" s="7">
        <f t="shared" si="77"/>
        <v>10</v>
      </c>
      <c r="Q1251" s="7">
        <f t="shared" si="78"/>
        <v>2026</v>
      </c>
      <c r="R1251" s="6">
        <f t="shared" si="79"/>
        <v>-1576.73</v>
      </c>
      <c r="S1251" s="12">
        <v>46315</v>
      </c>
    </row>
    <row r="1252" spans="1:19">
      <c r="A1252" s="12">
        <v>46315</v>
      </c>
      <c r="B1252" s="7" t="s">
        <v>14</v>
      </c>
      <c r="C1252" s="7" t="s">
        <v>9</v>
      </c>
      <c r="D1252" s="11"/>
      <c r="E1252" s="11">
        <v>7483.87</v>
      </c>
      <c r="F1252" s="11" t="s">
        <v>97</v>
      </c>
      <c r="G1252" s="7" t="s">
        <v>348</v>
      </c>
      <c r="H1252" s="10"/>
      <c r="I1252" s="9"/>
      <c r="J1252" s="7" t="s">
        <v>95</v>
      </c>
      <c r="K1252" s="7"/>
      <c r="L1252" s="7"/>
      <c r="M1252" s="7" t="str">
        <f>IF(C1252="Caixa","-",VLOOKUP(J1252,[1]Estrutura!C:E,3,FALSE))</f>
        <v>4.1</v>
      </c>
      <c r="N1252" s="7"/>
      <c r="O1252" s="7">
        <f t="shared" si="76"/>
        <v>20</v>
      </c>
      <c r="P1252" s="7">
        <f t="shared" si="77"/>
        <v>10</v>
      </c>
      <c r="Q1252" s="7">
        <f t="shared" si="78"/>
        <v>2026</v>
      </c>
      <c r="R1252" s="6">
        <f t="shared" si="79"/>
        <v>-7483.87</v>
      </c>
      <c r="S1252" s="16">
        <v>46315</v>
      </c>
    </row>
    <row r="1253" spans="1:19">
      <c r="A1253" s="16">
        <v>46315</v>
      </c>
      <c r="B1253" s="8" t="s">
        <v>14</v>
      </c>
      <c r="C1253" s="8" t="s">
        <v>9</v>
      </c>
      <c r="D1253" s="15"/>
      <c r="E1253" s="15">
        <v>219.44</v>
      </c>
      <c r="F1253" s="15" t="s">
        <v>347</v>
      </c>
      <c r="G1253" s="8" t="s">
        <v>346</v>
      </c>
      <c r="H1253" s="14"/>
      <c r="I1253" s="13"/>
      <c r="J1253" s="8" t="s">
        <v>250</v>
      </c>
      <c r="K1253" s="8"/>
      <c r="L1253" s="8"/>
      <c r="M1253" s="8" t="str">
        <f>IF(C1253="Caixa","-",VLOOKUP(J1253,[1]Estrutura!C:E,3,FALSE))</f>
        <v>4.9</v>
      </c>
      <c r="N1253" s="8"/>
      <c r="O1253" s="7">
        <f t="shared" si="76"/>
        <v>20</v>
      </c>
      <c r="P1253" s="7">
        <f t="shared" si="77"/>
        <v>10</v>
      </c>
      <c r="Q1253" s="7">
        <f t="shared" si="78"/>
        <v>2026</v>
      </c>
      <c r="R1253" s="6">
        <f t="shared" si="79"/>
        <v>-219.44</v>
      </c>
      <c r="S1253" s="16">
        <v>46316</v>
      </c>
    </row>
    <row r="1254" spans="1:19">
      <c r="A1254" s="12">
        <v>46315</v>
      </c>
      <c r="B1254" s="7" t="s">
        <v>14</v>
      </c>
      <c r="C1254" s="7" t="s">
        <v>9</v>
      </c>
      <c r="D1254" s="11"/>
      <c r="E1254" s="11">
        <v>5675.82</v>
      </c>
      <c r="F1254" s="11" t="s">
        <v>345</v>
      </c>
      <c r="G1254" s="7" t="s">
        <v>344</v>
      </c>
      <c r="H1254" s="10"/>
      <c r="I1254" s="9"/>
      <c r="J1254" s="7" t="s">
        <v>12</v>
      </c>
      <c r="K1254" s="7"/>
      <c r="L1254" s="7"/>
      <c r="M1254" s="7" t="str">
        <f>IF(C1254="Caixa","-",VLOOKUP(J1254,[1]Estrutura!C:E,3,FALSE))</f>
        <v>4.9</v>
      </c>
      <c r="N1254" s="7"/>
      <c r="O1254" s="7">
        <f t="shared" si="76"/>
        <v>20</v>
      </c>
      <c r="P1254" s="7">
        <f t="shared" si="77"/>
        <v>10</v>
      </c>
      <c r="Q1254" s="7">
        <f t="shared" si="78"/>
        <v>2026</v>
      </c>
      <c r="R1254" s="6">
        <f t="shared" si="79"/>
        <v>-5675.82</v>
      </c>
      <c r="S1254" s="12">
        <v>46316</v>
      </c>
    </row>
    <row r="1255" spans="1:19">
      <c r="A1255" s="16">
        <v>46315</v>
      </c>
      <c r="B1255" s="8" t="s">
        <v>14</v>
      </c>
      <c r="C1255" s="8" t="s">
        <v>9</v>
      </c>
      <c r="D1255" s="15"/>
      <c r="E1255" s="15">
        <v>695.92</v>
      </c>
      <c r="F1255" s="15" t="s">
        <v>97</v>
      </c>
      <c r="G1255" s="8" t="s">
        <v>333</v>
      </c>
      <c r="H1255" s="14"/>
      <c r="I1255" s="13"/>
      <c r="J1255" s="8" t="s">
        <v>31</v>
      </c>
      <c r="K1255" s="8"/>
      <c r="L1255" s="8"/>
      <c r="M1255" s="8" t="str">
        <f>IF(C1255="Caixa","-",VLOOKUP(J1255,[1]Estrutura!C:E,3,FALSE))</f>
        <v>2.1</v>
      </c>
      <c r="N1255" s="8"/>
      <c r="O1255" s="7">
        <f t="shared" si="76"/>
        <v>20</v>
      </c>
      <c r="P1255" s="7">
        <f t="shared" si="77"/>
        <v>10</v>
      </c>
      <c r="Q1255" s="7">
        <f t="shared" si="78"/>
        <v>2026</v>
      </c>
      <c r="R1255" s="6">
        <f t="shared" si="79"/>
        <v>-695.92</v>
      </c>
      <c r="S1255" s="16">
        <v>46316</v>
      </c>
    </row>
    <row r="1256" spans="1:19">
      <c r="A1256" s="16">
        <v>46315</v>
      </c>
      <c r="B1256" s="8" t="s">
        <v>14</v>
      </c>
      <c r="C1256" s="8" t="s">
        <v>9</v>
      </c>
      <c r="D1256" s="15"/>
      <c r="E1256" s="15">
        <v>5227</v>
      </c>
      <c r="F1256" s="15" t="s">
        <v>50</v>
      </c>
      <c r="G1256" s="8" t="s">
        <v>70</v>
      </c>
      <c r="H1256" s="14"/>
      <c r="I1256" s="13"/>
      <c r="J1256" s="7" t="s">
        <v>35</v>
      </c>
      <c r="K1256" s="8"/>
      <c r="L1256" s="7"/>
      <c r="M1256" s="7" t="str">
        <f>IF(C1256="Caixa","-",VLOOKUP(J1256,[1]Estrutura!C:E,3,FALSE))</f>
        <v>4.1</v>
      </c>
      <c r="N1256" s="7"/>
      <c r="O1256" s="7">
        <f t="shared" si="76"/>
        <v>20</v>
      </c>
      <c r="P1256" s="7">
        <f t="shared" si="77"/>
        <v>10</v>
      </c>
      <c r="Q1256" s="7">
        <f t="shared" si="78"/>
        <v>2026</v>
      </c>
      <c r="R1256" s="6">
        <f t="shared" si="79"/>
        <v>-5227</v>
      </c>
      <c r="S1256" s="12">
        <v>46316</v>
      </c>
    </row>
    <row r="1257" spans="1:19">
      <c r="A1257" s="12">
        <v>46315</v>
      </c>
      <c r="B1257" s="7" t="s">
        <v>14</v>
      </c>
      <c r="C1257" s="7" t="s">
        <v>9</v>
      </c>
      <c r="D1257" s="11"/>
      <c r="E1257" s="11">
        <v>2815</v>
      </c>
      <c r="F1257" s="11" t="s">
        <v>51</v>
      </c>
      <c r="G1257" s="7" t="s">
        <v>343</v>
      </c>
      <c r="H1257" s="10"/>
      <c r="I1257" s="9"/>
      <c r="J1257" s="7" t="s">
        <v>35</v>
      </c>
      <c r="K1257" s="7"/>
      <c r="L1257" s="8"/>
      <c r="M1257" s="8" t="str">
        <f>IF(C1257="Caixa","-",VLOOKUP(J1257,[1]Estrutura!C:E,3,FALSE))</f>
        <v>4.1</v>
      </c>
      <c r="N1257" s="8"/>
      <c r="O1257" s="7">
        <f t="shared" si="76"/>
        <v>20</v>
      </c>
      <c r="P1257" s="7">
        <f t="shared" si="77"/>
        <v>10</v>
      </c>
      <c r="Q1257" s="7">
        <f t="shared" si="78"/>
        <v>2026</v>
      </c>
      <c r="R1257" s="6">
        <f t="shared" si="79"/>
        <v>-2815</v>
      </c>
      <c r="S1257" s="16">
        <v>46316</v>
      </c>
    </row>
    <row r="1258" spans="1:19">
      <c r="A1258" s="12">
        <v>46315</v>
      </c>
      <c r="B1258" s="7" t="s">
        <v>14</v>
      </c>
      <c r="C1258" s="7" t="s">
        <v>9</v>
      </c>
      <c r="D1258" s="11"/>
      <c r="E1258" s="11">
        <v>8400</v>
      </c>
      <c r="F1258" s="11" t="s">
        <v>49</v>
      </c>
      <c r="G1258" s="7" t="s">
        <v>320</v>
      </c>
      <c r="H1258" s="10"/>
      <c r="I1258" s="9"/>
      <c r="J1258" s="7" t="s">
        <v>35</v>
      </c>
      <c r="K1258" s="7"/>
      <c r="L1258" s="7"/>
      <c r="M1258" s="7" t="str">
        <f>IF(C1258="Caixa","-",VLOOKUP(J1258,[1]Estrutura!C:E,3,FALSE))</f>
        <v>4.1</v>
      </c>
      <c r="N1258" s="7"/>
      <c r="O1258" s="7">
        <f t="shared" si="76"/>
        <v>20</v>
      </c>
      <c r="P1258" s="7">
        <f t="shared" si="77"/>
        <v>10</v>
      </c>
      <c r="Q1258" s="7">
        <f t="shared" si="78"/>
        <v>2026</v>
      </c>
      <c r="R1258" s="6">
        <f t="shared" si="79"/>
        <v>-8400</v>
      </c>
      <c r="S1258" s="16">
        <v>46317</v>
      </c>
    </row>
    <row r="1259" spans="1:19">
      <c r="A1259" s="12">
        <v>46315</v>
      </c>
      <c r="B1259" s="7" t="s">
        <v>26</v>
      </c>
      <c r="C1259" s="7" t="s">
        <v>6</v>
      </c>
      <c r="D1259" s="11"/>
      <c r="E1259" s="11">
        <v>821.41</v>
      </c>
      <c r="F1259" s="15" t="s">
        <v>32</v>
      </c>
      <c r="G1259" s="7" t="s">
        <v>342</v>
      </c>
      <c r="H1259" s="10"/>
      <c r="I1259" s="9"/>
      <c r="J1259" s="7" t="s">
        <v>95</v>
      </c>
      <c r="K1259" s="7" t="s">
        <v>21</v>
      </c>
      <c r="L1259" s="8"/>
      <c r="M1259" s="8" t="str">
        <f>IF(C1259="Caixa","-",VLOOKUP(J1259,[1]Estrutura!C:E,3,FALSE))</f>
        <v>4.1</v>
      </c>
      <c r="N1259" s="8"/>
      <c r="O1259" s="7">
        <f t="shared" si="76"/>
        <v>20</v>
      </c>
      <c r="P1259" s="7">
        <f t="shared" si="77"/>
        <v>10</v>
      </c>
      <c r="Q1259" s="7">
        <f t="shared" si="78"/>
        <v>2026</v>
      </c>
      <c r="R1259" s="6">
        <f t="shared" si="79"/>
        <v>-821.41</v>
      </c>
      <c r="S1259" s="16">
        <v>46317</v>
      </c>
    </row>
    <row r="1260" spans="1:19">
      <c r="A1260" s="16">
        <v>46315</v>
      </c>
      <c r="B1260" s="8" t="s">
        <v>26</v>
      </c>
      <c r="C1260" s="8" t="s">
        <v>6</v>
      </c>
      <c r="D1260" s="15"/>
      <c r="E1260" s="15">
        <v>3385.2</v>
      </c>
      <c r="F1260" s="15" t="s">
        <v>341</v>
      </c>
      <c r="G1260" s="8" t="s">
        <v>340</v>
      </c>
      <c r="H1260" s="14"/>
      <c r="I1260" s="13"/>
      <c r="J1260" s="8" t="s">
        <v>339</v>
      </c>
      <c r="K1260" s="8" t="s">
        <v>21</v>
      </c>
      <c r="L1260" s="7"/>
      <c r="M1260" s="7" t="str">
        <f>IF(C1260="Caixa","-",VLOOKUP(J1260,[1]Estrutura!C:E,3,FALSE))</f>
        <v>4.6</v>
      </c>
      <c r="N1260" s="7"/>
      <c r="O1260" s="7">
        <f t="shared" si="76"/>
        <v>20</v>
      </c>
      <c r="P1260" s="7">
        <f t="shared" si="77"/>
        <v>10</v>
      </c>
      <c r="Q1260" s="7">
        <f t="shared" si="78"/>
        <v>2026</v>
      </c>
      <c r="R1260" s="6">
        <f t="shared" si="79"/>
        <v>-3385.2</v>
      </c>
      <c r="S1260" s="16">
        <v>46317</v>
      </c>
    </row>
    <row r="1261" spans="1:19">
      <c r="A1261" s="16">
        <v>46315</v>
      </c>
      <c r="B1261" s="7" t="s">
        <v>7</v>
      </c>
      <c r="C1261" s="7" t="s">
        <v>9</v>
      </c>
      <c r="D1261" s="15">
        <v>8261.5500000000011</v>
      </c>
      <c r="E1261" s="15"/>
      <c r="F1261" s="15"/>
      <c r="G1261" s="8" t="s">
        <v>11</v>
      </c>
      <c r="H1261" s="8"/>
      <c r="I1261" s="17"/>
      <c r="J1261" s="8" t="s">
        <v>10</v>
      </c>
      <c r="K1261" s="8"/>
      <c r="L1261" s="8"/>
      <c r="M1261" s="8" t="str">
        <f>IF(C1261="Caixa","-",VLOOKUP(J1261,[1]Estrutura!C:E,3,FALSE))</f>
        <v>1.1</v>
      </c>
      <c r="N1261" s="8"/>
      <c r="O1261" s="7">
        <f t="shared" si="76"/>
        <v>20</v>
      </c>
      <c r="P1261" s="7">
        <f t="shared" si="77"/>
        <v>10</v>
      </c>
      <c r="Q1261" s="7">
        <f t="shared" si="78"/>
        <v>2026</v>
      </c>
      <c r="R1261" s="6">
        <f t="shared" si="79"/>
        <v>8261.5500000000011</v>
      </c>
      <c r="S1261" s="16">
        <v>46318</v>
      </c>
    </row>
    <row r="1262" spans="1:19">
      <c r="A1262" s="12">
        <v>46315</v>
      </c>
      <c r="B1262" s="7" t="s">
        <v>7</v>
      </c>
      <c r="C1262" s="7" t="s">
        <v>9</v>
      </c>
      <c r="D1262" s="11"/>
      <c r="E1262" s="11">
        <v>265</v>
      </c>
      <c r="F1262" s="15" t="s">
        <v>152</v>
      </c>
      <c r="G1262" s="7" t="s">
        <v>151</v>
      </c>
      <c r="H1262" s="10"/>
      <c r="I1262" s="9"/>
      <c r="J1262" s="7" t="s">
        <v>150</v>
      </c>
      <c r="K1262" s="7"/>
      <c r="L1262" s="7"/>
      <c r="M1262" s="7" t="str">
        <f>IF(C1262="Caixa","-",VLOOKUP(J1262,[1]Estrutura!C:E,3,FALSE))</f>
        <v>4.4</v>
      </c>
      <c r="N1262" s="7"/>
      <c r="O1262" s="7">
        <f t="shared" si="76"/>
        <v>20</v>
      </c>
      <c r="P1262" s="7">
        <f t="shared" si="77"/>
        <v>10</v>
      </c>
      <c r="Q1262" s="7">
        <f t="shared" si="78"/>
        <v>2026</v>
      </c>
      <c r="R1262" s="6">
        <f t="shared" si="79"/>
        <v>-265</v>
      </c>
      <c r="S1262" s="16">
        <v>46318</v>
      </c>
    </row>
    <row r="1263" spans="1:19">
      <c r="A1263" s="16">
        <v>46315</v>
      </c>
      <c r="B1263" s="8" t="s">
        <v>7</v>
      </c>
      <c r="C1263" s="8" t="s">
        <v>9</v>
      </c>
      <c r="D1263" s="15"/>
      <c r="E1263" s="15">
        <v>5840.22</v>
      </c>
      <c r="F1263" s="15" t="s">
        <v>97</v>
      </c>
      <c r="G1263" s="8" t="s">
        <v>338</v>
      </c>
      <c r="H1263" s="14"/>
      <c r="I1263" s="13"/>
      <c r="J1263" s="8" t="s">
        <v>33</v>
      </c>
      <c r="K1263" s="8"/>
      <c r="L1263" s="8"/>
      <c r="M1263" s="8" t="str">
        <f>IF(C1263="Caixa","-",VLOOKUP(J1263,[1]Estrutura!C:E,3,FALSE))</f>
        <v>2.1</v>
      </c>
      <c r="N1263" s="8"/>
      <c r="O1263" s="7">
        <f t="shared" si="76"/>
        <v>20</v>
      </c>
      <c r="P1263" s="7">
        <f t="shared" si="77"/>
        <v>10</v>
      </c>
      <c r="Q1263" s="7">
        <f t="shared" si="78"/>
        <v>2026</v>
      </c>
      <c r="R1263" s="6">
        <f t="shared" si="79"/>
        <v>-5840.22</v>
      </c>
      <c r="S1263" s="12">
        <v>46318</v>
      </c>
    </row>
    <row r="1264" spans="1:19">
      <c r="A1264" s="12">
        <v>46315</v>
      </c>
      <c r="B1264" s="7" t="s">
        <v>7</v>
      </c>
      <c r="C1264" s="7" t="s">
        <v>9</v>
      </c>
      <c r="D1264" s="11"/>
      <c r="E1264" s="11">
        <v>10214.969999999999</v>
      </c>
      <c r="F1264" s="11" t="s">
        <v>337</v>
      </c>
      <c r="G1264" s="7" t="s">
        <v>336</v>
      </c>
      <c r="H1264" s="10"/>
      <c r="I1264" s="9"/>
      <c r="J1264" s="7" t="s">
        <v>335</v>
      </c>
      <c r="K1264" s="7"/>
      <c r="L1264" s="7"/>
      <c r="M1264" s="7" t="str">
        <f>IF(C1264="Caixa","-",VLOOKUP(J1264,[1]Estrutura!C:E,3,FALSE))</f>
        <v>4.5</v>
      </c>
      <c r="N1264" s="7"/>
      <c r="O1264" s="7">
        <f t="shared" si="76"/>
        <v>20</v>
      </c>
      <c r="P1264" s="7">
        <f t="shared" si="77"/>
        <v>10</v>
      </c>
      <c r="Q1264" s="7">
        <f t="shared" si="78"/>
        <v>2026</v>
      </c>
      <c r="R1264" s="6">
        <f t="shared" si="79"/>
        <v>-10214.969999999999</v>
      </c>
      <c r="S1264" s="16">
        <v>46318</v>
      </c>
    </row>
    <row r="1265" spans="1:19">
      <c r="A1265" s="16">
        <v>46315</v>
      </c>
      <c r="B1265" s="8" t="s">
        <v>7</v>
      </c>
      <c r="C1265" s="8" t="s">
        <v>9</v>
      </c>
      <c r="D1265" s="15"/>
      <c r="E1265" s="15">
        <v>1444.22</v>
      </c>
      <c r="F1265" s="15"/>
      <c r="G1265" s="8" t="s">
        <v>8</v>
      </c>
      <c r="H1265" s="14"/>
      <c r="I1265" s="13"/>
      <c r="J1265" s="8" t="s">
        <v>4</v>
      </c>
      <c r="K1265" s="8"/>
      <c r="L1265" s="8"/>
      <c r="M1265" s="8" t="str">
        <f>IF(C1265="Caixa","-",VLOOKUP(J1265,[1]Estrutura!C:E,3,FALSE))</f>
        <v>5.2</v>
      </c>
      <c r="N1265" s="8"/>
      <c r="O1265" s="7">
        <f t="shared" si="76"/>
        <v>20</v>
      </c>
      <c r="P1265" s="7">
        <f t="shared" si="77"/>
        <v>10</v>
      </c>
      <c r="Q1265" s="7">
        <f t="shared" si="78"/>
        <v>2026</v>
      </c>
      <c r="R1265" s="6">
        <f t="shared" si="79"/>
        <v>-1444.22</v>
      </c>
      <c r="S1265" s="12">
        <v>46318</v>
      </c>
    </row>
    <row r="1266" spans="1:19">
      <c r="A1266" s="12">
        <v>46315</v>
      </c>
      <c r="B1266" s="7" t="s">
        <v>7</v>
      </c>
      <c r="C1266" s="7" t="s">
        <v>9</v>
      </c>
      <c r="D1266" s="11"/>
      <c r="E1266" s="11">
        <v>546.66999999999996</v>
      </c>
      <c r="F1266" s="11" t="s">
        <v>101</v>
      </c>
      <c r="G1266" s="7" t="s">
        <v>334</v>
      </c>
      <c r="H1266" s="10"/>
      <c r="I1266" s="9"/>
      <c r="J1266" s="8" t="s">
        <v>99</v>
      </c>
      <c r="K1266" s="7"/>
      <c r="L1266" s="7"/>
      <c r="M1266" s="7" t="str">
        <f>IF(C1266="Caixa","-",VLOOKUP(J1266,[1]Estrutura!C:E,3,FALSE))</f>
        <v>4.3</v>
      </c>
      <c r="N1266" s="7"/>
      <c r="O1266" s="7">
        <f t="shared" si="76"/>
        <v>20</v>
      </c>
      <c r="P1266" s="7">
        <f t="shared" si="77"/>
        <v>10</v>
      </c>
      <c r="Q1266" s="7">
        <f t="shared" si="78"/>
        <v>2026</v>
      </c>
      <c r="R1266" s="6">
        <f t="shared" si="79"/>
        <v>-546.66999999999996</v>
      </c>
      <c r="S1266" s="16">
        <v>46318</v>
      </c>
    </row>
    <row r="1267" spans="1:19">
      <c r="A1267" s="16">
        <v>46315</v>
      </c>
      <c r="B1267" s="8" t="s">
        <v>7</v>
      </c>
      <c r="C1267" s="8" t="s">
        <v>9</v>
      </c>
      <c r="D1267" s="15"/>
      <c r="E1267" s="15">
        <v>867.09</v>
      </c>
      <c r="F1267" s="15" t="s">
        <v>97</v>
      </c>
      <c r="G1267" s="8" t="s">
        <v>96</v>
      </c>
      <c r="H1267" s="14"/>
      <c r="I1267" s="13"/>
      <c r="J1267" s="8" t="s">
        <v>95</v>
      </c>
      <c r="K1267" s="8"/>
      <c r="L1267" s="8"/>
      <c r="M1267" s="8" t="str">
        <f>IF(C1267="Caixa","-",VLOOKUP(J1267,[1]Estrutura!C:E,3,FALSE))</f>
        <v>4.1</v>
      </c>
      <c r="N1267" s="8"/>
      <c r="O1267" s="7">
        <f t="shared" si="76"/>
        <v>20</v>
      </c>
      <c r="P1267" s="7">
        <f t="shared" si="77"/>
        <v>10</v>
      </c>
      <c r="Q1267" s="7">
        <f t="shared" si="78"/>
        <v>2026</v>
      </c>
      <c r="R1267" s="6">
        <f t="shared" si="79"/>
        <v>-867.09</v>
      </c>
      <c r="S1267" s="12">
        <v>46318</v>
      </c>
    </row>
    <row r="1268" spans="1:19">
      <c r="A1268" s="12">
        <v>46315</v>
      </c>
      <c r="B1268" s="7" t="s">
        <v>7</v>
      </c>
      <c r="C1268" s="7" t="s">
        <v>9</v>
      </c>
      <c r="D1268" s="11"/>
      <c r="E1268" s="11">
        <v>1265.3800000000001</v>
      </c>
      <c r="F1268" s="11" t="s">
        <v>97</v>
      </c>
      <c r="G1268" s="7" t="s">
        <v>333</v>
      </c>
      <c r="H1268" s="10"/>
      <c r="I1268" s="9"/>
      <c r="J1268" s="7" t="s">
        <v>31</v>
      </c>
      <c r="K1268" s="7"/>
      <c r="L1268" s="7"/>
      <c r="M1268" s="7" t="str">
        <f>IF(C1268="Caixa","-",VLOOKUP(J1268,[1]Estrutura!C:E,3,FALSE))</f>
        <v>2.1</v>
      </c>
      <c r="N1268" s="7"/>
      <c r="O1268" s="7">
        <f t="shared" si="76"/>
        <v>20</v>
      </c>
      <c r="P1268" s="7">
        <f t="shared" si="77"/>
        <v>10</v>
      </c>
      <c r="Q1268" s="7">
        <f t="shared" si="78"/>
        <v>2026</v>
      </c>
      <c r="R1268" s="6">
        <f t="shared" si="79"/>
        <v>-1265.3800000000001</v>
      </c>
      <c r="S1268" s="12">
        <v>46318</v>
      </c>
    </row>
    <row r="1269" spans="1:19">
      <c r="A1269" s="16">
        <v>46315</v>
      </c>
      <c r="B1269" s="8" t="s">
        <v>7</v>
      </c>
      <c r="C1269" s="8" t="s">
        <v>9</v>
      </c>
      <c r="D1269" s="15"/>
      <c r="E1269" s="15">
        <v>438.55</v>
      </c>
      <c r="F1269" s="15" t="s">
        <v>332</v>
      </c>
      <c r="G1269" s="8" t="s">
        <v>331</v>
      </c>
      <c r="H1269" s="14"/>
      <c r="I1269" s="13"/>
      <c r="J1269" s="8" t="s">
        <v>86</v>
      </c>
      <c r="K1269" s="8"/>
      <c r="L1269" s="8"/>
      <c r="M1269" s="8" t="str">
        <f>IF(C1269="Caixa","-",VLOOKUP(J1269,[1]Estrutura!C:E,3,FALSE))</f>
        <v>4.8</v>
      </c>
      <c r="N1269" s="8"/>
      <c r="O1269" s="7">
        <f t="shared" si="76"/>
        <v>20</v>
      </c>
      <c r="P1269" s="7">
        <f t="shared" si="77"/>
        <v>10</v>
      </c>
      <c r="Q1269" s="7">
        <f t="shared" si="78"/>
        <v>2026</v>
      </c>
      <c r="R1269" s="6">
        <f t="shared" si="79"/>
        <v>-438.55</v>
      </c>
      <c r="S1269" s="16">
        <v>46318</v>
      </c>
    </row>
    <row r="1270" spans="1:19">
      <c r="A1270" s="16">
        <v>46316</v>
      </c>
      <c r="B1270" s="8" t="s">
        <v>14</v>
      </c>
      <c r="C1270" s="7" t="s">
        <v>9</v>
      </c>
      <c r="D1270" s="15">
        <v>2074.1999999999998</v>
      </c>
      <c r="E1270" s="15"/>
      <c r="F1270" s="15"/>
      <c r="G1270" s="8" t="s">
        <v>11</v>
      </c>
      <c r="H1270" s="8"/>
      <c r="I1270" s="17"/>
      <c r="J1270" s="8" t="s">
        <v>10</v>
      </c>
      <c r="K1270" s="8"/>
      <c r="L1270" s="7"/>
      <c r="M1270" s="7" t="str">
        <f>IF(C1270="Caixa","-",VLOOKUP(J1270,[1]Estrutura!C:E,3,FALSE))</f>
        <v>1.1</v>
      </c>
      <c r="N1270" s="7"/>
      <c r="O1270" s="7">
        <f t="shared" si="76"/>
        <v>21</v>
      </c>
      <c r="P1270" s="7">
        <f t="shared" si="77"/>
        <v>10</v>
      </c>
      <c r="Q1270" s="7">
        <f t="shared" si="78"/>
        <v>2026</v>
      </c>
      <c r="R1270" s="6">
        <f t="shared" si="79"/>
        <v>2074.1999999999998</v>
      </c>
      <c r="S1270" s="12">
        <v>46318</v>
      </c>
    </row>
    <row r="1271" spans="1:19">
      <c r="A1271" s="12">
        <v>46316</v>
      </c>
      <c r="B1271" s="7" t="s">
        <v>14</v>
      </c>
      <c r="C1271" s="7" t="s">
        <v>9</v>
      </c>
      <c r="D1271" s="11"/>
      <c r="E1271" s="11">
        <v>8811</v>
      </c>
      <c r="F1271" s="11" t="s">
        <v>85</v>
      </c>
      <c r="G1271" s="8" t="s">
        <v>84</v>
      </c>
      <c r="H1271" s="10"/>
      <c r="I1271" s="9"/>
      <c r="J1271" s="7" t="s">
        <v>83</v>
      </c>
      <c r="K1271" s="7"/>
      <c r="L1271" s="8"/>
      <c r="M1271" s="8" t="str">
        <f>IF(C1271="Caixa","-",VLOOKUP(J1271,[1]Estrutura!C:E,3,FALSE))</f>
        <v>4.1</v>
      </c>
      <c r="N1271" s="8"/>
      <c r="O1271" s="7">
        <f t="shared" si="76"/>
        <v>21</v>
      </c>
      <c r="P1271" s="7">
        <f t="shared" si="77"/>
        <v>10</v>
      </c>
      <c r="Q1271" s="7">
        <f t="shared" si="78"/>
        <v>2026</v>
      </c>
      <c r="R1271" s="6">
        <f t="shared" si="79"/>
        <v>-8811</v>
      </c>
      <c r="S1271" s="12">
        <v>46318</v>
      </c>
    </row>
    <row r="1272" spans="1:19">
      <c r="A1272" s="16">
        <v>46316</v>
      </c>
      <c r="B1272" s="7" t="s">
        <v>7</v>
      </c>
      <c r="C1272" s="7" t="s">
        <v>9</v>
      </c>
      <c r="D1272" s="15">
        <v>1607.85</v>
      </c>
      <c r="E1272" s="15"/>
      <c r="F1272" s="15"/>
      <c r="G1272" s="8" t="s">
        <v>11</v>
      </c>
      <c r="H1272" s="8"/>
      <c r="I1272" s="17"/>
      <c r="J1272" s="8" t="s">
        <v>10</v>
      </c>
      <c r="K1272" s="8"/>
      <c r="L1272" s="7"/>
      <c r="M1272" s="7" t="str">
        <f>IF(C1272="Caixa","-",VLOOKUP(J1272,[1]Estrutura!C:E,3,FALSE))</f>
        <v>1.1</v>
      </c>
      <c r="N1272" s="7"/>
      <c r="O1272" s="7">
        <f t="shared" si="76"/>
        <v>21</v>
      </c>
      <c r="P1272" s="7">
        <f t="shared" si="77"/>
        <v>10</v>
      </c>
      <c r="Q1272" s="7">
        <f t="shared" si="78"/>
        <v>2026</v>
      </c>
      <c r="R1272" s="6">
        <f t="shared" si="79"/>
        <v>1607.85</v>
      </c>
      <c r="S1272" s="16">
        <v>46318</v>
      </c>
    </row>
    <row r="1273" spans="1:19">
      <c r="A1273" s="12">
        <v>46316</v>
      </c>
      <c r="B1273" s="7" t="s">
        <v>7</v>
      </c>
      <c r="C1273" s="7" t="s">
        <v>9</v>
      </c>
      <c r="D1273" s="11"/>
      <c r="E1273" s="11">
        <v>13216.9</v>
      </c>
      <c r="F1273" s="11" t="s">
        <v>94</v>
      </c>
      <c r="G1273" s="11" t="s">
        <v>84</v>
      </c>
      <c r="H1273" s="10"/>
      <c r="I1273" s="9"/>
      <c r="J1273" s="7" t="s">
        <v>83</v>
      </c>
      <c r="K1273" s="7"/>
      <c r="L1273" s="8"/>
      <c r="M1273" s="8" t="str">
        <f>IF(C1273="Caixa","-",VLOOKUP(J1273,[1]Estrutura!C:E,3,FALSE))</f>
        <v>4.1</v>
      </c>
      <c r="N1273" s="8"/>
      <c r="O1273" s="7">
        <f t="shared" si="76"/>
        <v>21</v>
      </c>
      <c r="P1273" s="7">
        <f t="shared" si="77"/>
        <v>10</v>
      </c>
      <c r="Q1273" s="7">
        <f t="shared" si="78"/>
        <v>2026</v>
      </c>
      <c r="R1273" s="6">
        <f t="shared" si="79"/>
        <v>-13216.9</v>
      </c>
      <c r="S1273" s="12">
        <v>46318</v>
      </c>
    </row>
    <row r="1274" spans="1:19">
      <c r="A1274" s="16">
        <v>46316</v>
      </c>
      <c r="B1274" s="8" t="s">
        <v>7</v>
      </c>
      <c r="C1274" s="8" t="s">
        <v>9</v>
      </c>
      <c r="D1274" s="15"/>
      <c r="E1274" s="15">
        <v>13216.9</v>
      </c>
      <c r="F1274" s="15" t="s">
        <v>85</v>
      </c>
      <c r="G1274" s="8" t="s">
        <v>84</v>
      </c>
      <c r="H1274" s="14"/>
      <c r="I1274" s="13"/>
      <c r="J1274" s="8" t="s">
        <v>83</v>
      </c>
      <c r="K1274" s="8"/>
      <c r="L1274" s="7"/>
      <c r="M1274" s="7" t="str">
        <f>IF(C1274="Caixa","-",VLOOKUP(J1274,[1]Estrutura!C:E,3,FALSE))</f>
        <v>4.1</v>
      </c>
      <c r="N1274" s="7"/>
      <c r="O1274" s="7">
        <f t="shared" si="76"/>
        <v>21</v>
      </c>
      <c r="P1274" s="7">
        <f t="shared" si="77"/>
        <v>10</v>
      </c>
      <c r="Q1274" s="7">
        <f t="shared" si="78"/>
        <v>2026</v>
      </c>
      <c r="R1274" s="6">
        <f t="shared" si="79"/>
        <v>-13216.9</v>
      </c>
      <c r="S1274" s="16">
        <v>46318</v>
      </c>
    </row>
    <row r="1275" spans="1:19">
      <c r="A1275" s="16">
        <v>46317</v>
      </c>
      <c r="B1275" s="8" t="s">
        <v>14</v>
      </c>
      <c r="C1275" s="7" t="s">
        <v>9</v>
      </c>
      <c r="D1275" s="15">
        <v>1473.36</v>
      </c>
      <c r="E1275" s="15"/>
      <c r="F1275" s="15"/>
      <c r="G1275" s="8" t="s">
        <v>11</v>
      </c>
      <c r="H1275" s="8"/>
      <c r="I1275" s="17"/>
      <c r="J1275" s="8" t="s">
        <v>10</v>
      </c>
      <c r="K1275" s="8"/>
      <c r="L1275" s="8"/>
      <c r="M1275" s="8" t="str">
        <f>IF(C1275="Caixa","-",VLOOKUP(J1275,[1]Estrutura!C:E,3,FALSE))</f>
        <v>1.1</v>
      </c>
      <c r="N1275" s="8"/>
      <c r="O1275" s="7">
        <f t="shared" si="76"/>
        <v>22</v>
      </c>
      <c r="P1275" s="7">
        <f t="shared" si="77"/>
        <v>10</v>
      </c>
      <c r="Q1275" s="7">
        <f t="shared" si="78"/>
        <v>2026</v>
      </c>
      <c r="R1275" s="6">
        <f t="shared" si="79"/>
        <v>1473.36</v>
      </c>
      <c r="S1275" s="23">
        <v>46318</v>
      </c>
    </row>
    <row r="1276" spans="1:19">
      <c r="A1276" s="16">
        <v>46317</v>
      </c>
      <c r="B1276" s="8" t="s">
        <v>14</v>
      </c>
      <c r="C1276" s="8" t="s">
        <v>9</v>
      </c>
      <c r="D1276" s="15"/>
      <c r="E1276" s="15">
        <v>8811</v>
      </c>
      <c r="F1276" s="15" t="s">
        <v>94</v>
      </c>
      <c r="G1276" s="8" t="s">
        <v>84</v>
      </c>
      <c r="H1276" s="14"/>
      <c r="I1276" s="13"/>
      <c r="J1276" s="8" t="s">
        <v>83</v>
      </c>
      <c r="K1276" s="8"/>
      <c r="L1276" s="7"/>
      <c r="M1276" s="7" t="str">
        <f>IF(C1276="Caixa","-",VLOOKUP(J1276,[1]Estrutura!C:E,3,FALSE))</f>
        <v>4.1</v>
      </c>
      <c r="N1276" s="7"/>
      <c r="O1276" s="7">
        <f t="shared" si="76"/>
        <v>22</v>
      </c>
      <c r="P1276" s="7">
        <f t="shared" si="77"/>
        <v>10</v>
      </c>
      <c r="Q1276" s="7">
        <f t="shared" si="78"/>
        <v>2026</v>
      </c>
      <c r="R1276" s="6">
        <f t="shared" si="79"/>
        <v>-8811</v>
      </c>
      <c r="S1276" s="12">
        <v>46318</v>
      </c>
    </row>
    <row r="1277" spans="1:19">
      <c r="A1277" s="16">
        <v>46317</v>
      </c>
      <c r="B1277" s="7" t="s">
        <v>7</v>
      </c>
      <c r="C1277" s="7" t="s">
        <v>9</v>
      </c>
      <c r="D1277" s="15">
        <v>5543.32</v>
      </c>
      <c r="E1277" s="15"/>
      <c r="F1277" s="15"/>
      <c r="G1277" s="8" t="s">
        <v>11</v>
      </c>
      <c r="H1277" s="8"/>
      <c r="I1277" s="17"/>
      <c r="J1277" s="8" t="s">
        <v>10</v>
      </c>
      <c r="K1277" s="8"/>
      <c r="L1277" s="8"/>
      <c r="M1277" s="8" t="str">
        <f>IF(C1277="Caixa","-",VLOOKUP(J1277,[1]Estrutura!C:E,3,FALSE))</f>
        <v>1.1</v>
      </c>
      <c r="N1277" s="8"/>
      <c r="O1277" s="7">
        <f t="shared" si="76"/>
        <v>22</v>
      </c>
      <c r="P1277" s="7">
        <f t="shared" si="77"/>
        <v>10</v>
      </c>
      <c r="Q1277" s="7">
        <f t="shared" si="78"/>
        <v>2026</v>
      </c>
      <c r="R1277" s="6">
        <f t="shared" si="79"/>
        <v>5543.32</v>
      </c>
      <c r="S1277" s="19">
        <v>46318</v>
      </c>
    </row>
    <row r="1278" spans="1:19">
      <c r="A1278" s="16">
        <v>46318</v>
      </c>
      <c r="B1278" s="8" t="s">
        <v>122</v>
      </c>
      <c r="C1278" s="8" t="s">
        <v>6</v>
      </c>
      <c r="D1278" s="15"/>
      <c r="E1278" s="15">
        <v>362.44</v>
      </c>
      <c r="F1278" s="15" t="s">
        <v>125</v>
      </c>
      <c r="G1278" s="8" t="s">
        <v>330</v>
      </c>
      <c r="H1278" s="14"/>
      <c r="I1278" s="13"/>
      <c r="J1278" s="8" t="s">
        <v>99</v>
      </c>
      <c r="K1278" s="8"/>
      <c r="L1278" s="7"/>
      <c r="M1278" s="7" t="str">
        <f>IF(C1278="Caixa","-",VLOOKUP(J1278,[1]Estrutura!C:E,3,FALSE))</f>
        <v>4.3</v>
      </c>
      <c r="N1278" s="7"/>
      <c r="O1278" s="7">
        <f t="shared" si="76"/>
        <v>23</v>
      </c>
      <c r="P1278" s="7">
        <f t="shared" si="77"/>
        <v>10</v>
      </c>
      <c r="Q1278" s="7">
        <f t="shared" si="78"/>
        <v>2026</v>
      </c>
      <c r="R1278" s="6">
        <f t="shared" si="79"/>
        <v>-362.44</v>
      </c>
      <c r="S1278" s="12">
        <v>46318</v>
      </c>
    </row>
    <row r="1279" spans="1:19">
      <c r="A1279" s="16">
        <v>46318</v>
      </c>
      <c r="B1279" s="8" t="s">
        <v>14</v>
      </c>
      <c r="C1279" s="8" t="s">
        <v>9</v>
      </c>
      <c r="D1279" s="15"/>
      <c r="E1279" s="15">
        <v>2086.27</v>
      </c>
      <c r="F1279" s="15" t="s">
        <v>143</v>
      </c>
      <c r="G1279" s="8" t="s">
        <v>329</v>
      </c>
      <c r="H1279" s="14"/>
      <c r="I1279" s="13"/>
      <c r="J1279" s="8" t="s">
        <v>141</v>
      </c>
      <c r="K1279" s="8"/>
      <c r="L1279" s="8"/>
      <c r="M1279" s="8" t="str">
        <f>IF(C1279="Caixa","-",VLOOKUP(J1279,[1]Estrutura!C:E,3,FALSE))</f>
        <v>4.6</v>
      </c>
      <c r="N1279" s="8"/>
      <c r="O1279" s="7">
        <f t="shared" si="76"/>
        <v>23</v>
      </c>
      <c r="P1279" s="7">
        <f t="shared" si="77"/>
        <v>10</v>
      </c>
      <c r="Q1279" s="7">
        <f t="shared" si="78"/>
        <v>2026</v>
      </c>
      <c r="R1279" s="6">
        <f t="shared" si="79"/>
        <v>-2086.27</v>
      </c>
      <c r="S1279" s="19">
        <v>46318</v>
      </c>
    </row>
    <row r="1280" spans="1:19">
      <c r="A1280" s="12">
        <v>46318</v>
      </c>
      <c r="B1280" s="7" t="s">
        <v>14</v>
      </c>
      <c r="C1280" s="7" t="s">
        <v>9</v>
      </c>
      <c r="D1280" s="11"/>
      <c r="E1280" s="11">
        <v>38.99</v>
      </c>
      <c r="F1280" s="11" t="s">
        <v>79</v>
      </c>
      <c r="G1280" s="7" t="s">
        <v>78</v>
      </c>
      <c r="H1280" s="10"/>
      <c r="I1280" s="9"/>
      <c r="J1280" s="7" t="s">
        <v>77</v>
      </c>
      <c r="K1280" s="7"/>
      <c r="L1280" s="7"/>
      <c r="M1280" s="7" t="str">
        <f>IF(C1280="Caixa","-",VLOOKUP(J1280,[1]Estrutura!C:E,3,FALSE))</f>
        <v>4.3</v>
      </c>
      <c r="N1280" s="7"/>
      <c r="O1280" s="7">
        <f t="shared" si="76"/>
        <v>23</v>
      </c>
      <c r="P1280" s="7">
        <f t="shared" si="77"/>
        <v>10</v>
      </c>
      <c r="Q1280" s="7">
        <f t="shared" si="78"/>
        <v>2026</v>
      </c>
      <c r="R1280" s="6">
        <f t="shared" si="79"/>
        <v>-38.99</v>
      </c>
      <c r="S1280" s="23">
        <v>46318</v>
      </c>
    </row>
    <row r="1281" spans="1:19">
      <c r="A1281" s="16">
        <v>46318</v>
      </c>
      <c r="B1281" s="8" t="s">
        <v>14</v>
      </c>
      <c r="C1281" s="8" t="s">
        <v>9</v>
      </c>
      <c r="D1281" s="15"/>
      <c r="E1281" s="15">
        <v>208.26</v>
      </c>
      <c r="F1281" s="15" t="s">
        <v>328</v>
      </c>
      <c r="G1281" s="8" t="s">
        <v>327</v>
      </c>
      <c r="H1281" s="14"/>
      <c r="I1281" s="13"/>
      <c r="J1281" s="8" t="s">
        <v>326</v>
      </c>
      <c r="K1281" s="8"/>
      <c r="L1281" s="8"/>
      <c r="M1281" s="8" t="str">
        <f>IF(C1281="Caixa","-",VLOOKUP(J1281,[1]Estrutura!C:E,3,FALSE))</f>
        <v>4.10</v>
      </c>
      <c r="N1281" s="8"/>
      <c r="O1281" s="7">
        <f t="shared" si="76"/>
        <v>23</v>
      </c>
      <c r="P1281" s="7">
        <f t="shared" si="77"/>
        <v>10</v>
      </c>
      <c r="Q1281" s="7">
        <f t="shared" si="78"/>
        <v>2026</v>
      </c>
      <c r="R1281" s="6">
        <f t="shared" si="79"/>
        <v>-208.26</v>
      </c>
      <c r="S1281" s="16">
        <v>46318</v>
      </c>
    </row>
    <row r="1282" spans="1:19">
      <c r="A1282" s="12">
        <v>46318</v>
      </c>
      <c r="B1282" s="7" t="s">
        <v>14</v>
      </c>
      <c r="C1282" s="7" t="s">
        <v>9</v>
      </c>
      <c r="D1282" s="11"/>
      <c r="E1282" s="15">
        <v>1442</v>
      </c>
      <c r="F1282" s="11" t="s">
        <v>109</v>
      </c>
      <c r="G1282" s="8" t="s">
        <v>75</v>
      </c>
      <c r="H1282" s="10"/>
      <c r="I1282" s="9"/>
      <c r="J1282" s="7" t="s">
        <v>74</v>
      </c>
      <c r="K1282" s="7"/>
      <c r="L1282" s="7"/>
      <c r="M1282" s="7" t="str">
        <f>IF(C1282="Caixa","-",VLOOKUP(J1282,[1]Estrutura!C:E,3,FALSE))</f>
        <v>4.1</v>
      </c>
      <c r="N1282" s="7"/>
      <c r="O1282" s="7">
        <f t="shared" si="76"/>
        <v>23</v>
      </c>
      <c r="P1282" s="7">
        <f t="shared" si="77"/>
        <v>10</v>
      </c>
      <c r="Q1282" s="7">
        <f t="shared" si="78"/>
        <v>2026</v>
      </c>
      <c r="R1282" s="6">
        <f t="shared" si="79"/>
        <v>-1442</v>
      </c>
      <c r="S1282" s="19">
        <v>46318</v>
      </c>
    </row>
    <row r="1283" spans="1:19">
      <c r="A1283" s="16">
        <v>46318</v>
      </c>
      <c r="B1283" s="8" t="s">
        <v>14</v>
      </c>
      <c r="C1283" s="8" t="s">
        <v>9</v>
      </c>
      <c r="D1283" s="15"/>
      <c r="E1283" s="15">
        <v>800</v>
      </c>
      <c r="F1283" s="15" t="s">
        <v>51</v>
      </c>
      <c r="G1283" s="8" t="s">
        <v>112</v>
      </c>
      <c r="H1283" s="14"/>
      <c r="I1283" s="13"/>
      <c r="J1283" s="8" t="s">
        <v>110</v>
      </c>
      <c r="K1283" s="8"/>
      <c r="L1283" s="8"/>
      <c r="M1283" s="8" t="str">
        <f>IF(C1283="Caixa","-",VLOOKUP(J1283,[1]Estrutura!C:E,3,FALSE))</f>
        <v>4.1</v>
      </c>
      <c r="N1283" s="8"/>
      <c r="O1283" s="7">
        <f t="shared" si="76"/>
        <v>23</v>
      </c>
      <c r="P1283" s="7">
        <f t="shared" si="77"/>
        <v>10</v>
      </c>
      <c r="Q1283" s="7">
        <f t="shared" si="78"/>
        <v>2026</v>
      </c>
      <c r="R1283" s="6">
        <f t="shared" si="79"/>
        <v>-800</v>
      </c>
      <c r="S1283" s="12">
        <v>46318</v>
      </c>
    </row>
    <row r="1284" spans="1:19">
      <c r="A1284" s="12">
        <v>46318</v>
      </c>
      <c r="B1284" s="7" t="s">
        <v>14</v>
      </c>
      <c r="C1284" s="7" t="s">
        <v>9</v>
      </c>
      <c r="D1284" s="11"/>
      <c r="E1284" s="15">
        <v>800</v>
      </c>
      <c r="F1284" s="11" t="s">
        <v>49</v>
      </c>
      <c r="G1284" s="7" t="s">
        <v>112</v>
      </c>
      <c r="H1284" s="10"/>
      <c r="I1284" s="9"/>
      <c r="J1284" s="7" t="s">
        <v>110</v>
      </c>
      <c r="K1284" s="7"/>
      <c r="L1284" s="7"/>
      <c r="M1284" s="7" t="str">
        <f>IF(C1284="Caixa","-",VLOOKUP(J1284,[1]Estrutura!C:E,3,FALSE))</f>
        <v>4.1</v>
      </c>
      <c r="N1284" s="7"/>
      <c r="O1284" s="7">
        <f t="shared" si="76"/>
        <v>23</v>
      </c>
      <c r="P1284" s="7">
        <f t="shared" si="77"/>
        <v>10</v>
      </c>
      <c r="Q1284" s="7">
        <f t="shared" si="78"/>
        <v>2026</v>
      </c>
      <c r="R1284" s="6">
        <f t="shared" si="79"/>
        <v>-800</v>
      </c>
      <c r="S1284" s="16">
        <v>46318</v>
      </c>
    </row>
    <row r="1285" spans="1:19">
      <c r="A1285" s="12">
        <v>46318</v>
      </c>
      <c r="B1285" s="7" t="s">
        <v>14</v>
      </c>
      <c r="C1285" s="7" t="s">
        <v>9</v>
      </c>
      <c r="D1285" s="11"/>
      <c r="E1285" s="11">
        <v>178.5</v>
      </c>
      <c r="F1285" s="11" t="s">
        <v>50</v>
      </c>
      <c r="G1285" s="7" t="s">
        <v>325</v>
      </c>
      <c r="H1285" s="10"/>
      <c r="I1285" s="9"/>
      <c r="J1285" s="7" t="s">
        <v>110</v>
      </c>
      <c r="K1285" s="7"/>
      <c r="L1285" s="8"/>
      <c r="M1285" s="8" t="str">
        <f>IF(C1285="Caixa","-",VLOOKUP(J1285,[1]Estrutura!C:E,3,FALSE))</f>
        <v>4.1</v>
      </c>
      <c r="N1285" s="8"/>
      <c r="O1285" s="7">
        <f t="shared" si="76"/>
        <v>23</v>
      </c>
      <c r="P1285" s="7">
        <f t="shared" si="77"/>
        <v>10</v>
      </c>
      <c r="Q1285" s="7">
        <f t="shared" si="78"/>
        <v>2026</v>
      </c>
      <c r="R1285" s="6">
        <f t="shared" si="79"/>
        <v>-178.5</v>
      </c>
      <c r="S1285" s="12">
        <v>46318</v>
      </c>
    </row>
    <row r="1286" spans="1:19">
      <c r="A1286" s="16">
        <v>46318</v>
      </c>
      <c r="B1286" s="8" t="s">
        <v>14</v>
      </c>
      <c r="C1286" s="8" t="s">
        <v>9</v>
      </c>
      <c r="D1286" s="15"/>
      <c r="E1286" s="15">
        <v>187</v>
      </c>
      <c r="F1286" s="15" t="s">
        <v>50</v>
      </c>
      <c r="G1286" s="8" t="s">
        <v>324</v>
      </c>
      <c r="H1286" s="14"/>
      <c r="I1286" s="13"/>
      <c r="J1286" s="8" t="s">
        <v>110</v>
      </c>
      <c r="K1286" s="8"/>
      <c r="L1286" s="7"/>
      <c r="M1286" s="7" t="str">
        <f>IF(C1286="Caixa","-",VLOOKUP(J1286,[1]Estrutura!C:E,3,FALSE))</f>
        <v>4.1</v>
      </c>
      <c r="N1286" s="7"/>
      <c r="O1286" s="7">
        <f t="shared" si="76"/>
        <v>23</v>
      </c>
      <c r="P1286" s="7">
        <f t="shared" si="77"/>
        <v>10</v>
      </c>
      <c r="Q1286" s="7">
        <f t="shared" si="78"/>
        <v>2026</v>
      </c>
      <c r="R1286" s="6">
        <f t="shared" si="79"/>
        <v>-187</v>
      </c>
      <c r="S1286" s="16">
        <v>46318</v>
      </c>
    </row>
    <row r="1287" spans="1:19">
      <c r="A1287" s="12">
        <v>46318</v>
      </c>
      <c r="B1287" s="7" t="s">
        <v>14</v>
      </c>
      <c r="C1287" s="7" t="s">
        <v>9</v>
      </c>
      <c r="D1287" s="11"/>
      <c r="E1287" s="11">
        <v>195.5</v>
      </c>
      <c r="F1287" s="11" t="s">
        <v>50</v>
      </c>
      <c r="G1287" s="7" t="s">
        <v>323</v>
      </c>
      <c r="H1287" s="10"/>
      <c r="I1287" s="9"/>
      <c r="J1287" s="7" t="s">
        <v>110</v>
      </c>
      <c r="K1287" s="7"/>
      <c r="L1287" s="8"/>
      <c r="M1287" s="8" t="str">
        <f>IF(C1287="Caixa","-",VLOOKUP(J1287,[1]Estrutura!C:E,3,FALSE))</f>
        <v>4.1</v>
      </c>
      <c r="N1287" s="8"/>
      <c r="O1287" s="7">
        <f t="shared" si="76"/>
        <v>23</v>
      </c>
      <c r="P1287" s="7">
        <f t="shared" si="77"/>
        <v>10</v>
      </c>
      <c r="Q1287" s="7">
        <f t="shared" si="78"/>
        <v>2026</v>
      </c>
      <c r="R1287" s="6">
        <f t="shared" si="79"/>
        <v>-195.5</v>
      </c>
      <c r="S1287" s="16">
        <v>46318</v>
      </c>
    </row>
    <row r="1288" spans="1:19">
      <c r="A1288" s="12">
        <v>46318</v>
      </c>
      <c r="B1288" s="7" t="s">
        <v>14</v>
      </c>
      <c r="C1288" s="7" t="s">
        <v>9</v>
      </c>
      <c r="D1288" s="11"/>
      <c r="E1288" s="11">
        <v>800</v>
      </c>
      <c r="F1288" s="11" t="s">
        <v>50</v>
      </c>
      <c r="G1288" s="7" t="s">
        <v>322</v>
      </c>
      <c r="H1288" s="10"/>
      <c r="I1288" s="9"/>
      <c r="J1288" s="7" t="s">
        <v>110</v>
      </c>
      <c r="K1288" s="7"/>
      <c r="L1288" s="7"/>
      <c r="M1288" s="7" t="str">
        <f>IF(C1288="Caixa","-",VLOOKUP(J1288,[1]Estrutura!C:E,3,FALSE))</f>
        <v>4.1</v>
      </c>
      <c r="N1288" s="7"/>
      <c r="O1288" s="7">
        <f t="shared" si="76"/>
        <v>23</v>
      </c>
      <c r="P1288" s="7">
        <f t="shared" si="77"/>
        <v>10</v>
      </c>
      <c r="Q1288" s="7">
        <f t="shared" si="78"/>
        <v>2026</v>
      </c>
      <c r="R1288" s="6">
        <f t="shared" si="79"/>
        <v>-800</v>
      </c>
      <c r="S1288" s="16">
        <v>46318</v>
      </c>
    </row>
    <row r="1289" spans="1:19">
      <c r="A1289" s="16">
        <v>46318</v>
      </c>
      <c r="B1289" s="8" t="s">
        <v>14</v>
      </c>
      <c r="C1289" s="8" t="s">
        <v>9</v>
      </c>
      <c r="D1289" s="15"/>
      <c r="E1289" s="11">
        <v>470.8</v>
      </c>
      <c r="F1289" s="15" t="s">
        <v>51</v>
      </c>
      <c r="G1289" s="7" t="s">
        <v>93</v>
      </c>
      <c r="H1289" s="14"/>
      <c r="I1289" s="13"/>
      <c r="J1289" s="8" t="s">
        <v>89</v>
      </c>
      <c r="K1289" s="8"/>
      <c r="L1289" s="8"/>
      <c r="M1289" s="8" t="str">
        <f>IF(C1289="Caixa","-",VLOOKUP(J1289,[1]Estrutura!C:E,3,FALSE))</f>
        <v>4.1</v>
      </c>
      <c r="N1289" s="8"/>
      <c r="O1289" s="7">
        <f t="shared" si="76"/>
        <v>23</v>
      </c>
      <c r="P1289" s="7">
        <f t="shared" si="77"/>
        <v>10</v>
      </c>
      <c r="Q1289" s="7">
        <f t="shared" si="78"/>
        <v>2026</v>
      </c>
      <c r="R1289" s="6">
        <f t="shared" si="79"/>
        <v>-470.8</v>
      </c>
      <c r="S1289" s="16">
        <v>46318</v>
      </c>
    </row>
    <row r="1290" spans="1:19">
      <c r="A1290" s="12">
        <v>46318</v>
      </c>
      <c r="B1290" s="7" t="s">
        <v>14</v>
      </c>
      <c r="C1290" s="7" t="s">
        <v>9</v>
      </c>
      <c r="D1290" s="11"/>
      <c r="E1290" s="11">
        <v>470.8</v>
      </c>
      <c r="F1290" s="11" t="s">
        <v>50</v>
      </c>
      <c r="G1290" s="7" t="s">
        <v>93</v>
      </c>
      <c r="H1290" s="10"/>
      <c r="I1290" s="9"/>
      <c r="J1290" s="7" t="s">
        <v>89</v>
      </c>
      <c r="K1290" s="7"/>
      <c r="L1290" s="7"/>
      <c r="M1290" s="7" t="str">
        <f>IF(C1290="Caixa","-",VLOOKUP(J1290,[1]Estrutura!C:E,3,FALSE))</f>
        <v>4.1</v>
      </c>
      <c r="N1290" s="7"/>
      <c r="O1290" s="7">
        <f t="shared" si="76"/>
        <v>23</v>
      </c>
      <c r="P1290" s="7">
        <f t="shared" si="77"/>
        <v>10</v>
      </c>
      <c r="Q1290" s="7">
        <f t="shared" si="78"/>
        <v>2026</v>
      </c>
      <c r="R1290" s="6">
        <f t="shared" si="79"/>
        <v>-470.8</v>
      </c>
      <c r="S1290" s="16">
        <v>46319</v>
      </c>
    </row>
    <row r="1291" spans="1:19">
      <c r="A1291" s="16">
        <v>46318</v>
      </c>
      <c r="B1291" s="8" t="s">
        <v>26</v>
      </c>
      <c r="C1291" s="8" t="s">
        <v>6</v>
      </c>
      <c r="D1291" s="15"/>
      <c r="E1291" s="15">
        <v>1899.8</v>
      </c>
      <c r="F1291" s="15" t="s">
        <v>138</v>
      </c>
      <c r="G1291" s="8" t="s">
        <v>321</v>
      </c>
      <c r="H1291" s="14"/>
      <c r="I1291" s="13"/>
      <c r="J1291" s="8" t="s">
        <v>17</v>
      </c>
      <c r="K1291" s="8" t="s">
        <v>21</v>
      </c>
      <c r="L1291" s="8"/>
      <c r="M1291" s="8" t="str">
        <f>IF(C1291="Caixa","-",VLOOKUP(J1291,[1]Estrutura!C:E,3,FALSE))</f>
        <v>4.4</v>
      </c>
      <c r="N1291" s="8"/>
      <c r="O1291" s="7">
        <f t="shared" si="76"/>
        <v>23</v>
      </c>
      <c r="P1291" s="7">
        <f t="shared" si="77"/>
        <v>10</v>
      </c>
      <c r="Q1291" s="7">
        <f t="shared" si="78"/>
        <v>2026</v>
      </c>
      <c r="R1291" s="6">
        <f t="shared" si="79"/>
        <v>-1899.8</v>
      </c>
      <c r="S1291" s="16">
        <v>46320</v>
      </c>
    </row>
    <row r="1292" spans="1:19">
      <c r="A1292" s="23">
        <v>46318</v>
      </c>
      <c r="B1292" s="7" t="s">
        <v>26</v>
      </c>
      <c r="C1292" s="18" t="s">
        <v>6</v>
      </c>
      <c r="D1292" s="11"/>
      <c r="E1292" s="11">
        <v>2174</v>
      </c>
      <c r="F1292" s="11" t="s">
        <v>71</v>
      </c>
      <c r="G1292" s="11" t="s">
        <v>70</v>
      </c>
      <c r="H1292" s="10"/>
      <c r="I1292" s="22"/>
      <c r="J1292" s="7" t="s">
        <v>35</v>
      </c>
      <c r="K1292" s="18" t="s">
        <v>40</v>
      </c>
      <c r="L1292" s="7"/>
      <c r="M1292" s="7" t="str">
        <f>IF(C1292="Caixa","-",VLOOKUP(J1292,[1]Estrutura!C:E,3,FALSE))</f>
        <v>4.1</v>
      </c>
      <c r="N1292" s="7"/>
      <c r="O1292" s="7">
        <f t="shared" si="76"/>
        <v>23</v>
      </c>
      <c r="P1292" s="7">
        <f t="shared" si="77"/>
        <v>10</v>
      </c>
      <c r="Q1292" s="7">
        <f t="shared" si="78"/>
        <v>2026</v>
      </c>
      <c r="R1292" s="6">
        <f t="shared" si="79"/>
        <v>-2174</v>
      </c>
      <c r="S1292" s="12">
        <v>46320</v>
      </c>
    </row>
    <row r="1293" spans="1:19">
      <c r="A1293" s="12">
        <v>46318</v>
      </c>
      <c r="B1293" s="7" t="s">
        <v>26</v>
      </c>
      <c r="C1293" s="7" t="s">
        <v>6</v>
      </c>
      <c r="D1293" s="11"/>
      <c r="E1293" s="15">
        <v>2940</v>
      </c>
      <c r="F1293" s="11" t="s">
        <v>37</v>
      </c>
      <c r="G1293" s="7" t="s">
        <v>70</v>
      </c>
      <c r="H1293" s="10"/>
      <c r="I1293" s="9"/>
      <c r="J1293" s="7" t="s">
        <v>35</v>
      </c>
      <c r="K1293" s="18" t="s">
        <v>34</v>
      </c>
      <c r="L1293" s="8"/>
      <c r="M1293" s="8" t="str">
        <f>IF(C1293="Caixa","-",VLOOKUP(J1293,[1]Estrutura!C:E,3,FALSE))</f>
        <v>4.1</v>
      </c>
      <c r="N1293" s="8"/>
      <c r="O1293" s="7">
        <f t="shared" si="76"/>
        <v>23</v>
      </c>
      <c r="P1293" s="7">
        <f t="shared" si="77"/>
        <v>10</v>
      </c>
      <c r="Q1293" s="7">
        <f t="shared" si="78"/>
        <v>2026</v>
      </c>
      <c r="R1293" s="6">
        <f t="shared" si="79"/>
        <v>-2940</v>
      </c>
      <c r="S1293" s="16">
        <v>46320</v>
      </c>
    </row>
    <row r="1294" spans="1:19">
      <c r="A1294" s="19">
        <v>46318</v>
      </c>
      <c r="B1294" s="8" t="s">
        <v>26</v>
      </c>
      <c r="C1294" s="24" t="s">
        <v>6</v>
      </c>
      <c r="D1294" s="15"/>
      <c r="E1294" s="15">
        <v>1875</v>
      </c>
      <c r="F1294" s="15" t="s">
        <v>48</v>
      </c>
      <c r="G1294" s="24" t="s">
        <v>320</v>
      </c>
      <c r="H1294" s="14"/>
      <c r="I1294" s="25"/>
      <c r="J1294" s="7" t="s">
        <v>35</v>
      </c>
      <c r="K1294" s="8" t="s">
        <v>40</v>
      </c>
      <c r="L1294" s="7"/>
      <c r="M1294" s="7" t="str">
        <f>IF(C1294="Caixa","-",VLOOKUP(J1294,[1]Estrutura!C:E,3,FALSE))</f>
        <v>4.1</v>
      </c>
      <c r="N1294" s="7"/>
      <c r="O1294" s="7">
        <f t="shared" ref="O1294:O1357" si="80">DAY(A1294)</f>
        <v>23</v>
      </c>
      <c r="P1294" s="7">
        <f t="shared" ref="P1294:P1357" si="81">MONTH(A1294)</f>
        <v>10</v>
      </c>
      <c r="Q1294" s="7">
        <f t="shared" ref="Q1294:Q1357" si="82">YEAR(A1294)</f>
        <v>2026</v>
      </c>
      <c r="R1294" s="6">
        <f t="shared" ref="R1294:R1357" si="83">D1294-E1294</f>
        <v>-1875</v>
      </c>
      <c r="S1294" s="16">
        <v>46320</v>
      </c>
    </row>
    <row r="1295" spans="1:19">
      <c r="A1295" s="12">
        <v>46318</v>
      </c>
      <c r="B1295" s="7" t="s">
        <v>26</v>
      </c>
      <c r="C1295" s="18" t="s">
        <v>6</v>
      </c>
      <c r="D1295" s="11"/>
      <c r="E1295" s="15">
        <v>3045</v>
      </c>
      <c r="F1295" s="15" t="s">
        <v>47</v>
      </c>
      <c r="G1295" s="7" t="s">
        <v>320</v>
      </c>
      <c r="H1295" s="10"/>
      <c r="I1295" s="9"/>
      <c r="J1295" s="7" t="s">
        <v>35</v>
      </c>
      <c r="K1295" s="7" t="s">
        <v>21</v>
      </c>
      <c r="L1295" s="8"/>
      <c r="M1295" s="8" t="str">
        <f>IF(C1295="Caixa","-",VLOOKUP(J1295,[1]Estrutura!C:E,3,FALSE))</f>
        <v>4.1</v>
      </c>
      <c r="N1295" s="8"/>
      <c r="O1295" s="7">
        <f t="shared" si="80"/>
        <v>23</v>
      </c>
      <c r="P1295" s="7">
        <f t="shared" si="81"/>
        <v>10</v>
      </c>
      <c r="Q1295" s="7">
        <f t="shared" si="82"/>
        <v>2026</v>
      </c>
      <c r="R1295" s="6">
        <f t="shared" si="83"/>
        <v>-3045</v>
      </c>
      <c r="S1295" s="16">
        <v>46320</v>
      </c>
    </row>
    <row r="1296" spans="1:19">
      <c r="A1296" s="19">
        <v>46318</v>
      </c>
      <c r="B1296" s="8" t="s">
        <v>26</v>
      </c>
      <c r="C1296" s="24" t="s">
        <v>6</v>
      </c>
      <c r="D1296" s="15"/>
      <c r="E1296" s="11">
        <v>2997</v>
      </c>
      <c r="F1296" s="15" t="s">
        <v>46</v>
      </c>
      <c r="G1296" s="24" t="s">
        <v>320</v>
      </c>
      <c r="H1296" s="14"/>
      <c r="I1296" s="25"/>
      <c r="J1296" s="7" t="s">
        <v>35</v>
      </c>
      <c r="K1296" s="18" t="s">
        <v>34</v>
      </c>
      <c r="L1296" s="7"/>
      <c r="M1296" s="7" t="str">
        <f>IF(C1296="Caixa","-",VLOOKUP(J1296,[1]Estrutura!C:E,3,FALSE))</f>
        <v>4.1</v>
      </c>
      <c r="N1296" s="7"/>
      <c r="O1296" s="7">
        <f t="shared" si="80"/>
        <v>23</v>
      </c>
      <c r="P1296" s="7">
        <f t="shared" si="81"/>
        <v>10</v>
      </c>
      <c r="Q1296" s="7">
        <f t="shared" si="82"/>
        <v>2026</v>
      </c>
      <c r="R1296" s="6">
        <f t="shared" si="83"/>
        <v>-2997</v>
      </c>
      <c r="S1296" s="16">
        <v>46320</v>
      </c>
    </row>
    <row r="1297" spans="1:19">
      <c r="A1297" s="23">
        <v>46318</v>
      </c>
      <c r="B1297" s="7" t="s">
        <v>26</v>
      </c>
      <c r="C1297" s="18" t="s">
        <v>6</v>
      </c>
      <c r="D1297" s="11"/>
      <c r="E1297" s="15">
        <v>2722</v>
      </c>
      <c r="F1297" s="11" t="s">
        <v>45</v>
      </c>
      <c r="G1297" s="18" t="s">
        <v>320</v>
      </c>
      <c r="H1297" s="10"/>
      <c r="I1297" s="22"/>
      <c r="J1297" s="7" t="s">
        <v>35</v>
      </c>
      <c r="K1297" s="18" t="s">
        <v>44</v>
      </c>
      <c r="L1297" s="8"/>
      <c r="M1297" s="8" t="str">
        <f>IF(C1297="Caixa","-",VLOOKUP(J1297,[1]Estrutura!C:E,3,FALSE))</f>
        <v>4.1</v>
      </c>
      <c r="N1297" s="8"/>
      <c r="O1297" s="7">
        <f t="shared" si="80"/>
        <v>23</v>
      </c>
      <c r="P1297" s="7">
        <f t="shared" si="81"/>
        <v>10</v>
      </c>
      <c r="Q1297" s="7">
        <f t="shared" si="82"/>
        <v>2026</v>
      </c>
      <c r="R1297" s="6">
        <f t="shared" si="83"/>
        <v>-2722</v>
      </c>
      <c r="S1297" s="16">
        <v>46320</v>
      </c>
    </row>
    <row r="1298" spans="1:19">
      <c r="A1298" s="16">
        <v>46318</v>
      </c>
      <c r="B1298" s="8" t="s">
        <v>26</v>
      </c>
      <c r="C1298" s="8" t="s">
        <v>6</v>
      </c>
      <c r="D1298" s="15"/>
      <c r="E1298" s="11">
        <v>2040</v>
      </c>
      <c r="F1298" s="15" t="s">
        <v>38</v>
      </c>
      <c r="G1298" s="8" t="s">
        <v>320</v>
      </c>
      <c r="H1298" s="14"/>
      <c r="I1298" s="13"/>
      <c r="J1298" s="7" t="s">
        <v>35</v>
      </c>
      <c r="K1298" s="18" t="s">
        <v>34</v>
      </c>
      <c r="L1298" s="7"/>
      <c r="M1298" s="7" t="str">
        <f>IF(C1298="Caixa","-",VLOOKUP(J1298,[1]Estrutura!C:E,3,FALSE))</f>
        <v>4.1</v>
      </c>
      <c r="N1298" s="7"/>
      <c r="O1298" s="7">
        <f t="shared" si="80"/>
        <v>23</v>
      </c>
      <c r="P1298" s="7">
        <f t="shared" si="81"/>
        <v>10</v>
      </c>
      <c r="Q1298" s="7">
        <f t="shared" si="82"/>
        <v>2026</v>
      </c>
      <c r="R1298" s="6">
        <f t="shared" si="83"/>
        <v>-2040</v>
      </c>
      <c r="S1298" s="16">
        <v>46320</v>
      </c>
    </row>
    <row r="1299" spans="1:19">
      <c r="A1299" s="19">
        <v>46318</v>
      </c>
      <c r="B1299" s="8" t="s">
        <v>26</v>
      </c>
      <c r="C1299" s="8" t="s">
        <v>6</v>
      </c>
      <c r="D1299" s="15"/>
      <c r="E1299" s="11">
        <v>1926</v>
      </c>
      <c r="F1299" s="15" t="s">
        <v>43</v>
      </c>
      <c r="G1299" s="24" t="s">
        <v>320</v>
      </c>
      <c r="H1299" s="14"/>
      <c r="I1299" s="25"/>
      <c r="J1299" s="7" t="s">
        <v>35</v>
      </c>
      <c r="K1299" s="24" t="s">
        <v>40</v>
      </c>
      <c r="L1299" s="8"/>
      <c r="M1299" s="8" t="str">
        <f>IF(C1299="Caixa","-",VLOOKUP(J1299,[1]Estrutura!C:E,3,FALSE))</f>
        <v>4.1</v>
      </c>
      <c r="N1299" s="8"/>
      <c r="O1299" s="7">
        <f t="shared" si="80"/>
        <v>23</v>
      </c>
      <c r="P1299" s="7">
        <f t="shared" si="81"/>
        <v>10</v>
      </c>
      <c r="Q1299" s="7">
        <f t="shared" si="82"/>
        <v>2026</v>
      </c>
      <c r="R1299" s="6">
        <f t="shared" si="83"/>
        <v>-1926</v>
      </c>
      <c r="S1299" s="16">
        <v>46321</v>
      </c>
    </row>
    <row r="1300" spans="1:19">
      <c r="A1300" s="12">
        <v>46318</v>
      </c>
      <c r="B1300" s="7" t="s">
        <v>26</v>
      </c>
      <c r="C1300" s="7" t="s">
        <v>6</v>
      </c>
      <c r="D1300" s="11"/>
      <c r="E1300" s="15">
        <v>2321</v>
      </c>
      <c r="F1300" s="11" t="s">
        <v>42</v>
      </c>
      <c r="G1300" s="7" t="s">
        <v>320</v>
      </c>
      <c r="H1300" s="10"/>
      <c r="I1300" s="9"/>
      <c r="J1300" s="7" t="s">
        <v>35</v>
      </c>
      <c r="K1300" s="18" t="s">
        <v>34</v>
      </c>
      <c r="L1300" s="7"/>
      <c r="M1300" s="7" t="str">
        <f>IF(C1300="Caixa","-",VLOOKUP(J1300,[1]Estrutura!C:E,3,FALSE))</f>
        <v>4.1</v>
      </c>
      <c r="N1300" s="7"/>
      <c r="O1300" s="7">
        <f t="shared" si="80"/>
        <v>23</v>
      </c>
      <c r="P1300" s="7">
        <f t="shared" si="81"/>
        <v>10</v>
      </c>
      <c r="Q1300" s="7">
        <f t="shared" si="82"/>
        <v>2026</v>
      </c>
      <c r="R1300" s="6">
        <f t="shared" si="83"/>
        <v>-2321</v>
      </c>
      <c r="S1300" s="16">
        <v>46321</v>
      </c>
    </row>
    <row r="1301" spans="1:19">
      <c r="A1301" s="16">
        <v>46318</v>
      </c>
      <c r="B1301" s="8" t="s">
        <v>26</v>
      </c>
      <c r="C1301" s="8" t="s">
        <v>6</v>
      </c>
      <c r="D1301" s="15"/>
      <c r="E1301" s="11">
        <v>2321</v>
      </c>
      <c r="F1301" s="15" t="s">
        <v>41</v>
      </c>
      <c r="G1301" s="8" t="s">
        <v>320</v>
      </c>
      <c r="H1301" s="14"/>
      <c r="I1301" s="13"/>
      <c r="J1301" s="7" t="s">
        <v>35</v>
      </c>
      <c r="K1301" s="8" t="s">
        <v>40</v>
      </c>
      <c r="L1301" s="8"/>
      <c r="M1301" s="8" t="str">
        <f>IF(C1301="Caixa","-",VLOOKUP(J1301,[1]Estrutura!C:E,3,FALSE))</f>
        <v>4.1</v>
      </c>
      <c r="N1301" s="8"/>
      <c r="O1301" s="7">
        <f t="shared" si="80"/>
        <v>23</v>
      </c>
      <c r="P1301" s="7">
        <f t="shared" si="81"/>
        <v>10</v>
      </c>
      <c r="Q1301" s="7">
        <f t="shared" si="82"/>
        <v>2026</v>
      </c>
      <c r="R1301" s="6">
        <f t="shared" si="83"/>
        <v>-2321</v>
      </c>
      <c r="S1301" s="16">
        <v>46322</v>
      </c>
    </row>
    <row r="1302" spans="1:19">
      <c r="A1302" s="12">
        <v>46318</v>
      </c>
      <c r="B1302" s="7" t="s">
        <v>26</v>
      </c>
      <c r="C1302" s="7" t="s">
        <v>6</v>
      </c>
      <c r="D1302" s="11"/>
      <c r="E1302" s="11">
        <v>9762</v>
      </c>
      <c r="F1302" s="11" t="s">
        <v>69</v>
      </c>
      <c r="G1302" s="7" t="s">
        <v>68</v>
      </c>
      <c r="H1302" s="10"/>
      <c r="I1302" s="9"/>
      <c r="J1302" s="21" t="s">
        <v>67</v>
      </c>
      <c r="K1302" s="7" t="s">
        <v>21</v>
      </c>
      <c r="L1302" s="7"/>
      <c r="M1302" s="7" t="str">
        <f>IF(C1302="Caixa","-",VLOOKUP(J1302,[1]Estrutura!C:E,3,FALSE))</f>
        <v>4.5</v>
      </c>
      <c r="N1302" s="7"/>
      <c r="O1302" s="7">
        <f t="shared" si="80"/>
        <v>23</v>
      </c>
      <c r="P1302" s="7">
        <f t="shared" si="81"/>
        <v>10</v>
      </c>
      <c r="Q1302" s="7">
        <f t="shared" si="82"/>
        <v>2026</v>
      </c>
      <c r="R1302" s="6">
        <f t="shared" si="83"/>
        <v>-9762</v>
      </c>
      <c r="S1302" s="12">
        <v>46322</v>
      </c>
    </row>
    <row r="1303" spans="1:19">
      <c r="A1303" s="16">
        <v>46318</v>
      </c>
      <c r="B1303" s="8" t="s">
        <v>26</v>
      </c>
      <c r="C1303" s="24" t="s">
        <v>6</v>
      </c>
      <c r="D1303" s="15"/>
      <c r="E1303" s="11">
        <v>470.8</v>
      </c>
      <c r="F1303" s="15" t="s">
        <v>47</v>
      </c>
      <c r="G1303" s="8" t="s">
        <v>242</v>
      </c>
      <c r="H1303" s="14"/>
      <c r="I1303" s="13"/>
      <c r="J1303" s="8" t="s">
        <v>89</v>
      </c>
      <c r="K1303" s="8" t="s">
        <v>21</v>
      </c>
      <c r="L1303" s="8"/>
      <c r="M1303" s="8" t="str">
        <f>IF(C1303="Caixa","-",VLOOKUP(J1303,[1]Estrutura!C:E,3,FALSE))</f>
        <v>4.1</v>
      </c>
      <c r="N1303" s="8"/>
      <c r="O1303" s="7">
        <f t="shared" si="80"/>
        <v>23</v>
      </c>
      <c r="P1303" s="7">
        <f t="shared" si="81"/>
        <v>10</v>
      </c>
      <c r="Q1303" s="7">
        <f t="shared" si="82"/>
        <v>2026</v>
      </c>
      <c r="R1303" s="6">
        <f t="shared" si="83"/>
        <v>-470.8</v>
      </c>
      <c r="S1303" s="16">
        <v>46322</v>
      </c>
    </row>
    <row r="1304" spans="1:19">
      <c r="A1304" s="16">
        <v>46318</v>
      </c>
      <c r="B1304" s="7" t="s">
        <v>7</v>
      </c>
      <c r="C1304" s="7" t="s">
        <v>9</v>
      </c>
      <c r="D1304" s="15">
        <v>9604.4900000000016</v>
      </c>
      <c r="E1304" s="15"/>
      <c r="F1304" s="15"/>
      <c r="G1304" s="8" t="s">
        <v>11</v>
      </c>
      <c r="H1304" s="8"/>
      <c r="I1304" s="17"/>
      <c r="J1304" s="8" t="s">
        <v>10</v>
      </c>
      <c r="K1304" s="8"/>
      <c r="L1304" s="7"/>
      <c r="M1304" s="7" t="str">
        <f>IF(C1304="Caixa","-",VLOOKUP(J1304,[1]Estrutura!C:E,3,FALSE))</f>
        <v>1.1</v>
      </c>
      <c r="N1304" s="7"/>
      <c r="O1304" s="7">
        <f t="shared" si="80"/>
        <v>23</v>
      </c>
      <c r="P1304" s="7">
        <f t="shared" si="81"/>
        <v>10</v>
      </c>
      <c r="Q1304" s="7">
        <f t="shared" si="82"/>
        <v>2026</v>
      </c>
      <c r="R1304" s="6">
        <f t="shared" si="83"/>
        <v>9604.4900000000016</v>
      </c>
      <c r="S1304" s="12">
        <v>46322</v>
      </c>
    </row>
    <row r="1305" spans="1:19">
      <c r="A1305" s="16">
        <v>46318</v>
      </c>
      <c r="B1305" s="8" t="s">
        <v>7</v>
      </c>
      <c r="C1305" s="8" t="s">
        <v>9</v>
      </c>
      <c r="D1305" s="15"/>
      <c r="E1305" s="15">
        <v>0</v>
      </c>
      <c r="F1305" s="15" t="s">
        <v>109</v>
      </c>
      <c r="G1305" s="8" t="s">
        <v>319</v>
      </c>
      <c r="H1305" s="14"/>
      <c r="I1305" s="13"/>
      <c r="J1305" s="8" t="s">
        <v>17</v>
      </c>
      <c r="K1305" s="8"/>
      <c r="L1305" s="8"/>
      <c r="M1305" s="8" t="str">
        <f>IF(C1305="Caixa","-",VLOOKUP(J1305,[1]Estrutura!C:E,3,FALSE))</f>
        <v>4.4</v>
      </c>
      <c r="N1305" s="8"/>
      <c r="O1305" s="7">
        <f t="shared" si="80"/>
        <v>23</v>
      </c>
      <c r="P1305" s="7">
        <f t="shared" si="81"/>
        <v>10</v>
      </c>
      <c r="Q1305" s="7">
        <f t="shared" si="82"/>
        <v>2026</v>
      </c>
      <c r="R1305" s="6">
        <f t="shared" si="83"/>
        <v>0</v>
      </c>
      <c r="S1305" s="16">
        <v>46322</v>
      </c>
    </row>
    <row r="1306" spans="1:19">
      <c r="A1306" s="16">
        <v>46318</v>
      </c>
      <c r="B1306" s="8" t="s">
        <v>7</v>
      </c>
      <c r="C1306" s="8" t="s">
        <v>9</v>
      </c>
      <c r="D1306" s="15"/>
      <c r="E1306" s="15">
        <v>1500</v>
      </c>
      <c r="F1306" s="15" t="s">
        <v>63</v>
      </c>
      <c r="G1306" s="8" t="s">
        <v>318</v>
      </c>
      <c r="H1306" s="14">
        <v>713</v>
      </c>
      <c r="I1306" s="13"/>
      <c r="J1306" s="8" t="s">
        <v>62</v>
      </c>
      <c r="K1306" s="8"/>
      <c r="L1306" s="7"/>
      <c r="M1306" s="7" t="str">
        <f>IF(C1306="Caixa","-",VLOOKUP(J1306,[1]Estrutura!C:E,3,FALSE))</f>
        <v>4.5</v>
      </c>
      <c r="N1306" s="7"/>
      <c r="O1306" s="7">
        <f t="shared" si="80"/>
        <v>23</v>
      </c>
      <c r="P1306" s="7">
        <f t="shared" si="81"/>
        <v>10</v>
      </c>
      <c r="Q1306" s="7">
        <f t="shared" si="82"/>
        <v>2026</v>
      </c>
      <c r="R1306" s="6">
        <f t="shared" si="83"/>
        <v>-1500</v>
      </c>
      <c r="S1306" s="12">
        <v>46322</v>
      </c>
    </row>
    <row r="1307" spans="1:19">
      <c r="A1307" s="16">
        <v>46319</v>
      </c>
      <c r="B1307" s="8" t="s">
        <v>14</v>
      </c>
      <c r="C1307" s="7" t="s">
        <v>9</v>
      </c>
      <c r="D1307" s="32">
        <v>5712.34</v>
      </c>
      <c r="E1307" s="32"/>
      <c r="F1307" s="32"/>
      <c r="G1307" s="8" t="s">
        <v>11</v>
      </c>
      <c r="H1307" s="8"/>
      <c r="I1307" s="17"/>
      <c r="J1307" s="8" t="s">
        <v>10</v>
      </c>
      <c r="K1307" s="24"/>
      <c r="L1307" s="8"/>
      <c r="M1307" s="8" t="str">
        <f>IF(C1307="Caixa","-",VLOOKUP(J1307,[1]Estrutura!C:E,3,FALSE))</f>
        <v>1.1</v>
      </c>
      <c r="N1307" s="8"/>
      <c r="O1307" s="7">
        <f t="shared" si="80"/>
        <v>24</v>
      </c>
      <c r="P1307" s="7">
        <f t="shared" si="81"/>
        <v>10</v>
      </c>
      <c r="Q1307" s="7">
        <f t="shared" si="82"/>
        <v>2026</v>
      </c>
      <c r="R1307" s="6">
        <f t="shared" si="83"/>
        <v>5712.34</v>
      </c>
      <c r="S1307" s="16">
        <v>46322</v>
      </c>
    </row>
    <row r="1308" spans="1:19">
      <c r="A1308" s="16">
        <v>46320</v>
      </c>
      <c r="B1308" s="8" t="s">
        <v>14</v>
      </c>
      <c r="C1308" s="7" t="s">
        <v>9</v>
      </c>
      <c r="D1308" s="15">
        <v>4745.43</v>
      </c>
      <c r="E1308" s="15"/>
      <c r="F1308" s="15"/>
      <c r="G1308" s="8" t="s">
        <v>11</v>
      </c>
      <c r="H1308" s="8"/>
      <c r="I1308" s="17"/>
      <c r="J1308" s="8" t="s">
        <v>10</v>
      </c>
      <c r="K1308" s="8"/>
      <c r="L1308" s="7"/>
      <c r="M1308" s="7" t="str">
        <f>IF(C1308="Caixa","-",VLOOKUP(J1308,[1]Estrutura!C:E,3,FALSE))</f>
        <v>1.1</v>
      </c>
      <c r="N1308" s="7"/>
      <c r="O1308" s="7">
        <f t="shared" si="80"/>
        <v>25</v>
      </c>
      <c r="P1308" s="7">
        <f t="shared" si="81"/>
        <v>10</v>
      </c>
      <c r="Q1308" s="7">
        <f t="shared" si="82"/>
        <v>2026</v>
      </c>
      <c r="R1308" s="6">
        <f t="shared" si="83"/>
        <v>4745.43</v>
      </c>
      <c r="S1308" s="12">
        <v>46322</v>
      </c>
    </row>
    <row r="1309" spans="1:19">
      <c r="A1309" s="12">
        <v>46320</v>
      </c>
      <c r="B1309" s="8" t="s">
        <v>14</v>
      </c>
      <c r="C1309" s="8" t="s">
        <v>9</v>
      </c>
      <c r="D1309" s="15"/>
      <c r="E1309" s="15">
        <v>5000</v>
      </c>
      <c r="F1309" s="15"/>
      <c r="G1309" s="8" t="s">
        <v>61</v>
      </c>
      <c r="H1309" s="8"/>
      <c r="I1309" s="17"/>
      <c r="J1309" s="7" t="s">
        <v>35</v>
      </c>
      <c r="K1309" s="8"/>
      <c r="L1309" s="8"/>
      <c r="M1309" s="8" t="str">
        <f>IF(C1309="Caixa","-",VLOOKUP(J1309,[1]Estrutura!C:E,3,FALSE))</f>
        <v>4.1</v>
      </c>
      <c r="N1309" s="8"/>
      <c r="O1309" s="7">
        <f t="shared" si="80"/>
        <v>25</v>
      </c>
      <c r="P1309" s="7">
        <f t="shared" si="81"/>
        <v>10</v>
      </c>
      <c r="Q1309" s="7">
        <f t="shared" si="82"/>
        <v>2026</v>
      </c>
      <c r="R1309" s="6">
        <f t="shared" si="83"/>
        <v>-5000</v>
      </c>
      <c r="S1309" s="16">
        <v>46322</v>
      </c>
    </row>
    <row r="1310" spans="1:19">
      <c r="A1310" s="16">
        <v>46320</v>
      </c>
      <c r="B1310" s="8" t="s">
        <v>26</v>
      </c>
      <c r="C1310" s="8" t="s">
        <v>6</v>
      </c>
      <c r="D1310" s="15"/>
      <c r="E1310" s="15">
        <v>1000</v>
      </c>
      <c r="F1310" s="11" t="s">
        <v>60</v>
      </c>
      <c r="G1310" s="8" t="s">
        <v>57</v>
      </c>
      <c r="H1310" s="14"/>
      <c r="I1310" s="13"/>
      <c r="J1310" s="8" t="s">
        <v>56</v>
      </c>
      <c r="K1310" s="8" t="s">
        <v>21</v>
      </c>
      <c r="L1310" s="7"/>
      <c r="M1310" s="7" t="str">
        <f>IF(C1310="Caixa","-",VLOOKUP(J1310,[1]Estrutura!C:E,3,FALSE))</f>
        <v>6.1</v>
      </c>
      <c r="N1310" s="7"/>
      <c r="O1310" s="7">
        <f t="shared" si="80"/>
        <v>25</v>
      </c>
      <c r="P1310" s="7">
        <f t="shared" si="81"/>
        <v>10</v>
      </c>
      <c r="Q1310" s="7">
        <f t="shared" si="82"/>
        <v>2026</v>
      </c>
      <c r="R1310" s="6">
        <f t="shared" si="83"/>
        <v>-1000</v>
      </c>
      <c r="S1310" s="16">
        <v>46322</v>
      </c>
    </row>
    <row r="1311" spans="1:19">
      <c r="A1311" s="16">
        <v>46320</v>
      </c>
      <c r="B1311" s="8" t="s">
        <v>26</v>
      </c>
      <c r="C1311" s="8" t="s">
        <v>6</v>
      </c>
      <c r="D1311" s="15"/>
      <c r="E1311" s="15">
        <v>1000</v>
      </c>
      <c r="F1311" s="15" t="s">
        <v>59</v>
      </c>
      <c r="G1311" s="8" t="s">
        <v>57</v>
      </c>
      <c r="H1311" s="14"/>
      <c r="I1311" s="13"/>
      <c r="J1311" s="8" t="s">
        <v>56</v>
      </c>
      <c r="K1311" s="8" t="s">
        <v>21</v>
      </c>
      <c r="L1311" s="8"/>
      <c r="M1311" s="8" t="str">
        <f>IF(C1311="Caixa","-",VLOOKUP(J1311,[1]Estrutura!C:E,3,FALSE))</f>
        <v>6.1</v>
      </c>
      <c r="N1311" s="8"/>
      <c r="O1311" s="7">
        <f t="shared" si="80"/>
        <v>25</v>
      </c>
      <c r="P1311" s="7">
        <f t="shared" si="81"/>
        <v>10</v>
      </c>
      <c r="Q1311" s="7">
        <f t="shared" si="82"/>
        <v>2026</v>
      </c>
      <c r="R1311" s="6">
        <f t="shared" si="83"/>
        <v>-1000</v>
      </c>
      <c r="S1311" s="16">
        <v>46322</v>
      </c>
    </row>
    <row r="1312" spans="1:19">
      <c r="A1312" s="16">
        <v>46320</v>
      </c>
      <c r="B1312" s="8" t="s">
        <v>26</v>
      </c>
      <c r="C1312" s="8" t="s">
        <v>6</v>
      </c>
      <c r="D1312" s="15"/>
      <c r="E1312" s="15">
        <v>1000</v>
      </c>
      <c r="F1312" s="15" t="s">
        <v>58</v>
      </c>
      <c r="G1312" s="8" t="s">
        <v>57</v>
      </c>
      <c r="H1312" s="14"/>
      <c r="I1312" s="13"/>
      <c r="J1312" s="8" t="s">
        <v>56</v>
      </c>
      <c r="K1312" s="36" t="s">
        <v>21</v>
      </c>
      <c r="L1312" s="7"/>
      <c r="M1312" s="7" t="str">
        <f>IF(C1312="Caixa","-",VLOOKUP(J1312,[1]Estrutura!C:E,3,FALSE))</f>
        <v>6.1</v>
      </c>
      <c r="N1312" s="7"/>
      <c r="O1312" s="7">
        <f t="shared" si="80"/>
        <v>25</v>
      </c>
      <c r="P1312" s="7">
        <f t="shared" si="81"/>
        <v>10</v>
      </c>
      <c r="Q1312" s="7">
        <f t="shared" si="82"/>
        <v>2026</v>
      </c>
      <c r="R1312" s="6">
        <f t="shared" si="83"/>
        <v>-1000</v>
      </c>
      <c r="S1312" s="12">
        <v>46322</v>
      </c>
    </row>
    <row r="1313" spans="1:19">
      <c r="A1313" s="16">
        <v>46320</v>
      </c>
      <c r="B1313" s="8" t="s">
        <v>26</v>
      </c>
      <c r="C1313" s="8" t="s">
        <v>6</v>
      </c>
      <c r="D1313" s="15"/>
      <c r="E1313" s="15">
        <v>4050</v>
      </c>
      <c r="F1313" s="15"/>
      <c r="G1313" s="7" t="s">
        <v>55</v>
      </c>
      <c r="H1313" s="10"/>
      <c r="I1313" s="9"/>
      <c r="J1313" s="7" t="s">
        <v>54</v>
      </c>
      <c r="K1313" s="7" t="s">
        <v>34</v>
      </c>
      <c r="L1313" s="8"/>
      <c r="M1313" s="8" t="str">
        <f>IF(C1313="Caixa","-",VLOOKUP(J1313,[1]Estrutura!C:E,3,FALSE))</f>
        <v>4.11</v>
      </c>
      <c r="N1313" s="8"/>
      <c r="O1313" s="7">
        <f t="shared" si="80"/>
        <v>25</v>
      </c>
      <c r="P1313" s="7">
        <f t="shared" si="81"/>
        <v>10</v>
      </c>
      <c r="Q1313" s="7">
        <f t="shared" si="82"/>
        <v>2026</v>
      </c>
      <c r="R1313" s="6">
        <f t="shared" si="83"/>
        <v>-4050</v>
      </c>
      <c r="S1313" s="16">
        <v>46323</v>
      </c>
    </row>
    <row r="1314" spans="1:19">
      <c r="A1314" s="16">
        <v>46320</v>
      </c>
      <c r="B1314" s="7" t="s">
        <v>7</v>
      </c>
      <c r="C1314" s="7" t="s">
        <v>9</v>
      </c>
      <c r="D1314" s="15">
        <v>1735.42</v>
      </c>
      <c r="E1314" s="15"/>
      <c r="F1314" s="15"/>
      <c r="G1314" s="8" t="s">
        <v>11</v>
      </c>
      <c r="H1314" s="8"/>
      <c r="I1314" s="17"/>
      <c r="J1314" s="8" t="s">
        <v>10</v>
      </c>
      <c r="K1314" s="8"/>
      <c r="L1314" s="7"/>
      <c r="M1314" s="7" t="str">
        <f>IF(C1314="Caixa","-",VLOOKUP(J1314,[1]Estrutura!C:E,3,FALSE))</f>
        <v>1.1</v>
      </c>
      <c r="N1314" s="7"/>
      <c r="O1314" s="7">
        <f t="shared" si="80"/>
        <v>25</v>
      </c>
      <c r="P1314" s="7">
        <f t="shared" si="81"/>
        <v>10</v>
      </c>
      <c r="Q1314" s="7">
        <f t="shared" si="82"/>
        <v>2026</v>
      </c>
      <c r="R1314" s="6">
        <f t="shared" si="83"/>
        <v>1735.42</v>
      </c>
      <c r="S1314" s="12">
        <v>46323</v>
      </c>
    </row>
    <row r="1315" spans="1:19">
      <c r="A1315" s="16">
        <v>46320</v>
      </c>
      <c r="B1315" s="8" t="s">
        <v>7</v>
      </c>
      <c r="C1315" s="8" t="s">
        <v>9</v>
      </c>
      <c r="D1315" s="15"/>
      <c r="E1315" s="15">
        <v>33333</v>
      </c>
      <c r="F1315" s="15"/>
      <c r="G1315" s="8" t="s">
        <v>30</v>
      </c>
      <c r="H1315" s="14"/>
      <c r="I1315" s="13"/>
      <c r="J1315" s="8" t="s">
        <v>29</v>
      </c>
      <c r="K1315" s="8"/>
      <c r="L1315" s="8"/>
      <c r="M1315" s="8" t="str">
        <f>IF(C1315="Caixa","-",VLOOKUP(J1315,[1]Estrutura!C:E,3,FALSE))</f>
        <v>4.8</v>
      </c>
      <c r="N1315" s="8"/>
      <c r="O1315" s="7">
        <f t="shared" si="80"/>
        <v>25</v>
      </c>
      <c r="P1315" s="7">
        <f t="shared" si="81"/>
        <v>10</v>
      </c>
      <c r="Q1315" s="7">
        <f t="shared" si="82"/>
        <v>2026</v>
      </c>
      <c r="R1315" s="6">
        <f t="shared" si="83"/>
        <v>-33333</v>
      </c>
      <c r="S1315" s="19">
        <v>46323</v>
      </c>
    </row>
    <row r="1316" spans="1:19">
      <c r="A1316" s="16">
        <v>46320</v>
      </c>
      <c r="B1316" s="8" t="s">
        <v>7</v>
      </c>
      <c r="C1316" s="8" t="s">
        <v>9</v>
      </c>
      <c r="D1316" s="15"/>
      <c r="E1316" s="15">
        <v>8000</v>
      </c>
      <c r="F1316" s="15"/>
      <c r="G1316" s="8" t="s">
        <v>28</v>
      </c>
      <c r="H1316" s="8"/>
      <c r="I1316" s="13"/>
      <c r="J1316" s="8" t="s">
        <v>27</v>
      </c>
      <c r="K1316" s="8"/>
      <c r="L1316" s="7"/>
      <c r="M1316" s="7" t="str">
        <f>IF(C1316="Caixa","-",VLOOKUP(J1316,[1]Estrutura!C:E,3,FALSE))</f>
        <v>7.3</v>
      </c>
      <c r="N1316" s="7"/>
      <c r="O1316" s="7">
        <f t="shared" si="80"/>
        <v>25</v>
      </c>
      <c r="P1316" s="7">
        <f t="shared" si="81"/>
        <v>10</v>
      </c>
      <c r="Q1316" s="7">
        <f t="shared" si="82"/>
        <v>2026</v>
      </c>
      <c r="R1316" s="6">
        <f t="shared" si="83"/>
        <v>-8000</v>
      </c>
      <c r="S1316" s="16">
        <v>46323</v>
      </c>
    </row>
    <row r="1317" spans="1:19">
      <c r="A1317" s="16">
        <v>46321</v>
      </c>
      <c r="B1317" s="8" t="s">
        <v>26</v>
      </c>
      <c r="C1317" s="8" t="s">
        <v>25</v>
      </c>
      <c r="D1317" s="15">
        <v>1442</v>
      </c>
      <c r="E1317" s="15"/>
      <c r="F1317" s="15" t="s">
        <v>109</v>
      </c>
      <c r="G1317" s="8" t="s">
        <v>108</v>
      </c>
      <c r="H1317" s="14"/>
      <c r="I1317" s="13"/>
      <c r="J1317" s="8" t="s">
        <v>107</v>
      </c>
      <c r="K1317" s="24" t="s">
        <v>21</v>
      </c>
      <c r="L1317" s="8"/>
      <c r="M1317" s="8" t="str">
        <f>IF(C1317="Caixa","-",VLOOKUP(J1317,[1]Estrutura!C:E,3,FALSE))</f>
        <v>1.4</v>
      </c>
      <c r="N1317" s="8"/>
      <c r="O1317" s="7">
        <f t="shared" si="80"/>
        <v>26</v>
      </c>
      <c r="P1317" s="7">
        <f t="shared" si="81"/>
        <v>10</v>
      </c>
      <c r="Q1317" s="7">
        <f t="shared" si="82"/>
        <v>2026</v>
      </c>
      <c r="R1317" s="6">
        <f t="shared" si="83"/>
        <v>1442</v>
      </c>
      <c r="S1317" s="19">
        <v>46324</v>
      </c>
    </row>
    <row r="1318" spans="1:19">
      <c r="A1318" s="16">
        <v>46321</v>
      </c>
      <c r="B1318" s="7" t="s">
        <v>7</v>
      </c>
      <c r="C1318" s="7" t="s">
        <v>9</v>
      </c>
      <c r="D1318" s="15">
        <v>17339.330000000002</v>
      </c>
      <c r="E1318" s="15"/>
      <c r="F1318" s="15"/>
      <c r="G1318" s="8" t="s">
        <v>11</v>
      </c>
      <c r="H1318" s="8"/>
      <c r="I1318" s="17"/>
      <c r="J1318" s="8" t="s">
        <v>10</v>
      </c>
      <c r="K1318" s="8"/>
      <c r="L1318" s="7"/>
      <c r="M1318" s="7" t="str">
        <f>IF(C1318="Caixa","-",VLOOKUP(J1318,[1]Estrutura!C:E,3,FALSE))</f>
        <v>1.1</v>
      </c>
      <c r="N1318" s="7"/>
      <c r="O1318" s="7">
        <f t="shared" si="80"/>
        <v>26</v>
      </c>
      <c r="P1318" s="7">
        <f t="shared" si="81"/>
        <v>10</v>
      </c>
      <c r="Q1318" s="7">
        <f t="shared" si="82"/>
        <v>2026</v>
      </c>
      <c r="R1318" s="6">
        <f t="shared" si="83"/>
        <v>17339.330000000002</v>
      </c>
      <c r="S1318" s="16">
        <v>46324</v>
      </c>
    </row>
    <row r="1319" spans="1:19">
      <c r="A1319" s="16">
        <v>46322</v>
      </c>
      <c r="B1319" s="8" t="s">
        <v>14</v>
      </c>
      <c r="C1319" s="7" t="s">
        <v>9</v>
      </c>
      <c r="D1319" s="32">
        <v>5091.26</v>
      </c>
      <c r="E1319" s="32"/>
      <c r="F1319" s="15"/>
      <c r="G1319" s="8" t="s">
        <v>11</v>
      </c>
      <c r="H1319" s="8"/>
      <c r="I1319" s="17"/>
      <c r="J1319" s="8" t="s">
        <v>10</v>
      </c>
      <c r="K1319" s="24"/>
      <c r="L1319" s="8"/>
      <c r="M1319" s="8" t="str">
        <f>IF(C1319="Caixa","-",VLOOKUP(J1319,[1]Estrutura!C:E,3,FALSE))</f>
        <v>1.1</v>
      </c>
      <c r="N1319" s="8"/>
      <c r="O1319" s="7">
        <f t="shared" si="80"/>
        <v>27</v>
      </c>
      <c r="P1319" s="7">
        <f t="shared" si="81"/>
        <v>10</v>
      </c>
      <c r="Q1319" s="7">
        <f t="shared" si="82"/>
        <v>2026</v>
      </c>
      <c r="R1319" s="6">
        <f t="shared" si="83"/>
        <v>5091.26</v>
      </c>
      <c r="S1319" s="19">
        <v>46325</v>
      </c>
    </row>
    <row r="1320" spans="1:19">
      <c r="A1320" s="12">
        <v>46322</v>
      </c>
      <c r="B1320" s="7" t="s">
        <v>14</v>
      </c>
      <c r="C1320" s="7" t="s">
        <v>9</v>
      </c>
      <c r="D1320" s="11"/>
      <c r="E1320" s="11">
        <v>4496.66</v>
      </c>
      <c r="F1320" s="11" t="s">
        <v>97</v>
      </c>
      <c r="G1320" s="7" t="s">
        <v>312</v>
      </c>
      <c r="H1320" s="10"/>
      <c r="I1320" s="9"/>
      <c r="J1320" s="7" t="s">
        <v>311</v>
      </c>
      <c r="K1320" s="7"/>
      <c r="L1320" s="7"/>
      <c r="M1320" s="7" t="str">
        <f>IF(C1320="Caixa","-",VLOOKUP(J1320,[1]Estrutura!C:E,3,FALSE))</f>
        <v>2.1</v>
      </c>
      <c r="N1320" s="7"/>
      <c r="O1320" s="7">
        <f t="shared" si="80"/>
        <v>27</v>
      </c>
      <c r="P1320" s="7">
        <f t="shared" si="81"/>
        <v>10</v>
      </c>
      <c r="Q1320" s="7">
        <f t="shared" si="82"/>
        <v>2026</v>
      </c>
      <c r="R1320" s="6">
        <f t="shared" si="83"/>
        <v>-4496.66</v>
      </c>
      <c r="S1320" s="16">
        <v>46325</v>
      </c>
    </row>
    <row r="1321" spans="1:19">
      <c r="A1321" s="16">
        <v>46322</v>
      </c>
      <c r="B1321" s="8" t="s">
        <v>14</v>
      </c>
      <c r="C1321" s="8" t="s">
        <v>9</v>
      </c>
      <c r="D1321" s="15"/>
      <c r="E1321" s="15">
        <v>616</v>
      </c>
      <c r="F1321" s="15" t="s">
        <v>73</v>
      </c>
      <c r="G1321" s="8" t="s">
        <v>317</v>
      </c>
      <c r="H1321" s="14"/>
      <c r="I1321" s="13"/>
      <c r="J1321" s="8" t="s">
        <v>77</v>
      </c>
      <c r="K1321" s="8"/>
      <c r="L1321" s="8"/>
      <c r="M1321" s="8" t="str">
        <f>IF(C1321="Caixa","-",VLOOKUP(J1321,[1]Estrutura!C:E,3,FALSE))</f>
        <v>4.3</v>
      </c>
      <c r="N1321" s="8"/>
      <c r="O1321" s="7">
        <f t="shared" si="80"/>
        <v>27</v>
      </c>
      <c r="P1321" s="7">
        <f t="shared" si="81"/>
        <v>10</v>
      </c>
      <c r="Q1321" s="7">
        <f t="shared" si="82"/>
        <v>2026</v>
      </c>
      <c r="R1321" s="6">
        <f t="shared" si="83"/>
        <v>-616</v>
      </c>
      <c r="S1321" s="16">
        <v>46325</v>
      </c>
    </row>
    <row r="1322" spans="1:19">
      <c r="A1322" s="12">
        <v>46322</v>
      </c>
      <c r="B1322" s="7" t="s">
        <v>14</v>
      </c>
      <c r="C1322" s="7" t="s">
        <v>9</v>
      </c>
      <c r="D1322" s="11"/>
      <c r="E1322" s="11">
        <v>729.11</v>
      </c>
      <c r="F1322" s="11" t="s">
        <v>24</v>
      </c>
      <c r="G1322" s="7" t="s">
        <v>127</v>
      </c>
      <c r="H1322" s="10"/>
      <c r="I1322" s="9"/>
      <c r="J1322" s="7" t="s">
        <v>77</v>
      </c>
      <c r="K1322" s="7"/>
      <c r="L1322" s="7"/>
      <c r="M1322" s="7" t="str">
        <f>IF(C1322="Caixa","-",VLOOKUP(J1322,[1]Estrutura!C:E,3,FALSE))</f>
        <v>4.3</v>
      </c>
      <c r="N1322" s="7"/>
      <c r="O1322" s="7">
        <f t="shared" si="80"/>
        <v>27</v>
      </c>
      <c r="P1322" s="7">
        <f t="shared" si="81"/>
        <v>10</v>
      </c>
      <c r="Q1322" s="7">
        <f t="shared" si="82"/>
        <v>2026</v>
      </c>
      <c r="R1322" s="6">
        <f t="shared" si="83"/>
        <v>-729.11</v>
      </c>
      <c r="S1322" s="16">
        <v>46326</v>
      </c>
    </row>
    <row r="1323" spans="1:19">
      <c r="A1323" s="16">
        <v>46322</v>
      </c>
      <c r="B1323" s="8" t="s">
        <v>14</v>
      </c>
      <c r="C1323" s="8" t="s">
        <v>9</v>
      </c>
      <c r="D1323" s="15"/>
      <c r="E1323" s="15">
        <v>86.08</v>
      </c>
      <c r="F1323" s="15" t="s">
        <v>24</v>
      </c>
      <c r="G1323" s="8" t="s">
        <v>316</v>
      </c>
      <c r="H1323" s="14"/>
      <c r="I1323" s="13"/>
      <c r="J1323" s="8" t="s">
        <v>77</v>
      </c>
      <c r="K1323" s="8"/>
      <c r="L1323" s="8"/>
      <c r="M1323" s="8" t="str">
        <f>IF(C1323="Caixa","-",VLOOKUP(J1323,[1]Estrutura!C:E,3,FALSE))</f>
        <v>4.3</v>
      </c>
      <c r="N1323" s="8"/>
      <c r="O1323" s="7">
        <f t="shared" si="80"/>
        <v>27</v>
      </c>
      <c r="P1323" s="7">
        <f t="shared" si="81"/>
        <v>10</v>
      </c>
      <c r="Q1323" s="7">
        <f t="shared" si="82"/>
        <v>2026</v>
      </c>
      <c r="R1323" s="6">
        <f t="shared" si="83"/>
        <v>-86.08</v>
      </c>
      <c r="S1323" s="12">
        <v>46326</v>
      </c>
    </row>
    <row r="1324" spans="1:19">
      <c r="A1324" s="12">
        <v>46322</v>
      </c>
      <c r="B1324" s="7" t="s">
        <v>14</v>
      </c>
      <c r="C1324" s="7" t="s">
        <v>9</v>
      </c>
      <c r="D1324" s="11"/>
      <c r="E1324" s="11">
        <v>5464.35</v>
      </c>
      <c r="F1324" s="11" t="s">
        <v>97</v>
      </c>
      <c r="G1324" s="7" t="s">
        <v>310</v>
      </c>
      <c r="H1324" s="10"/>
      <c r="I1324" s="9"/>
      <c r="J1324" s="7" t="s">
        <v>309</v>
      </c>
      <c r="K1324" s="7"/>
      <c r="L1324" s="7"/>
      <c r="M1324" s="7" t="str">
        <f>IF(C1324="Caixa","-",VLOOKUP(J1324,[1]Estrutura!C:E,3,FALSE))</f>
        <v>2.1</v>
      </c>
      <c r="N1324" s="7"/>
      <c r="O1324" s="7">
        <f t="shared" si="80"/>
        <v>27</v>
      </c>
      <c r="P1324" s="7">
        <f t="shared" si="81"/>
        <v>10</v>
      </c>
      <c r="Q1324" s="7">
        <f t="shared" si="82"/>
        <v>2026</v>
      </c>
      <c r="R1324" s="6">
        <f t="shared" si="83"/>
        <v>-5464.35</v>
      </c>
      <c r="S1324" s="16">
        <v>46326</v>
      </c>
    </row>
    <row r="1325" spans="1:19">
      <c r="A1325" s="16">
        <v>46322</v>
      </c>
      <c r="B1325" s="8" t="s">
        <v>14</v>
      </c>
      <c r="C1325" s="8" t="s">
        <v>9</v>
      </c>
      <c r="D1325" s="15"/>
      <c r="E1325" s="15">
        <v>1030.9000000000001</v>
      </c>
      <c r="F1325" s="15" t="s">
        <v>166</v>
      </c>
      <c r="G1325" s="8" t="s">
        <v>315</v>
      </c>
      <c r="H1325" s="14">
        <v>15097338</v>
      </c>
      <c r="I1325" s="13"/>
      <c r="J1325" s="8" t="s">
        <v>64</v>
      </c>
      <c r="K1325" s="8"/>
      <c r="L1325" s="8"/>
      <c r="M1325" s="8" t="str">
        <f>IF(C1325="Caixa","-",VLOOKUP(J1325,[1]Estrutura!C:E,3,FALSE))</f>
        <v>4.4</v>
      </c>
      <c r="N1325" s="8"/>
      <c r="O1325" s="7">
        <f t="shared" si="80"/>
        <v>27</v>
      </c>
      <c r="P1325" s="7">
        <f t="shared" si="81"/>
        <v>10</v>
      </c>
      <c r="Q1325" s="7">
        <f t="shared" si="82"/>
        <v>2026</v>
      </c>
      <c r="R1325" s="6">
        <f t="shared" si="83"/>
        <v>-1030.9000000000001</v>
      </c>
      <c r="S1325" s="16">
        <v>46326</v>
      </c>
    </row>
    <row r="1326" spans="1:19">
      <c r="A1326" s="12">
        <v>46322</v>
      </c>
      <c r="B1326" s="7" t="s">
        <v>14</v>
      </c>
      <c r="C1326" s="7" t="s">
        <v>9</v>
      </c>
      <c r="D1326" s="11"/>
      <c r="E1326" s="11">
        <v>737.6</v>
      </c>
      <c r="F1326" s="11" t="s">
        <v>314</v>
      </c>
      <c r="G1326" s="7" t="s">
        <v>313</v>
      </c>
      <c r="H1326" s="10">
        <v>12979</v>
      </c>
      <c r="I1326" s="9"/>
      <c r="J1326" s="7" t="s">
        <v>64</v>
      </c>
      <c r="K1326" s="7"/>
      <c r="L1326" s="7"/>
      <c r="M1326" s="7" t="str">
        <f>IF(C1326="Caixa","-",VLOOKUP(J1326,[1]Estrutura!C:E,3,FALSE))</f>
        <v>4.4</v>
      </c>
      <c r="N1326" s="7"/>
      <c r="O1326" s="7">
        <f t="shared" si="80"/>
        <v>27</v>
      </c>
      <c r="P1326" s="7">
        <f t="shared" si="81"/>
        <v>10</v>
      </c>
      <c r="Q1326" s="7">
        <f t="shared" si="82"/>
        <v>2026</v>
      </c>
      <c r="R1326" s="6">
        <f t="shared" si="83"/>
        <v>-737.6</v>
      </c>
      <c r="S1326" s="16">
        <v>46326</v>
      </c>
    </row>
    <row r="1327" spans="1:19">
      <c r="A1327" s="16">
        <v>46322</v>
      </c>
      <c r="B1327" s="7" t="s">
        <v>7</v>
      </c>
      <c r="C1327" s="7" t="s">
        <v>9</v>
      </c>
      <c r="D1327" s="15">
        <v>10172.130000000001</v>
      </c>
      <c r="E1327" s="15"/>
      <c r="F1327" s="15"/>
      <c r="G1327" s="8" t="s">
        <v>11</v>
      </c>
      <c r="H1327" s="8"/>
      <c r="I1327" s="17"/>
      <c r="J1327" s="8" t="s">
        <v>10</v>
      </c>
      <c r="K1327" s="8"/>
      <c r="L1327" s="8"/>
      <c r="M1327" s="8" t="str">
        <f>IF(C1327="Caixa","-",VLOOKUP(J1327,[1]Estrutura!C:E,3,FALSE))</f>
        <v>1.1</v>
      </c>
      <c r="N1327" s="8"/>
      <c r="O1327" s="7">
        <f t="shared" si="80"/>
        <v>27</v>
      </c>
      <c r="P1327" s="7">
        <f t="shared" si="81"/>
        <v>10</v>
      </c>
      <c r="Q1327" s="7">
        <f t="shared" si="82"/>
        <v>2026</v>
      </c>
      <c r="R1327" s="6">
        <f t="shared" si="83"/>
        <v>10172.130000000001</v>
      </c>
      <c r="S1327" s="16">
        <v>46328</v>
      </c>
    </row>
    <row r="1328" spans="1:19">
      <c r="A1328" s="16">
        <v>46322</v>
      </c>
      <c r="B1328" s="8" t="s">
        <v>7</v>
      </c>
      <c r="C1328" s="8" t="s">
        <v>9</v>
      </c>
      <c r="D1328" s="15"/>
      <c r="E1328" s="15">
        <v>8458.77</v>
      </c>
      <c r="F1328" s="15" t="s">
        <v>97</v>
      </c>
      <c r="G1328" s="8" t="s">
        <v>312</v>
      </c>
      <c r="H1328" s="14"/>
      <c r="I1328" s="13"/>
      <c r="J1328" s="8" t="s">
        <v>311</v>
      </c>
      <c r="K1328" s="8"/>
      <c r="L1328" s="7"/>
      <c r="M1328" s="7" t="str">
        <f>IF(C1328="Caixa","-",VLOOKUP(J1328,[1]Estrutura!C:E,3,FALSE))</f>
        <v>2.1</v>
      </c>
      <c r="N1328" s="7"/>
      <c r="O1328" s="7">
        <f t="shared" si="80"/>
        <v>27</v>
      </c>
      <c r="P1328" s="7">
        <f t="shared" si="81"/>
        <v>10</v>
      </c>
      <c r="Q1328" s="7">
        <f t="shared" si="82"/>
        <v>2026</v>
      </c>
      <c r="R1328" s="6">
        <f t="shared" si="83"/>
        <v>-8458.77</v>
      </c>
      <c r="S1328" s="16">
        <v>46328</v>
      </c>
    </row>
    <row r="1329" spans="1:19">
      <c r="A1329" s="16">
        <v>46322</v>
      </c>
      <c r="B1329" s="8" t="s">
        <v>7</v>
      </c>
      <c r="C1329" s="8" t="s">
        <v>9</v>
      </c>
      <c r="D1329" s="15"/>
      <c r="E1329" s="15">
        <v>0</v>
      </c>
      <c r="F1329" s="15" t="s">
        <v>97</v>
      </c>
      <c r="G1329" s="8" t="s">
        <v>310</v>
      </c>
      <c r="H1329" s="14"/>
      <c r="I1329" s="13"/>
      <c r="J1329" s="8" t="s">
        <v>309</v>
      </c>
      <c r="K1329" s="8"/>
      <c r="L1329" s="8"/>
      <c r="M1329" s="8" t="str">
        <f>IF(C1329="Caixa","-",VLOOKUP(J1329,[1]Estrutura!C:E,3,FALSE))</f>
        <v>2.1</v>
      </c>
      <c r="N1329" s="8"/>
      <c r="O1329" s="7">
        <f t="shared" si="80"/>
        <v>27</v>
      </c>
      <c r="P1329" s="7">
        <f t="shared" si="81"/>
        <v>10</v>
      </c>
      <c r="Q1329" s="7">
        <f t="shared" si="82"/>
        <v>2026</v>
      </c>
      <c r="R1329" s="6">
        <f t="shared" si="83"/>
        <v>0</v>
      </c>
      <c r="S1329" s="16">
        <v>46329</v>
      </c>
    </row>
    <row r="1330" spans="1:19">
      <c r="A1330" s="12">
        <v>46322</v>
      </c>
      <c r="B1330" s="7" t="s">
        <v>7</v>
      </c>
      <c r="C1330" s="7" t="s">
        <v>9</v>
      </c>
      <c r="D1330" s="11"/>
      <c r="E1330" s="11">
        <v>207.6</v>
      </c>
      <c r="F1330" s="11" t="s">
        <v>66</v>
      </c>
      <c r="G1330" s="7" t="s">
        <v>308</v>
      </c>
      <c r="H1330" s="10">
        <v>22843</v>
      </c>
      <c r="I1330" s="9"/>
      <c r="J1330" s="7" t="s">
        <v>64</v>
      </c>
      <c r="K1330" s="7"/>
      <c r="L1330" s="7"/>
      <c r="M1330" s="7" t="str">
        <f>IF(C1330="Caixa","-",VLOOKUP(J1330,[1]Estrutura!C:E,3,FALSE))</f>
        <v>4.4</v>
      </c>
      <c r="N1330" s="7"/>
      <c r="O1330" s="7">
        <f t="shared" si="80"/>
        <v>27</v>
      </c>
      <c r="P1330" s="7">
        <f t="shared" si="81"/>
        <v>10</v>
      </c>
      <c r="Q1330" s="7">
        <f t="shared" si="82"/>
        <v>2026</v>
      </c>
      <c r="R1330" s="6">
        <f t="shared" si="83"/>
        <v>-207.6</v>
      </c>
      <c r="S1330" s="12">
        <v>46329</v>
      </c>
    </row>
    <row r="1331" spans="1:19">
      <c r="A1331" s="16">
        <v>46323</v>
      </c>
      <c r="B1331" s="8" t="s">
        <v>14</v>
      </c>
      <c r="C1331" s="7" t="s">
        <v>9</v>
      </c>
      <c r="D1331" s="15">
        <v>2854.33</v>
      </c>
      <c r="E1331" s="15"/>
      <c r="F1331" s="15"/>
      <c r="G1331" s="8" t="s">
        <v>11</v>
      </c>
      <c r="H1331" s="8"/>
      <c r="I1331" s="17"/>
      <c r="J1331" s="8" t="s">
        <v>10</v>
      </c>
      <c r="K1331" s="8"/>
      <c r="L1331" s="8"/>
      <c r="M1331" s="8" t="str">
        <f>IF(C1331="Caixa","-",VLOOKUP(J1331,[1]Estrutura!C:E,3,FALSE))</f>
        <v>1.1</v>
      </c>
      <c r="N1331" s="8"/>
      <c r="O1331" s="7">
        <f t="shared" si="80"/>
        <v>28</v>
      </c>
      <c r="P1331" s="7">
        <f t="shared" si="81"/>
        <v>10</v>
      </c>
      <c r="Q1331" s="7">
        <f t="shared" si="82"/>
        <v>2026</v>
      </c>
      <c r="R1331" s="6">
        <f t="shared" si="83"/>
        <v>2854.33</v>
      </c>
      <c r="S1331" s="16">
        <v>46329</v>
      </c>
    </row>
    <row r="1332" spans="1:19">
      <c r="A1332" s="12">
        <v>46323</v>
      </c>
      <c r="B1332" s="7" t="s">
        <v>14</v>
      </c>
      <c r="C1332" s="7" t="s">
        <v>25</v>
      </c>
      <c r="D1332" s="11"/>
      <c r="E1332" s="11">
        <v>2034.94</v>
      </c>
      <c r="F1332" s="11" t="s">
        <v>157</v>
      </c>
      <c r="G1332" s="7" t="s">
        <v>307</v>
      </c>
      <c r="H1332" s="10">
        <v>4159</v>
      </c>
      <c r="I1332" s="9"/>
      <c r="J1332" s="7" t="s">
        <v>17</v>
      </c>
      <c r="K1332" s="7"/>
      <c r="L1332" s="7"/>
      <c r="M1332" s="7" t="str">
        <f>IF(C1332="Caixa","-",VLOOKUP(J1332,[1]Estrutura!C:E,3,FALSE))</f>
        <v>4.4</v>
      </c>
      <c r="N1332" s="7"/>
      <c r="O1332" s="7">
        <f t="shared" si="80"/>
        <v>28</v>
      </c>
      <c r="P1332" s="7">
        <f t="shared" si="81"/>
        <v>10</v>
      </c>
      <c r="Q1332" s="7">
        <f t="shared" si="82"/>
        <v>2026</v>
      </c>
      <c r="R1332" s="6">
        <f t="shared" si="83"/>
        <v>-2034.94</v>
      </c>
      <c r="S1332" s="12">
        <v>46329</v>
      </c>
    </row>
    <row r="1333" spans="1:19">
      <c r="A1333" s="19">
        <v>46323</v>
      </c>
      <c r="B1333" s="7" t="s">
        <v>7</v>
      </c>
      <c r="C1333" s="7" t="s">
        <v>9</v>
      </c>
      <c r="D1333" s="15">
        <v>9951.630000000001</v>
      </c>
      <c r="E1333" s="15"/>
      <c r="F1333" s="15"/>
      <c r="G1333" s="8" t="s">
        <v>11</v>
      </c>
      <c r="H1333" s="8"/>
      <c r="I1333" s="17"/>
      <c r="J1333" s="8" t="s">
        <v>10</v>
      </c>
      <c r="K1333" s="8"/>
      <c r="L1333" s="8"/>
      <c r="M1333" s="8" t="str">
        <f>IF(C1333="Caixa","-",VLOOKUP(J1333,[1]Estrutura!C:E,3,FALSE))</f>
        <v>1.1</v>
      </c>
      <c r="N1333" s="8"/>
      <c r="O1333" s="7">
        <f t="shared" si="80"/>
        <v>28</v>
      </c>
      <c r="P1333" s="7">
        <f t="shared" si="81"/>
        <v>10</v>
      </c>
      <c r="Q1333" s="7">
        <f t="shared" si="82"/>
        <v>2026</v>
      </c>
      <c r="R1333" s="6">
        <f t="shared" si="83"/>
        <v>9951.630000000001</v>
      </c>
      <c r="S1333" s="16">
        <v>46329</v>
      </c>
    </row>
    <row r="1334" spans="1:19">
      <c r="A1334" s="16">
        <v>46323</v>
      </c>
      <c r="B1334" s="8" t="s">
        <v>7</v>
      </c>
      <c r="C1334" s="8" t="s">
        <v>9</v>
      </c>
      <c r="D1334" s="15"/>
      <c r="E1334" s="11">
        <v>47373.33</v>
      </c>
      <c r="F1334" s="15"/>
      <c r="G1334" s="7" t="s">
        <v>20</v>
      </c>
      <c r="H1334" s="10"/>
      <c r="I1334" s="9"/>
      <c r="J1334" s="7" t="s">
        <v>19</v>
      </c>
      <c r="K1334" s="8"/>
      <c r="L1334" s="7"/>
      <c r="M1334" s="7" t="str">
        <f>IF(C1334="Caixa","-",VLOOKUP(J1334,[1]Estrutura!C:E,3,FALSE))</f>
        <v>8.7</v>
      </c>
      <c r="N1334" s="7"/>
      <c r="O1334" s="7">
        <f t="shared" si="80"/>
        <v>28</v>
      </c>
      <c r="P1334" s="7">
        <f t="shared" si="81"/>
        <v>10</v>
      </c>
      <c r="Q1334" s="7">
        <f t="shared" si="82"/>
        <v>2026</v>
      </c>
      <c r="R1334" s="6">
        <f t="shared" si="83"/>
        <v>-47373.33</v>
      </c>
      <c r="S1334" s="16">
        <v>46329</v>
      </c>
    </row>
    <row r="1335" spans="1:19">
      <c r="A1335" s="19">
        <v>46324</v>
      </c>
      <c r="B1335" s="8" t="s">
        <v>14</v>
      </c>
      <c r="C1335" s="7" t="s">
        <v>9</v>
      </c>
      <c r="D1335" s="15">
        <v>3050.8199999999997</v>
      </c>
      <c r="E1335" s="15"/>
      <c r="F1335" s="15"/>
      <c r="G1335" s="8" t="s">
        <v>11</v>
      </c>
      <c r="H1335" s="8"/>
      <c r="I1335" s="17"/>
      <c r="J1335" s="8" t="s">
        <v>10</v>
      </c>
      <c r="K1335" s="8"/>
      <c r="L1335" s="8"/>
      <c r="M1335" s="8" t="str">
        <f>IF(C1335="Caixa","-",VLOOKUP(J1335,[1]Estrutura!C:E,3,FALSE))</f>
        <v>1.1</v>
      </c>
      <c r="N1335" s="8"/>
      <c r="O1335" s="7">
        <f t="shared" si="80"/>
        <v>29</v>
      </c>
      <c r="P1335" s="7">
        <f t="shared" si="81"/>
        <v>10</v>
      </c>
      <c r="Q1335" s="7">
        <f t="shared" si="82"/>
        <v>2026</v>
      </c>
      <c r="R1335" s="6">
        <f t="shared" si="83"/>
        <v>3050.8199999999997</v>
      </c>
      <c r="S1335" s="12">
        <v>46329</v>
      </c>
    </row>
    <row r="1336" spans="1:19">
      <c r="A1336" s="12">
        <v>46324</v>
      </c>
      <c r="B1336" s="8" t="s">
        <v>14</v>
      </c>
      <c r="C1336" s="8" t="s">
        <v>9</v>
      </c>
      <c r="D1336" s="15"/>
      <c r="E1336" s="15">
        <v>3666.6666666666665</v>
      </c>
      <c r="F1336" s="11"/>
      <c r="G1336" s="8" t="s">
        <v>306</v>
      </c>
      <c r="H1336" s="14"/>
      <c r="I1336" s="13"/>
      <c r="J1336" s="8" t="s">
        <v>305</v>
      </c>
      <c r="K1336" s="7"/>
      <c r="L1336" s="7"/>
      <c r="M1336" s="7" t="str">
        <f>IF(C1336="Caixa","-",VLOOKUP(J1336,[1]Estrutura!C:E,3,FALSE))</f>
        <v>7.3</v>
      </c>
      <c r="N1336" s="7"/>
      <c r="O1336" s="7">
        <f t="shared" si="80"/>
        <v>29</v>
      </c>
      <c r="P1336" s="7">
        <f t="shared" si="81"/>
        <v>10</v>
      </c>
      <c r="Q1336" s="7">
        <f t="shared" si="82"/>
        <v>2026</v>
      </c>
      <c r="R1336" s="6">
        <f t="shared" si="83"/>
        <v>-3666.6666666666665</v>
      </c>
      <c r="S1336" s="16">
        <v>46329</v>
      </c>
    </row>
    <row r="1337" spans="1:19">
      <c r="A1337" s="12">
        <v>46324</v>
      </c>
      <c r="B1337" s="8" t="s">
        <v>14</v>
      </c>
      <c r="C1337" s="8" t="s">
        <v>9</v>
      </c>
      <c r="D1337" s="15"/>
      <c r="E1337" s="15">
        <v>1800</v>
      </c>
      <c r="F1337" s="15"/>
      <c r="G1337" s="8" t="s">
        <v>18</v>
      </c>
      <c r="H1337" s="14"/>
      <c r="I1337" s="13"/>
      <c r="J1337" s="8" t="s">
        <v>17</v>
      </c>
      <c r="K1337" s="8"/>
      <c r="L1337" s="8"/>
      <c r="M1337" s="8" t="str">
        <f>IF(C1337="Caixa","-",VLOOKUP(J1337,[1]Estrutura!C:E,3,FALSE))</f>
        <v>4.4</v>
      </c>
      <c r="N1337" s="8"/>
      <c r="O1337" s="7">
        <f t="shared" si="80"/>
        <v>29</v>
      </c>
      <c r="P1337" s="7">
        <f t="shared" si="81"/>
        <v>10</v>
      </c>
      <c r="Q1337" s="7">
        <f t="shared" si="82"/>
        <v>2026</v>
      </c>
      <c r="R1337" s="6">
        <f t="shared" si="83"/>
        <v>-1800</v>
      </c>
      <c r="S1337" s="12">
        <v>46329</v>
      </c>
    </row>
    <row r="1338" spans="1:19">
      <c r="A1338" s="16">
        <v>46324</v>
      </c>
      <c r="B1338" s="7" t="s">
        <v>7</v>
      </c>
      <c r="C1338" s="7" t="s">
        <v>9</v>
      </c>
      <c r="D1338" s="15">
        <v>6304.1100000000006</v>
      </c>
      <c r="E1338" s="15"/>
      <c r="F1338" s="15"/>
      <c r="G1338" s="8" t="s">
        <v>11</v>
      </c>
      <c r="H1338" s="8"/>
      <c r="I1338" s="17"/>
      <c r="J1338" s="8" t="s">
        <v>10</v>
      </c>
      <c r="K1338" s="8"/>
      <c r="L1338" s="7"/>
      <c r="M1338" s="7" t="str">
        <f>IF(C1338="Caixa","-",VLOOKUP(J1338,[1]Estrutura!C:E,3,FALSE))</f>
        <v>1.1</v>
      </c>
      <c r="N1338" s="7"/>
      <c r="O1338" s="7">
        <f t="shared" si="80"/>
        <v>29</v>
      </c>
      <c r="P1338" s="7">
        <f t="shared" si="81"/>
        <v>10</v>
      </c>
      <c r="Q1338" s="7">
        <f t="shared" si="82"/>
        <v>2026</v>
      </c>
      <c r="R1338" s="6">
        <f t="shared" si="83"/>
        <v>6304.1100000000006</v>
      </c>
      <c r="S1338" s="16">
        <v>46329</v>
      </c>
    </row>
    <row r="1339" spans="1:19">
      <c r="A1339" s="19">
        <v>46325</v>
      </c>
      <c r="B1339" s="8" t="s">
        <v>14</v>
      </c>
      <c r="C1339" s="7" t="s">
        <v>9</v>
      </c>
      <c r="D1339" s="32">
        <v>3871.65</v>
      </c>
      <c r="E1339" s="32"/>
      <c r="F1339" s="32"/>
      <c r="G1339" s="8" t="s">
        <v>11</v>
      </c>
      <c r="H1339" s="8"/>
      <c r="I1339" s="17"/>
      <c r="J1339" s="8" t="s">
        <v>10</v>
      </c>
      <c r="K1339" s="24"/>
      <c r="L1339" s="8"/>
      <c r="M1339" s="8" t="str">
        <f>IF(C1339="Caixa","-",VLOOKUP(J1339,[1]Estrutura!C:E,3,FALSE))</f>
        <v>1.1</v>
      </c>
      <c r="N1339" s="8"/>
      <c r="O1339" s="7">
        <f t="shared" si="80"/>
        <v>30</v>
      </c>
      <c r="P1339" s="7">
        <f t="shared" si="81"/>
        <v>10</v>
      </c>
      <c r="Q1339" s="7">
        <f t="shared" si="82"/>
        <v>2026</v>
      </c>
      <c r="R1339" s="6">
        <f t="shared" si="83"/>
        <v>3871.65</v>
      </c>
      <c r="S1339" s="12">
        <v>46329</v>
      </c>
    </row>
    <row r="1340" spans="1:19">
      <c r="A1340" s="16">
        <v>46325</v>
      </c>
      <c r="B1340" s="7" t="s">
        <v>14</v>
      </c>
      <c r="C1340" s="8" t="s">
        <v>6</v>
      </c>
      <c r="D1340" s="15"/>
      <c r="E1340" s="15">
        <v>2666.6666666666665</v>
      </c>
      <c r="F1340" s="15" t="s">
        <v>49</v>
      </c>
      <c r="G1340" s="8" t="s">
        <v>304</v>
      </c>
      <c r="H1340" s="15"/>
      <c r="I1340" s="13"/>
      <c r="J1340" s="8" t="s">
        <v>115</v>
      </c>
      <c r="K1340" s="8"/>
      <c r="L1340" s="7"/>
      <c r="M1340" s="7" t="str">
        <f>IF(C1340="Caixa","-",VLOOKUP(J1340,[1]Estrutura!C:E,3,FALSE))</f>
        <v>4.1</v>
      </c>
      <c r="N1340" s="7"/>
      <c r="O1340" s="7">
        <f t="shared" si="80"/>
        <v>30</v>
      </c>
      <c r="P1340" s="7">
        <f t="shared" si="81"/>
        <v>10</v>
      </c>
      <c r="Q1340" s="7">
        <f t="shared" si="82"/>
        <v>2026</v>
      </c>
      <c r="R1340" s="6">
        <f t="shared" si="83"/>
        <v>-2666.6666666666665</v>
      </c>
      <c r="S1340" s="16">
        <v>46329</v>
      </c>
    </row>
    <row r="1341" spans="1:19">
      <c r="A1341" s="16">
        <v>46325</v>
      </c>
      <c r="B1341" s="7" t="s">
        <v>7</v>
      </c>
      <c r="C1341" s="7" t="s">
        <v>9</v>
      </c>
      <c r="D1341" s="15">
        <v>7741.7099999999991</v>
      </c>
      <c r="E1341" s="15"/>
      <c r="F1341" s="15"/>
      <c r="G1341" s="8" t="s">
        <v>11</v>
      </c>
      <c r="H1341" s="8"/>
      <c r="I1341" s="17"/>
      <c r="J1341" s="8" t="s">
        <v>10</v>
      </c>
      <c r="K1341" s="8"/>
      <c r="L1341" s="8"/>
      <c r="M1341" s="8" t="str">
        <f>IF(C1341="Caixa","-",VLOOKUP(J1341,[1]Estrutura!C:E,3,FALSE))</f>
        <v>1.1</v>
      </c>
      <c r="N1341" s="8"/>
      <c r="O1341" s="7">
        <f t="shared" si="80"/>
        <v>30</v>
      </c>
      <c r="P1341" s="7">
        <f t="shared" si="81"/>
        <v>10</v>
      </c>
      <c r="Q1341" s="7">
        <f t="shared" si="82"/>
        <v>2026</v>
      </c>
      <c r="R1341" s="6">
        <f t="shared" si="83"/>
        <v>7741.7099999999991</v>
      </c>
      <c r="S1341" s="12">
        <v>46329</v>
      </c>
    </row>
    <row r="1342" spans="1:19">
      <c r="A1342" s="16">
        <v>46326</v>
      </c>
      <c r="B1342" s="8" t="s">
        <v>26</v>
      </c>
      <c r="C1342" s="8" t="s">
        <v>2</v>
      </c>
      <c r="D1342" s="15">
        <v>1435.359999999986</v>
      </c>
      <c r="E1342" s="15"/>
      <c r="F1342" s="15"/>
      <c r="G1342" s="8" t="s">
        <v>1</v>
      </c>
      <c r="H1342" s="14"/>
      <c r="I1342" s="13"/>
      <c r="J1342" s="8" t="s">
        <v>0</v>
      </c>
      <c r="K1342" s="8" t="s">
        <v>21</v>
      </c>
      <c r="L1342" s="7"/>
      <c r="M1342" s="7" t="str">
        <f>IF(C1342="Caixa","-",VLOOKUP(J1342,[1]Estrutura!C:E,3,FALSE))</f>
        <v>5.1</v>
      </c>
      <c r="N1342" s="7"/>
      <c r="O1342" s="7">
        <f t="shared" si="80"/>
        <v>31</v>
      </c>
      <c r="P1342" s="7">
        <f t="shared" si="81"/>
        <v>10</v>
      </c>
      <c r="Q1342" s="7">
        <f t="shared" si="82"/>
        <v>2026</v>
      </c>
      <c r="R1342" s="6">
        <f t="shared" si="83"/>
        <v>1435.359999999986</v>
      </c>
      <c r="S1342" s="16">
        <v>46329</v>
      </c>
    </row>
    <row r="1343" spans="1:19">
      <c r="A1343" s="12">
        <v>46326</v>
      </c>
      <c r="B1343" s="7" t="s">
        <v>26</v>
      </c>
      <c r="C1343" s="7" t="s">
        <v>2</v>
      </c>
      <c r="D1343" s="11"/>
      <c r="E1343" s="11">
        <v>3147.0200000000186</v>
      </c>
      <c r="F1343" s="11"/>
      <c r="G1343" s="7" t="s">
        <v>1</v>
      </c>
      <c r="H1343" s="10"/>
      <c r="I1343" s="9"/>
      <c r="J1343" s="7" t="s">
        <v>0</v>
      </c>
      <c r="K1343" s="7" t="s">
        <v>21</v>
      </c>
      <c r="L1343" s="8"/>
      <c r="M1343" s="8" t="str">
        <f>IF(C1343="Caixa","-",VLOOKUP(J1343,[1]Estrutura!C:E,3,FALSE))</f>
        <v>5.1</v>
      </c>
      <c r="N1343" s="8"/>
      <c r="O1343" s="7">
        <f t="shared" si="80"/>
        <v>31</v>
      </c>
      <c r="P1343" s="7">
        <f t="shared" si="81"/>
        <v>10</v>
      </c>
      <c r="Q1343" s="7">
        <f t="shared" si="82"/>
        <v>2026</v>
      </c>
      <c r="R1343" s="6">
        <f t="shared" si="83"/>
        <v>-3147.0200000000186</v>
      </c>
      <c r="S1343" s="12">
        <v>46329</v>
      </c>
    </row>
    <row r="1344" spans="1:19">
      <c r="A1344" s="16">
        <v>46326</v>
      </c>
      <c r="B1344" s="8" t="s">
        <v>7</v>
      </c>
      <c r="C1344" s="8" t="s">
        <v>2</v>
      </c>
      <c r="D1344" s="15">
        <v>15892.369999998249</v>
      </c>
      <c r="E1344" s="15"/>
      <c r="F1344" s="15"/>
      <c r="G1344" s="8" t="s">
        <v>1</v>
      </c>
      <c r="H1344" s="14"/>
      <c r="I1344" s="13"/>
      <c r="J1344" s="8" t="s">
        <v>0</v>
      </c>
      <c r="K1344" s="8"/>
      <c r="L1344" s="7"/>
      <c r="M1344" s="7" t="str">
        <f>IF(C1344="Caixa","-",VLOOKUP(J1344,[1]Estrutura!C:E,3,FALSE))</f>
        <v>5.1</v>
      </c>
      <c r="N1344" s="7"/>
      <c r="O1344" s="7">
        <f t="shared" si="80"/>
        <v>31</v>
      </c>
      <c r="P1344" s="7">
        <f t="shared" si="81"/>
        <v>10</v>
      </c>
      <c r="Q1344" s="7">
        <f t="shared" si="82"/>
        <v>2026</v>
      </c>
      <c r="R1344" s="6">
        <f t="shared" si="83"/>
        <v>15892.369999998249</v>
      </c>
      <c r="S1344" s="12">
        <v>46329</v>
      </c>
    </row>
    <row r="1345" spans="1:19">
      <c r="A1345" s="16">
        <v>46326</v>
      </c>
      <c r="B1345" s="7" t="s">
        <v>7</v>
      </c>
      <c r="C1345" s="7" t="s">
        <v>6</v>
      </c>
      <c r="D1345" s="11"/>
      <c r="E1345" s="11">
        <v>512.15</v>
      </c>
      <c r="F1345" s="11"/>
      <c r="G1345" s="7" t="s">
        <v>5</v>
      </c>
      <c r="H1345" s="10"/>
      <c r="I1345" s="9"/>
      <c r="J1345" s="7" t="s">
        <v>4</v>
      </c>
      <c r="K1345" s="8"/>
      <c r="L1345" s="8"/>
      <c r="M1345" s="8" t="str">
        <f>IF(C1345="Caixa","-",VLOOKUP(J1345,[1]Estrutura!C:E,3,FALSE))</f>
        <v>5.2</v>
      </c>
      <c r="N1345" s="8"/>
      <c r="O1345" s="7">
        <f t="shared" si="80"/>
        <v>31</v>
      </c>
      <c r="P1345" s="7">
        <f t="shared" si="81"/>
        <v>10</v>
      </c>
      <c r="Q1345" s="7">
        <f t="shared" si="82"/>
        <v>2026</v>
      </c>
      <c r="R1345" s="6">
        <f t="shared" si="83"/>
        <v>-512.15</v>
      </c>
      <c r="S1345" s="16">
        <v>46329</v>
      </c>
    </row>
    <row r="1346" spans="1:19">
      <c r="A1346" s="16">
        <v>46326</v>
      </c>
      <c r="B1346" s="8" t="s">
        <v>7</v>
      </c>
      <c r="C1346" s="8" t="s">
        <v>6</v>
      </c>
      <c r="D1346" s="15"/>
      <c r="E1346" s="15">
        <v>486.42</v>
      </c>
      <c r="F1346" s="15"/>
      <c r="G1346" s="8" t="s">
        <v>5</v>
      </c>
      <c r="H1346" s="14"/>
      <c r="I1346" s="13"/>
      <c r="J1346" s="8" t="s">
        <v>4</v>
      </c>
      <c r="K1346" s="8"/>
      <c r="L1346" s="7"/>
      <c r="M1346" s="7" t="str">
        <f>IF(C1346="Caixa","-",VLOOKUP(J1346,[1]Estrutura!C:E,3,FALSE))</f>
        <v>5.2</v>
      </c>
      <c r="N1346" s="7"/>
      <c r="O1346" s="7">
        <f t="shared" si="80"/>
        <v>31</v>
      </c>
      <c r="P1346" s="7">
        <f t="shared" si="81"/>
        <v>10</v>
      </c>
      <c r="Q1346" s="7">
        <f t="shared" si="82"/>
        <v>2026</v>
      </c>
      <c r="R1346" s="6">
        <f t="shared" si="83"/>
        <v>-486.42</v>
      </c>
      <c r="S1346" s="12">
        <v>46329</v>
      </c>
    </row>
    <row r="1347" spans="1:19">
      <c r="A1347" s="16">
        <v>46328</v>
      </c>
      <c r="B1347" s="8" t="s">
        <v>14</v>
      </c>
      <c r="C1347" s="7" t="s">
        <v>9</v>
      </c>
      <c r="D1347" s="15">
        <v>3450</v>
      </c>
      <c r="E1347" s="15"/>
      <c r="F1347" s="15"/>
      <c r="G1347" s="8" t="s">
        <v>11</v>
      </c>
      <c r="H1347" s="8"/>
      <c r="I1347" s="17"/>
      <c r="J1347" s="8" t="s">
        <v>10</v>
      </c>
      <c r="K1347" s="8"/>
      <c r="L1347" s="8"/>
      <c r="M1347" s="8" t="str">
        <f>IF(C1347="Caixa","-",VLOOKUP(J1347,[1]Estrutura!C:E,3,FALSE))</f>
        <v>1.1</v>
      </c>
      <c r="N1347" s="8"/>
      <c r="O1347" s="7">
        <f t="shared" si="80"/>
        <v>2</v>
      </c>
      <c r="P1347" s="7">
        <f t="shared" si="81"/>
        <v>11</v>
      </c>
      <c r="Q1347" s="7">
        <f t="shared" si="82"/>
        <v>2026</v>
      </c>
      <c r="R1347" s="6">
        <f t="shared" si="83"/>
        <v>3450</v>
      </c>
      <c r="S1347" s="16">
        <v>46329</v>
      </c>
    </row>
    <row r="1348" spans="1:19">
      <c r="A1348" s="16">
        <v>46328</v>
      </c>
      <c r="B1348" s="7" t="s">
        <v>7</v>
      </c>
      <c r="C1348" s="7" t="s">
        <v>9</v>
      </c>
      <c r="D1348" s="15">
        <v>1194.29</v>
      </c>
      <c r="E1348" s="15"/>
      <c r="F1348" s="15"/>
      <c r="G1348" s="8" t="s">
        <v>11</v>
      </c>
      <c r="H1348" s="8"/>
      <c r="I1348" s="17"/>
      <c r="J1348" s="8" t="s">
        <v>10</v>
      </c>
      <c r="K1348" s="8"/>
      <c r="L1348" s="7"/>
      <c r="M1348" s="7" t="str">
        <f>IF(C1348="Caixa","-",VLOOKUP(J1348,[1]Estrutura!C:E,3,FALSE))</f>
        <v>1.1</v>
      </c>
      <c r="N1348" s="7"/>
      <c r="O1348" s="7">
        <f t="shared" si="80"/>
        <v>2</v>
      </c>
      <c r="P1348" s="7">
        <f t="shared" si="81"/>
        <v>11</v>
      </c>
      <c r="Q1348" s="7">
        <f t="shared" si="82"/>
        <v>2026</v>
      </c>
      <c r="R1348" s="6">
        <f t="shared" si="83"/>
        <v>1194.29</v>
      </c>
      <c r="S1348" s="12">
        <v>46329</v>
      </c>
    </row>
    <row r="1349" spans="1:19">
      <c r="A1349" s="16">
        <v>46329</v>
      </c>
      <c r="B1349" s="8" t="s">
        <v>14</v>
      </c>
      <c r="C1349" s="7" t="s">
        <v>9</v>
      </c>
      <c r="D1349" s="32">
        <v>3929.9399999999996</v>
      </c>
      <c r="E1349" s="32"/>
      <c r="F1349" s="32"/>
      <c r="G1349" s="8" t="s">
        <v>11</v>
      </c>
      <c r="H1349" s="8"/>
      <c r="I1349" s="17"/>
      <c r="J1349" s="8" t="s">
        <v>10</v>
      </c>
      <c r="K1349" s="8"/>
      <c r="L1349" s="8"/>
      <c r="M1349" s="8" t="str">
        <f>IF(C1349="Caixa","-",VLOOKUP(J1349,[1]Estrutura!C:E,3,FALSE))</f>
        <v>1.1</v>
      </c>
      <c r="N1349" s="8"/>
      <c r="O1349" s="7">
        <f t="shared" si="80"/>
        <v>3</v>
      </c>
      <c r="P1349" s="7">
        <f t="shared" si="81"/>
        <v>11</v>
      </c>
      <c r="Q1349" s="7">
        <f t="shared" si="82"/>
        <v>2026</v>
      </c>
      <c r="R1349" s="6">
        <f t="shared" si="83"/>
        <v>3929.9399999999996</v>
      </c>
      <c r="S1349" s="16">
        <v>46329</v>
      </c>
    </row>
    <row r="1350" spans="1:19">
      <c r="A1350" s="12">
        <v>46329</v>
      </c>
      <c r="B1350" s="7" t="s">
        <v>14</v>
      </c>
      <c r="C1350" s="7" t="s">
        <v>9</v>
      </c>
      <c r="D1350" s="11"/>
      <c r="E1350" s="11">
        <v>2232.8000000000002</v>
      </c>
      <c r="F1350" s="11" t="s">
        <v>303</v>
      </c>
      <c r="G1350" s="8" t="s">
        <v>133</v>
      </c>
      <c r="H1350" s="10"/>
      <c r="I1350" s="9"/>
      <c r="J1350" s="7" t="s">
        <v>119</v>
      </c>
      <c r="K1350" s="7"/>
      <c r="L1350" s="7"/>
      <c r="M1350" s="7" t="str">
        <f>IF(C1350="Caixa","-",VLOOKUP(J1350,[1]Estrutura!C:E,3,FALSE))</f>
        <v>4.5</v>
      </c>
      <c r="N1350" s="7"/>
      <c r="O1350" s="7">
        <f t="shared" si="80"/>
        <v>3</v>
      </c>
      <c r="P1350" s="7">
        <f t="shared" si="81"/>
        <v>11</v>
      </c>
      <c r="Q1350" s="7">
        <f t="shared" si="82"/>
        <v>2026</v>
      </c>
      <c r="R1350" s="6">
        <f t="shared" si="83"/>
        <v>-2232.8000000000002</v>
      </c>
      <c r="S1350" s="16">
        <v>46329</v>
      </c>
    </row>
    <row r="1351" spans="1:19">
      <c r="A1351" s="16">
        <v>46329</v>
      </c>
      <c r="B1351" s="8" t="s">
        <v>14</v>
      </c>
      <c r="C1351" s="8" t="s">
        <v>9</v>
      </c>
      <c r="D1351" s="15"/>
      <c r="E1351" s="15">
        <v>4953</v>
      </c>
      <c r="F1351" s="15" t="s">
        <v>146</v>
      </c>
      <c r="G1351" s="8" t="s">
        <v>302</v>
      </c>
      <c r="H1351" s="14"/>
      <c r="I1351" s="13"/>
      <c r="J1351" s="8" t="s">
        <v>144</v>
      </c>
      <c r="K1351" s="8"/>
      <c r="L1351" s="8"/>
      <c r="M1351" s="8" t="str">
        <f>IF(C1351="Caixa","-",VLOOKUP(J1351,[1]Estrutura!C:E,3,FALSE))</f>
        <v>4.2</v>
      </c>
      <c r="N1351" s="8"/>
      <c r="O1351" s="7">
        <f t="shared" si="80"/>
        <v>3</v>
      </c>
      <c r="P1351" s="7">
        <f t="shared" si="81"/>
        <v>11</v>
      </c>
      <c r="Q1351" s="7">
        <f t="shared" si="82"/>
        <v>2026</v>
      </c>
      <c r="R1351" s="6">
        <f t="shared" si="83"/>
        <v>-4953</v>
      </c>
      <c r="S1351" s="12">
        <v>46329</v>
      </c>
    </row>
    <row r="1352" spans="1:19">
      <c r="A1352" s="12">
        <v>46329</v>
      </c>
      <c r="B1352" s="7" t="s">
        <v>14</v>
      </c>
      <c r="C1352" s="7" t="s">
        <v>9</v>
      </c>
      <c r="D1352" s="11"/>
      <c r="E1352" s="15">
        <v>4953</v>
      </c>
      <c r="F1352" s="15" t="s">
        <v>146</v>
      </c>
      <c r="G1352" s="7" t="s">
        <v>301</v>
      </c>
      <c r="H1352" s="10"/>
      <c r="I1352" s="9"/>
      <c r="J1352" s="7" t="s">
        <v>144</v>
      </c>
      <c r="K1352" s="7"/>
      <c r="L1352" s="7"/>
      <c r="M1352" s="7" t="str">
        <f>IF(C1352="Caixa","-",VLOOKUP(J1352,[1]Estrutura!C:E,3,FALSE))</f>
        <v>4.2</v>
      </c>
      <c r="N1352" s="7"/>
      <c r="O1352" s="7">
        <f t="shared" si="80"/>
        <v>3</v>
      </c>
      <c r="P1352" s="7">
        <f t="shared" si="81"/>
        <v>11</v>
      </c>
      <c r="Q1352" s="7">
        <f t="shared" si="82"/>
        <v>2026</v>
      </c>
      <c r="R1352" s="6">
        <f t="shared" si="83"/>
        <v>-4953</v>
      </c>
      <c r="S1352" s="12">
        <v>46330</v>
      </c>
    </row>
    <row r="1353" spans="1:19">
      <c r="A1353" s="16">
        <v>46329</v>
      </c>
      <c r="B1353" s="8" t="s">
        <v>14</v>
      </c>
      <c r="C1353" s="8" t="s">
        <v>9</v>
      </c>
      <c r="D1353" s="15"/>
      <c r="E1353" s="15">
        <v>35838.239999999998</v>
      </c>
      <c r="F1353" s="15" t="s">
        <v>212</v>
      </c>
      <c r="G1353" s="8" t="s">
        <v>211</v>
      </c>
      <c r="H1353" s="14">
        <v>63900784</v>
      </c>
      <c r="I1353" s="13"/>
      <c r="J1353" s="21" t="s">
        <v>210</v>
      </c>
      <c r="K1353" s="8"/>
      <c r="L1353" s="8"/>
      <c r="M1353" s="8" t="str">
        <f>IF(C1353="Caixa","-",VLOOKUP(J1353,[1]Estrutura!C:E,3,FALSE))</f>
        <v>4.12</v>
      </c>
      <c r="N1353" s="8"/>
      <c r="O1353" s="7">
        <f t="shared" si="80"/>
        <v>3</v>
      </c>
      <c r="P1353" s="7">
        <f t="shared" si="81"/>
        <v>11</v>
      </c>
      <c r="Q1353" s="7">
        <f t="shared" si="82"/>
        <v>2026</v>
      </c>
      <c r="R1353" s="6">
        <f t="shared" si="83"/>
        <v>-35838.239999999998</v>
      </c>
      <c r="S1353" s="16">
        <v>46331</v>
      </c>
    </row>
    <row r="1354" spans="1:19">
      <c r="A1354" s="16">
        <v>46329</v>
      </c>
      <c r="B1354" s="8" t="s">
        <v>14</v>
      </c>
      <c r="C1354" s="8" t="s">
        <v>9</v>
      </c>
      <c r="D1354" s="15"/>
      <c r="E1354" s="15">
        <v>183.91</v>
      </c>
      <c r="F1354" s="15" t="s">
        <v>125</v>
      </c>
      <c r="G1354" s="8" t="s">
        <v>300</v>
      </c>
      <c r="H1354" s="14"/>
      <c r="I1354" s="13"/>
      <c r="J1354" s="8" t="s">
        <v>99</v>
      </c>
      <c r="K1354" s="8"/>
      <c r="L1354" s="7"/>
      <c r="M1354" s="7" t="str">
        <f>IF(C1354="Caixa","-",VLOOKUP(J1354,[1]Estrutura!C:E,3,FALSE))</f>
        <v>4.3</v>
      </c>
      <c r="N1354" s="7"/>
      <c r="O1354" s="7">
        <f t="shared" si="80"/>
        <v>3</v>
      </c>
      <c r="P1354" s="7">
        <f t="shared" si="81"/>
        <v>11</v>
      </c>
      <c r="Q1354" s="7">
        <f t="shared" si="82"/>
        <v>2026</v>
      </c>
      <c r="R1354" s="6">
        <f t="shared" si="83"/>
        <v>-183.91</v>
      </c>
      <c r="S1354" s="12">
        <v>46331</v>
      </c>
    </row>
    <row r="1355" spans="1:19">
      <c r="A1355" s="12">
        <v>46329</v>
      </c>
      <c r="B1355" s="7" t="s">
        <v>14</v>
      </c>
      <c r="C1355" s="7" t="s">
        <v>9</v>
      </c>
      <c r="D1355" s="11"/>
      <c r="E1355" s="11">
        <v>287.60000000000002</v>
      </c>
      <c r="F1355" s="11" t="s">
        <v>299</v>
      </c>
      <c r="G1355" s="11" t="s">
        <v>298</v>
      </c>
      <c r="H1355" s="10"/>
      <c r="I1355" s="9"/>
      <c r="J1355" s="7" t="s">
        <v>64</v>
      </c>
      <c r="K1355" s="7"/>
      <c r="L1355" s="8"/>
      <c r="M1355" s="8" t="str">
        <f>IF(C1355="Caixa","-",VLOOKUP(J1355,[1]Estrutura!C:E,3,FALSE))</f>
        <v>4.4</v>
      </c>
      <c r="N1355" s="8"/>
      <c r="O1355" s="7">
        <f t="shared" si="80"/>
        <v>3</v>
      </c>
      <c r="P1355" s="7">
        <f t="shared" si="81"/>
        <v>11</v>
      </c>
      <c r="Q1355" s="7">
        <f t="shared" si="82"/>
        <v>2026</v>
      </c>
      <c r="R1355" s="6">
        <f t="shared" si="83"/>
        <v>-287.60000000000002</v>
      </c>
      <c r="S1355" s="12">
        <v>46331</v>
      </c>
    </row>
    <row r="1356" spans="1:19">
      <c r="A1356" s="16">
        <v>46329</v>
      </c>
      <c r="B1356" s="8" t="s">
        <v>14</v>
      </c>
      <c r="C1356" s="8" t="s">
        <v>9</v>
      </c>
      <c r="D1356" s="15"/>
      <c r="E1356" s="15">
        <v>80.86</v>
      </c>
      <c r="F1356" s="15" t="s">
        <v>82</v>
      </c>
      <c r="G1356" s="8" t="s">
        <v>297</v>
      </c>
      <c r="H1356" s="14">
        <v>1957</v>
      </c>
      <c r="I1356" s="13"/>
      <c r="J1356" s="8" t="s">
        <v>80</v>
      </c>
      <c r="K1356" s="8"/>
      <c r="L1356" s="7"/>
      <c r="M1356" s="7" t="str">
        <f>IF(C1356="Caixa","-",VLOOKUP(J1356,[1]Estrutura!C:E,3,FALSE))</f>
        <v>4.5</v>
      </c>
      <c r="N1356" s="7"/>
      <c r="O1356" s="7">
        <f t="shared" si="80"/>
        <v>3</v>
      </c>
      <c r="P1356" s="7">
        <f t="shared" si="81"/>
        <v>11</v>
      </c>
      <c r="Q1356" s="7">
        <f t="shared" si="82"/>
        <v>2026</v>
      </c>
      <c r="R1356" s="6">
        <f t="shared" si="83"/>
        <v>-80.86</v>
      </c>
      <c r="S1356" s="16">
        <v>46331</v>
      </c>
    </row>
    <row r="1357" spans="1:19">
      <c r="A1357" s="12">
        <v>46329</v>
      </c>
      <c r="B1357" s="7" t="s">
        <v>26</v>
      </c>
      <c r="C1357" s="7" t="s">
        <v>25</v>
      </c>
      <c r="D1357" s="38">
        <v>1518</v>
      </c>
      <c r="E1357" s="11"/>
      <c r="F1357" s="11" t="s">
        <v>95</v>
      </c>
      <c r="G1357" s="11" t="s">
        <v>205</v>
      </c>
      <c r="H1357" s="7"/>
      <c r="I1357" s="10"/>
      <c r="J1357" s="7" t="s">
        <v>107</v>
      </c>
      <c r="K1357" s="7" t="s">
        <v>21</v>
      </c>
      <c r="L1357" s="8"/>
      <c r="M1357" s="8" t="str">
        <f>IF(C1357="Caixa","-",VLOOKUP(J1357,[1]Estrutura!C:E,3,FALSE))</f>
        <v>1.4</v>
      </c>
      <c r="N1357" s="8"/>
      <c r="O1357" s="7">
        <f t="shared" si="80"/>
        <v>3</v>
      </c>
      <c r="P1357" s="7">
        <f t="shared" si="81"/>
        <v>11</v>
      </c>
      <c r="Q1357" s="7">
        <f t="shared" si="82"/>
        <v>2026</v>
      </c>
      <c r="R1357" s="6">
        <f t="shared" si="83"/>
        <v>1518</v>
      </c>
      <c r="S1357" s="12">
        <v>46331</v>
      </c>
    </row>
    <row r="1358" spans="1:19">
      <c r="A1358" s="16">
        <v>46329</v>
      </c>
      <c r="B1358" s="8" t="s">
        <v>26</v>
      </c>
      <c r="C1358" s="8" t="s">
        <v>25</v>
      </c>
      <c r="D1358" s="37">
        <v>6920.56</v>
      </c>
      <c r="E1358" s="15"/>
      <c r="F1358" s="15" t="s">
        <v>95</v>
      </c>
      <c r="G1358" s="15" t="s">
        <v>204</v>
      </c>
      <c r="H1358" s="14"/>
      <c r="I1358" s="14"/>
      <c r="J1358" s="8" t="s">
        <v>107</v>
      </c>
      <c r="K1358" s="8" t="s">
        <v>21</v>
      </c>
      <c r="L1358" s="7"/>
      <c r="M1358" s="7" t="str">
        <f>IF(C1358="Caixa","-",VLOOKUP(J1358,[1]Estrutura!C:E,3,FALSE))</f>
        <v>1.4</v>
      </c>
      <c r="N1358" s="7"/>
      <c r="O1358" s="7">
        <f t="shared" ref="O1358:O1421" si="84">DAY(A1358)</f>
        <v>3</v>
      </c>
      <c r="P1358" s="7">
        <f t="shared" ref="P1358:P1421" si="85">MONTH(A1358)</f>
        <v>11</v>
      </c>
      <c r="Q1358" s="7">
        <f t="shared" ref="Q1358:Q1421" si="86">YEAR(A1358)</f>
        <v>2026</v>
      </c>
      <c r="R1358" s="6">
        <f t="shared" ref="R1358:R1421" si="87">D1358-E1358</f>
        <v>6920.56</v>
      </c>
      <c r="S1358" s="16">
        <v>46331</v>
      </c>
    </row>
    <row r="1359" spans="1:19">
      <c r="A1359" s="12">
        <v>46329</v>
      </c>
      <c r="B1359" s="7" t="s">
        <v>26</v>
      </c>
      <c r="C1359" s="7" t="s">
        <v>6</v>
      </c>
      <c r="D1359" s="11"/>
      <c r="E1359" s="11">
        <v>1440</v>
      </c>
      <c r="F1359" s="11" t="s">
        <v>223</v>
      </c>
      <c r="G1359" s="7" t="s">
        <v>224</v>
      </c>
      <c r="H1359" s="10"/>
      <c r="I1359" s="9"/>
      <c r="J1359" s="7" t="s">
        <v>201</v>
      </c>
      <c r="K1359" s="7" t="s">
        <v>21</v>
      </c>
      <c r="L1359" s="8"/>
      <c r="M1359" s="8" t="str">
        <f>IF(C1359="Caixa","-",VLOOKUP(J1359,[1]Estrutura!C:E,3,FALSE))</f>
        <v>4.4</v>
      </c>
      <c r="N1359" s="8"/>
      <c r="O1359" s="7">
        <f t="shared" si="84"/>
        <v>3</v>
      </c>
      <c r="P1359" s="7">
        <f t="shared" si="85"/>
        <v>11</v>
      </c>
      <c r="Q1359" s="7">
        <f t="shared" si="86"/>
        <v>2026</v>
      </c>
      <c r="R1359" s="6">
        <f t="shared" si="87"/>
        <v>-1440</v>
      </c>
      <c r="S1359" s="16">
        <v>46331</v>
      </c>
    </row>
    <row r="1360" spans="1:19">
      <c r="A1360" s="16">
        <v>46329</v>
      </c>
      <c r="B1360" s="8" t="s">
        <v>26</v>
      </c>
      <c r="C1360" s="8" t="s">
        <v>6</v>
      </c>
      <c r="D1360" s="15"/>
      <c r="E1360" s="15">
        <v>1440</v>
      </c>
      <c r="F1360" s="15" t="s">
        <v>223</v>
      </c>
      <c r="G1360" s="8" t="s">
        <v>222</v>
      </c>
      <c r="H1360" s="14"/>
      <c r="I1360" s="13"/>
      <c r="J1360" s="8" t="s">
        <v>201</v>
      </c>
      <c r="K1360" s="8" t="s">
        <v>21</v>
      </c>
      <c r="L1360" s="7"/>
      <c r="M1360" s="7" t="str">
        <f>IF(C1360="Caixa","-",VLOOKUP(J1360,[1]Estrutura!C:E,3,FALSE))</f>
        <v>4.4</v>
      </c>
      <c r="N1360" s="7"/>
      <c r="O1360" s="7">
        <f t="shared" si="84"/>
        <v>3</v>
      </c>
      <c r="P1360" s="7">
        <f t="shared" si="85"/>
        <v>11</v>
      </c>
      <c r="Q1360" s="7">
        <f t="shared" si="86"/>
        <v>2026</v>
      </c>
      <c r="R1360" s="6">
        <f t="shared" si="87"/>
        <v>-1440</v>
      </c>
      <c r="S1360" s="12">
        <v>46331</v>
      </c>
    </row>
    <row r="1361" spans="1:19">
      <c r="A1361" s="12">
        <v>46329</v>
      </c>
      <c r="B1361" s="7" t="s">
        <v>26</v>
      </c>
      <c r="C1361" s="7" t="s">
        <v>6</v>
      </c>
      <c r="D1361" s="11"/>
      <c r="E1361" s="11">
        <v>283.32</v>
      </c>
      <c r="F1361" s="11" t="s">
        <v>219</v>
      </c>
      <c r="G1361" s="7" t="s">
        <v>221</v>
      </c>
      <c r="H1361" s="10"/>
      <c r="I1361" s="9"/>
      <c r="J1361" s="7" t="s">
        <v>144</v>
      </c>
      <c r="K1361" s="7" t="s">
        <v>21</v>
      </c>
      <c r="L1361" s="8"/>
      <c r="M1361" s="8" t="str">
        <f>IF(C1361="Caixa","-",VLOOKUP(J1361,[1]Estrutura!C:E,3,FALSE))</f>
        <v>4.2</v>
      </c>
      <c r="N1361" s="8"/>
      <c r="O1361" s="7">
        <f t="shared" si="84"/>
        <v>3</v>
      </c>
      <c r="P1361" s="7">
        <f t="shared" si="85"/>
        <v>11</v>
      </c>
      <c r="Q1361" s="7">
        <f t="shared" si="86"/>
        <v>2026</v>
      </c>
      <c r="R1361" s="6">
        <f t="shared" si="87"/>
        <v>-283.32</v>
      </c>
      <c r="S1361" s="16">
        <v>46331</v>
      </c>
    </row>
    <row r="1362" spans="1:19">
      <c r="A1362" s="16">
        <v>46329</v>
      </c>
      <c r="B1362" s="8" t="s">
        <v>26</v>
      </c>
      <c r="C1362" s="8" t="s">
        <v>6</v>
      </c>
      <c r="D1362" s="15"/>
      <c r="E1362" s="15">
        <v>7515.24</v>
      </c>
      <c r="F1362" s="15" t="s">
        <v>219</v>
      </c>
      <c r="G1362" s="8" t="s">
        <v>296</v>
      </c>
      <c r="H1362" s="14"/>
      <c r="I1362" s="13"/>
      <c r="J1362" s="8" t="s">
        <v>144</v>
      </c>
      <c r="K1362" s="8" t="s">
        <v>21</v>
      </c>
      <c r="L1362" s="7"/>
      <c r="M1362" s="7" t="str">
        <f>IF(C1362="Caixa","-",VLOOKUP(J1362,[1]Estrutura!C:E,3,FALSE))</f>
        <v>4.2</v>
      </c>
      <c r="N1362" s="7"/>
      <c r="O1362" s="7">
        <f t="shared" si="84"/>
        <v>3</v>
      </c>
      <c r="P1362" s="7">
        <f t="shared" si="85"/>
        <v>11</v>
      </c>
      <c r="Q1362" s="7">
        <f t="shared" si="86"/>
        <v>2026</v>
      </c>
      <c r="R1362" s="6">
        <f t="shared" si="87"/>
        <v>-7515.24</v>
      </c>
      <c r="S1362" s="12">
        <v>46331</v>
      </c>
    </row>
    <row r="1363" spans="1:19">
      <c r="A1363" s="12">
        <v>46329</v>
      </c>
      <c r="B1363" s="7" t="s">
        <v>26</v>
      </c>
      <c r="C1363" s="7" t="s">
        <v>6</v>
      </c>
      <c r="D1363" s="11"/>
      <c r="E1363" s="11">
        <v>681.34</v>
      </c>
      <c r="F1363" s="11" t="s">
        <v>219</v>
      </c>
      <c r="G1363" s="7" t="s">
        <v>218</v>
      </c>
      <c r="H1363" s="10"/>
      <c r="I1363" s="9"/>
      <c r="J1363" s="7" t="s">
        <v>144</v>
      </c>
      <c r="K1363" s="7" t="s">
        <v>21</v>
      </c>
      <c r="L1363" s="8"/>
      <c r="M1363" s="8" t="str">
        <f>IF(C1363="Caixa","-",VLOOKUP(J1363,[1]Estrutura!C:E,3,FALSE))</f>
        <v>4.2</v>
      </c>
      <c r="N1363" s="8"/>
      <c r="O1363" s="7">
        <f t="shared" si="84"/>
        <v>3</v>
      </c>
      <c r="P1363" s="7">
        <f t="shared" si="85"/>
        <v>11</v>
      </c>
      <c r="Q1363" s="7">
        <f t="shared" si="86"/>
        <v>2026</v>
      </c>
      <c r="R1363" s="6">
        <f t="shared" si="87"/>
        <v>-681.34</v>
      </c>
      <c r="S1363" s="16">
        <v>46331</v>
      </c>
    </row>
    <row r="1364" spans="1:19">
      <c r="A1364" s="12">
        <v>46329</v>
      </c>
      <c r="B1364" s="8" t="s">
        <v>26</v>
      </c>
      <c r="C1364" s="8" t="s">
        <v>25</v>
      </c>
      <c r="D1364" s="15"/>
      <c r="E1364" s="15">
        <v>86.8</v>
      </c>
      <c r="F1364" s="15"/>
      <c r="G1364" s="8" t="s">
        <v>200</v>
      </c>
      <c r="H1364" s="14"/>
      <c r="I1364" s="13"/>
      <c r="J1364" s="8" t="s">
        <v>4</v>
      </c>
      <c r="K1364" s="7" t="s">
        <v>21</v>
      </c>
      <c r="L1364" s="7"/>
      <c r="M1364" s="7" t="str">
        <f>IF(C1364="Caixa","-",VLOOKUP(J1364,[1]Estrutura!C:E,3,FALSE))</f>
        <v>5.2</v>
      </c>
      <c r="N1364" s="7"/>
      <c r="O1364" s="7">
        <f t="shared" si="84"/>
        <v>3</v>
      </c>
      <c r="P1364" s="7">
        <f t="shared" si="85"/>
        <v>11</v>
      </c>
      <c r="Q1364" s="7">
        <f t="shared" si="86"/>
        <v>2026</v>
      </c>
      <c r="R1364" s="6">
        <f t="shared" si="87"/>
        <v>-86.8</v>
      </c>
      <c r="S1364" s="12">
        <v>46331</v>
      </c>
    </row>
    <row r="1365" spans="1:19">
      <c r="A1365" s="16">
        <v>46329</v>
      </c>
      <c r="B1365" s="8" t="s">
        <v>26</v>
      </c>
      <c r="C1365" s="8" t="s">
        <v>6</v>
      </c>
      <c r="D1365" s="15"/>
      <c r="E1365" s="15">
        <v>1000</v>
      </c>
      <c r="F1365" s="15" t="s">
        <v>199</v>
      </c>
      <c r="G1365" s="8" t="s">
        <v>57</v>
      </c>
      <c r="H1365" s="14"/>
      <c r="I1365" s="13"/>
      <c r="J1365" s="8" t="s">
        <v>56</v>
      </c>
      <c r="K1365" s="7" t="s">
        <v>21</v>
      </c>
      <c r="L1365" s="8"/>
      <c r="M1365" s="8" t="str">
        <f>IF(C1365="Caixa","-",VLOOKUP(J1365,[1]Estrutura!C:E,3,FALSE))</f>
        <v>6.1</v>
      </c>
      <c r="N1365" s="8"/>
      <c r="O1365" s="7">
        <f t="shared" si="84"/>
        <v>3</v>
      </c>
      <c r="P1365" s="7">
        <f t="shared" si="85"/>
        <v>11</v>
      </c>
      <c r="Q1365" s="7">
        <f t="shared" si="86"/>
        <v>2026</v>
      </c>
      <c r="R1365" s="6">
        <f t="shared" si="87"/>
        <v>-1000</v>
      </c>
      <c r="S1365" s="12">
        <v>46331</v>
      </c>
    </row>
    <row r="1366" spans="1:19">
      <c r="A1366" s="12">
        <v>46329</v>
      </c>
      <c r="B1366" s="7" t="s">
        <v>26</v>
      </c>
      <c r="C1366" s="7" t="s">
        <v>6</v>
      </c>
      <c r="D1366" s="11"/>
      <c r="E1366" s="11">
        <v>174.75</v>
      </c>
      <c r="F1366" s="11" t="s">
        <v>101</v>
      </c>
      <c r="G1366" s="7" t="s">
        <v>295</v>
      </c>
      <c r="H1366" s="10"/>
      <c r="I1366" s="9"/>
      <c r="J1366" s="8" t="s">
        <v>99</v>
      </c>
      <c r="K1366" s="7" t="s">
        <v>34</v>
      </c>
      <c r="L1366" s="7"/>
      <c r="M1366" s="7" t="str">
        <f>IF(C1366="Caixa","-",VLOOKUP(J1366,[1]Estrutura!C:E,3,FALSE))</f>
        <v>4.3</v>
      </c>
      <c r="N1366" s="7"/>
      <c r="O1366" s="7">
        <f t="shared" si="84"/>
        <v>3</v>
      </c>
      <c r="P1366" s="7">
        <f t="shared" si="85"/>
        <v>11</v>
      </c>
      <c r="Q1366" s="7">
        <f t="shared" si="86"/>
        <v>2026</v>
      </c>
      <c r="R1366" s="6">
        <f t="shared" si="87"/>
        <v>-174.75</v>
      </c>
      <c r="S1366" s="16">
        <v>46331</v>
      </c>
    </row>
    <row r="1367" spans="1:19">
      <c r="A1367" s="16">
        <v>46329</v>
      </c>
      <c r="B1367" s="8" t="s">
        <v>26</v>
      </c>
      <c r="C1367" s="8" t="s">
        <v>6</v>
      </c>
      <c r="D1367" s="15"/>
      <c r="E1367" s="15">
        <v>66</v>
      </c>
      <c r="F1367" s="15" t="s">
        <v>294</v>
      </c>
      <c r="G1367" s="8" t="s">
        <v>293</v>
      </c>
      <c r="H1367" s="14"/>
      <c r="I1367" s="13"/>
      <c r="J1367" s="8" t="s">
        <v>17</v>
      </c>
      <c r="K1367" s="8" t="s">
        <v>21</v>
      </c>
      <c r="L1367" s="8"/>
      <c r="M1367" s="8" t="str">
        <f>IF(C1367="Caixa","-",VLOOKUP(J1367,[1]Estrutura!C:E,3,FALSE))</f>
        <v>4.4</v>
      </c>
      <c r="N1367" s="8"/>
      <c r="O1367" s="7">
        <f t="shared" si="84"/>
        <v>3</v>
      </c>
      <c r="P1367" s="7">
        <f t="shared" si="85"/>
        <v>11</v>
      </c>
      <c r="Q1367" s="7">
        <f t="shared" si="86"/>
        <v>2026</v>
      </c>
      <c r="R1367" s="6">
        <f t="shared" si="87"/>
        <v>-66</v>
      </c>
      <c r="S1367" s="16">
        <v>46331</v>
      </c>
    </row>
    <row r="1368" spans="1:19">
      <c r="A1368" s="12">
        <v>46329</v>
      </c>
      <c r="B1368" s="7" t="s">
        <v>26</v>
      </c>
      <c r="C1368" s="7" t="s">
        <v>25</v>
      </c>
      <c r="D1368" s="11"/>
      <c r="E1368" s="11">
        <v>5000</v>
      </c>
      <c r="F1368" s="11" t="s">
        <v>109</v>
      </c>
      <c r="G1368" s="7" t="s">
        <v>278</v>
      </c>
      <c r="H1368" s="10">
        <v>9839</v>
      </c>
      <c r="I1368" s="9"/>
      <c r="J1368" s="7" t="s">
        <v>17</v>
      </c>
      <c r="K1368" s="7" t="s">
        <v>21</v>
      </c>
      <c r="L1368" s="7"/>
      <c r="M1368" s="7" t="str">
        <f>IF(C1368="Caixa","-",VLOOKUP(J1368,[1]Estrutura!C:E,3,FALSE))</f>
        <v>4.4</v>
      </c>
      <c r="N1368" s="7"/>
      <c r="O1368" s="7">
        <f t="shared" si="84"/>
        <v>3</v>
      </c>
      <c r="P1368" s="7">
        <f t="shared" si="85"/>
        <v>11</v>
      </c>
      <c r="Q1368" s="7">
        <f t="shared" si="86"/>
        <v>2026</v>
      </c>
      <c r="R1368" s="6">
        <f t="shared" si="87"/>
        <v>-5000</v>
      </c>
      <c r="S1368" s="12">
        <v>46331</v>
      </c>
    </row>
    <row r="1369" spans="1:19">
      <c r="A1369" s="16">
        <v>46329</v>
      </c>
      <c r="B1369" s="8" t="s">
        <v>26</v>
      </c>
      <c r="C1369" s="8" t="s">
        <v>6</v>
      </c>
      <c r="D1369" s="15"/>
      <c r="E1369" s="15">
        <v>510.1</v>
      </c>
      <c r="F1369" s="15" t="s">
        <v>292</v>
      </c>
      <c r="G1369" s="8" t="s">
        <v>291</v>
      </c>
      <c r="H1369" s="14">
        <v>32691</v>
      </c>
      <c r="I1369" s="13"/>
      <c r="J1369" s="8" t="s">
        <v>52</v>
      </c>
      <c r="K1369" s="8" t="s">
        <v>34</v>
      </c>
      <c r="L1369" s="8"/>
      <c r="M1369" s="8" t="str">
        <f>IF(C1369="Caixa","-",VLOOKUP(J1369,[1]Estrutura!C:E,3,FALSE))</f>
        <v>4.2</v>
      </c>
      <c r="N1369" s="8"/>
      <c r="O1369" s="7">
        <f t="shared" si="84"/>
        <v>3</v>
      </c>
      <c r="P1369" s="7">
        <f t="shared" si="85"/>
        <v>11</v>
      </c>
      <c r="Q1369" s="7">
        <f t="shared" si="86"/>
        <v>2026</v>
      </c>
      <c r="R1369" s="6">
        <f t="shared" si="87"/>
        <v>-510.1</v>
      </c>
      <c r="S1369" s="16">
        <v>46331</v>
      </c>
    </row>
    <row r="1370" spans="1:19">
      <c r="A1370" s="16">
        <v>46329</v>
      </c>
      <c r="B1370" s="7" t="s">
        <v>7</v>
      </c>
      <c r="C1370" s="7" t="s">
        <v>9</v>
      </c>
      <c r="D1370" s="15">
        <v>1142.57</v>
      </c>
      <c r="E1370" s="15"/>
      <c r="F1370" s="15"/>
      <c r="G1370" s="8" t="s">
        <v>11</v>
      </c>
      <c r="H1370" s="8"/>
      <c r="I1370" s="17"/>
      <c r="J1370" s="8" t="s">
        <v>10</v>
      </c>
      <c r="K1370" s="8"/>
      <c r="L1370" s="7"/>
      <c r="M1370" s="7" t="str">
        <f>IF(C1370="Caixa","-",VLOOKUP(J1370,[1]Estrutura!C:E,3,FALSE))</f>
        <v>1.1</v>
      </c>
      <c r="N1370" s="7"/>
      <c r="O1370" s="7">
        <f t="shared" si="84"/>
        <v>3</v>
      </c>
      <c r="P1370" s="7">
        <f t="shared" si="85"/>
        <v>11</v>
      </c>
      <c r="Q1370" s="7">
        <f t="shared" si="86"/>
        <v>2026</v>
      </c>
      <c r="R1370" s="6">
        <f t="shared" si="87"/>
        <v>1142.57</v>
      </c>
      <c r="S1370" s="16">
        <v>46331</v>
      </c>
    </row>
    <row r="1371" spans="1:19">
      <c r="A1371" s="12">
        <v>46329</v>
      </c>
      <c r="B1371" s="7" t="s">
        <v>7</v>
      </c>
      <c r="C1371" s="7" t="s">
        <v>9</v>
      </c>
      <c r="D1371" s="11"/>
      <c r="E1371" s="11">
        <v>116.57</v>
      </c>
      <c r="F1371" s="11" t="s">
        <v>198</v>
      </c>
      <c r="G1371" s="7" t="s">
        <v>290</v>
      </c>
      <c r="H1371" s="10"/>
      <c r="I1371" s="9"/>
      <c r="J1371" s="7" t="s">
        <v>196</v>
      </c>
      <c r="K1371" s="7"/>
      <c r="L1371" s="8"/>
      <c r="M1371" s="8" t="str">
        <f>IF(C1371="Caixa","-",VLOOKUP(J1371,[1]Estrutura!C:E,3,FALSE))</f>
        <v>4.3</v>
      </c>
      <c r="N1371" s="8"/>
      <c r="O1371" s="7">
        <f t="shared" si="84"/>
        <v>3</v>
      </c>
      <c r="P1371" s="7">
        <f t="shared" si="85"/>
        <v>11</v>
      </c>
      <c r="Q1371" s="7">
        <f t="shared" si="86"/>
        <v>2026</v>
      </c>
      <c r="R1371" s="6">
        <f t="shared" si="87"/>
        <v>-116.57</v>
      </c>
      <c r="S1371" s="12">
        <v>46331</v>
      </c>
    </row>
    <row r="1372" spans="1:19">
      <c r="A1372" s="12">
        <v>46330</v>
      </c>
      <c r="B1372" s="7" t="s">
        <v>26</v>
      </c>
      <c r="C1372" s="7" t="s">
        <v>6</v>
      </c>
      <c r="D1372" s="11"/>
      <c r="E1372" s="11">
        <v>10000</v>
      </c>
      <c r="F1372" s="11" t="s">
        <v>238</v>
      </c>
      <c r="G1372" s="11" t="s">
        <v>289</v>
      </c>
      <c r="H1372" s="10"/>
      <c r="I1372" s="9"/>
      <c r="J1372" s="7" t="s">
        <v>116</v>
      </c>
      <c r="K1372" s="7" t="s">
        <v>21</v>
      </c>
      <c r="L1372" s="7"/>
      <c r="M1372" s="7" t="str">
        <f>IF(C1372="Caixa","-",VLOOKUP(J1372,[1]Estrutura!C:E,3,FALSE))</f>
        <v>4.12</v>
      </c>
      <c r="N1372" s="7"/>
      <c r="O1372" s="7">
        <f t="shared" si="84"/>
        <v>4</v>
      </c>
      <c r="P1372" s="7">
        <f t="shared" si="85"/>
        <v>11</v>
      </c>
      <c r="Q1372" s="7">
        <f t="shared" si="86"/>
        <v>2026</v>
      </c>
      <c r="R1372" s="6">
        <f t="shared" si="87"/>
        <v>-10000</v>
      </c>
      <c r="S1372" s="16">
        <v>46331</v>
      </c>
    </row>
    <row r="1373" spans="1:19">
      <c r="A1373" s="16">
        <v>46331</v>
      </c>
      <c r="B1373" s="8" t="s">
        <v>122</v>
      </c>
      <c r="C1373" s="8" t="s">
        <v>9</v>
      </c>
      <c r="D1373" s="15"/>
      <c r="E1373" s="15">
        <v>91.86</v>
      </c>
      <c r="F1373" s="15" t="s">
        <v>228</v>
      </c>
      <c r="G1373" s="8" t="s">
        <v>288</v>
      </c>
      <c r="H1373" s="14"/>
      <c r="I1373" s="13"/>
      <c r="J1373" s="8" t="s">
        <v>144</v>
      </c>
      <c r="K1373" s="8"/>
      <c r="L1373" s="8"/>
      <c r="M1373" s="8" t="str">
        <f>IF(C1373="Caixa","-",VLOOKUP(J1373,[1]Estrutura!C:E,3,FALSE))</f>
        <v>4.2</v>
      </c>
      <c r="N1373" s="8"/>
      <c r="O1373" s="7">
        <f t="shared" si="84"/>
        <v>5</v>
      </c>
      <c r="P1373" s="7">
        <f t="shared" si="85"/>
        <v>11</v>
      </c>
      <c r="Q1373" s="7">
        <f t="shared" si="86"/>
        <v>2026</v>
      </c>
      <c r="R1373" s="6">
        <f t="shared" si="87"/>
        <v>-91.86</v>
      </c>
      <c r="S1373" s="12">
        <v>46332</v>
      </c>
    </row>
    <row r="1374" spans="1:19">
      <c r="A1374" s="12">
        <v>46331</v>
      </c>
      <c r="B1374" s="8" t="s">
        <v>122</v>
      </c>
      <c r="C1374" s="7" t="s">
        <v>9</v>
      </c>
      <c r="D1374" s="11"/>
      <c r="E1374" s="11">
        <v>15.22</v>
      </c>
      <c r="F1374" s="11" t="s">
        <v>228</v>
      </c>
      <c r="G1374" s="11" t="s">
        <v>232</v>
      </c>
      <c r="H1374" s="10"/>
      <c r="I1374" s="9"/>
      <c r="J1374" s="7" t="s">
        <v>144</v>
      </c>
      <c r="K1374" s="7"/>
      <c r="L1374" s="7"/>
      <c r="M1374" s="7" t="str">
        <f>IF(C1374="Caixa","-",VLOOKUP(J1374,[1]Estrutura!C:E,3,FALSE))</f>
        <v>4.2</v>
      </c>
      <c r="N1374" s="7"/>
      <c r="O1374" s="7">
        <f t="shared" si="84"/>
        <v>5</v>
      </c>
      <c r="P1374" s="7">
        <f t="shared" si="85"/>
        <v>11</v>
      </c>
      <c r="Q1374" s="7">
        <f t="shared" si="86"/>
        <v>2026</v>
      </c>
      <c r="R1374" s="6">
        <f t="shared" si="87"/>
        <v>-15.22</v>
      </c>
      <c r="S1374" s="12">
        <v>46332</v>
      </c>
    </row>
    <row r="1375" spans="1:19">
      <c r="A1375" s="12">
        <v>46331</v>
      </c>
      <c r="B1375" s="7" t="s">
        <v>122</v>
      </c>
      <c r="C1375" s="7" t="s">
        <v>6</v>
      </c>
      <c r="D1375" s="11"/>
      <c r="E1375" s="11">
        <v>-198.33</v>
      </c>
      <c r="F1375" s="15" t="s">
        <v>184</v>
      </c>
      <c r="G1375" s="7" t="s">
        <v>287</v>
      </c>
      <c r="H1375" s="10"/>
      <c r="I1375" s="9"/>
      <c r="J1375" s="7" t="s">
        <v>144</v>
      </c>
      <c r="K1375" s="7"/>
      <c r="L1375" s="8"/>
      <c r="M1375" s="8" t="str">
        <f>IF(C1375="Caixa","-",VLOOKUP(J1375,[1]Estrutura!C:E,3,FALSE))</f>
        <v>4.2</v>
      </c>
      <c r="N1375" s="8"/>
      <c r="O1375" s="7">
        <f t="shared" si="84"/>
        <v>5</v>
      </c>
      <c r="P1375" s="7">
        <f t="shared" si="85"/>
        <v>11</v>
      </c>
      <c r="Q1375" s="7">
        <f t="shared" si="86"/>
        <v>2026</v>
      </c>
      <c r="R1375" s="6">
        <f t="shared" si="87"/>
        <v>198.33</v>
      </c>
      <c r="S1375" s="16">
        <v>46332</v>
      </c>
    </row>
    <row r="1376" spans="1:19">
      <c r="A1376" s="16">
        <v>46331</v>
      </c>
      <c r="B1376" s="8" t="s">
        <v>122</v>
      </c>
      <c r="C1376" s="8" t="s">
        <v>6</v>
      </c>
      <c r="D1376" s="15"/>
      <c r="E1376" s="15">
        <v>280.01</v>
      </c>
      <c r="F1376" s="15" t="s">
        <v>184</v>
      </c>
      <c r="G1376" s="8" t="s">
        <v>286</v>
      </c>
      <c r="H1376" s="14"/>
      <c r="I1376" s="13"/>
      <c r="J1376" s="8" t="s">
        <v>144</v>
      </c>
      <c r="K1376" s="8"/>
      <c r="L1376" s="7"/>
      <c r="M1376" s="7" t="str">
        <f>IF(C1376="Caixa","-",VLOOKUP(J1376,[1]Estrutura!C:E,3,FALSE))</f>
        <v>4.2</v>
      </c>
      <c r="N1376" s="7"/>
      <c r="O1376" s="7">
        <f t="shared" si="84"/>
        <v>5</v>
      </c>
      <c r="P1376" s="7">
        <f t="shared" si="85"/>
        <v>11</v>
      </c>
      <c r="Q1376" s="7">
        <f t="shared" si="86"/>
        <v>2026</v>
      </c>
      <c r="R1376" s="6">
        <f t="shared" si="87"/>
        <v>-280.01</v>
      </c>
      <c r="S1376" s="16">
        <v>46333</v>
      </c>
    </row>
    <row r="1377" spans="1:19">
      <c r="A1377" s="12">
        <v>46331</v>
      </c>
      <c r="B1377" s="7" t="s">
        <v>122</v>
      </c>
      <c r="C1377" s="7" t="s">
        <v>6</v>
      </c>
      <c r="D1377" s="11"/>
      <c r="E1377" s="11">
        <v>379.62</v>
      </c>
      <c r="F1377" s="15" t="s">
        <v>184</v>
      </c>
      <c r="G1377" s="7" t="s">
        <v>188</v>
      </c>
      <c r="H1377" s="10"/>
      <c r="I1377" s="9"/>
      <c r="J1377" s="7" t="s">
        <v>144</v>
      </c>
      <c r="K1377" s="7"/>
      <c r="L1377" s="8"/>
      <c r="M1377" s="8" t="str">
        <f>IF(C1377="Caixa","-",VLOOKUP(J1377,[1]Estrutura!C:E,3,FALSE))</f>
        <v>4.2</v>
      </c>
      <c r="N1377" s="8"/>
      <c r="O1377" s="7">
        <f t="shared" si="84"/>
        <v>5</v>
      </c>
      <c r="P1377" s="7">
        <f t="shared" si="85"/>
        <v>11</v>
      </c>
      <c r="Q1377" s="7">
        <f t="shared" si="86"/>
        <v>2026</v>
      </c>
      <c r="R1377" s="6">
        <f t="shared" si="87"/>
        <v>-379.62</v>
      </c>
      <c r="S1377" s="16">
        <v>46333</v>
      </c>
    </row>
    <row r="1378" spans="1:19">
      <c r="A1378" s="16">
        <v>46331</v>
      </c>
      <c r="B1378" s="8" t="s">
        <v>122</v>
      </c>
      <c r="C1378" s="8" t="s">
        <v>9</v>
      </c>
      <c r="D1378" s="15"/>
      <c r="E1378" s="15">
        <v>3458.51</v>
      </c>
      <c r="F1378" s="15" t="s">
        <v>228</v>
      </c>
      <c r="G1378" s="8" t="s">
        <v>231</v>
      </c>
      <c r="H1378" s="14"/>
      <c r="I1378" s="13"/>
      <c r="J1378" s="8" t="s">
        <v>144</v>
      </c>
      <c r="K1378" s="8"/>
      <c r="L1378" s="7"/>
      <c r="M1378" s="7" t="str">
        <f>IF(C1378="Caixa","-",VLOOKUP(J1378,[1]Estrutura!C:E,3,FALSE))</f>
        <v>4.2</v>
      </c>
      <c r="N1378" s="7"/>
      <c r="O1378" s="7">
        <f t="shared" si="84"/>
        <v>5</v>
      </c>
      <c r="P1378" s="7">
        <f t="shared" si="85"/>
        <v>11</v>
      </c>
      <c r="Q1378" s="7">
        <f t="shared" si="86"/>
        <v>2026</v>
      </c>
      <c r="R1378" s="6">
        <f t="shared" si="87"/>
        <v>-3458.51</v>
      </c>
      <c r="S1378" s="16">
        <v>46334</v>
      </c>
    </row>
    <row r="1379" spans="1:19">
      <c r="A1379" s="16">
        <v>46331</v>
      </c>
      <c r="B1379" s="8" t="s">
        <v>122</v>
      </c>
      <c r="C1379" s="8" t="s">
        <v>6</v>
      </c>
      <c r="D1379" s="15"/>
      <c r="E1379" s="15">
        <v>5072.82</v>
      </c>
      <c r="F1379" s="15" t="s">
        <v>184</v>
      </c>
      <c r="G1379" s="8" t="s">
        <v>285</v>
      </c>
      <c r="H1379" s="14"/>
      <c r="I1379" s="13"/>
      <c r="J1379" s="8" t="s">
        <v>144</v>
      </c>
      <c r="K1379" s="8"/>
      <c r="L1379" s="8"/>
      <c r="M1379" s="8" t="str">
        <f>IF(C1379="Caixa","-",VLOOKUP(J1379,[1]Estrutura!C:E,3,FALSE))</f>
        <v>4.2</v>
      </c>
      <c r="N1379" s="8"/>
      <c r="O1379" s="7">
        <f t="shared" si="84"/>
        <v>5</v>
      </c>
      <c r="P1379" s="7">
        <f t="shared" si="85"/>
        <v>11</v>
      </c>
      <c r="Q1379" s="7">
        <f t="shared" si="86"/>
        <v>2026</v>
      </c>
      <c r="R1379" s="6">
        <f t="shared" si="87"/>
        <v>-5072.82</v>
      </c>
      <c r="S1379" s="16">
        <v>46334</v>
      </c>
    </row>
    <row r="1380" spans="1:19">
      <c r="A1380" s="12">
        <v>46331</v>
      </c>
      <c r="B1380" s="7" t="s">
        <v>122</v>
      </c>
      <c r="C1380" s="7" t="s">
        <v>6</v>
      </c>
      <c r="D1380" s="11"/>
      <c r="E1380" s="11">
        <v>212.52</v>
      </c>
      <c r="F1380" s="15" t="s">
        <v>184</v>
      </c>
      <c r="G1380" s="7" t="s">
        <v>186</v>
      </c>
      <c r="H1380" s="10"/>
      <c r="I1380" s="9"/>
      <c r="J1380" s="7" t="s">
        <v>144</v>
      </c>
      <c r="K1380" s="7"/>
      <c r="L1380" s="7"/>
      <c r="M1380" s="7" t="str">
        <f>IF(C1380="Caixa","-",VLOOKUP(J1380,[1]Estrutura!C:E,3,FALSE))</f>
        <v>4.2</v>
      </c>
      <c r="N1380" s="7"/>
      <c r="O1380" s="7">
        <f t="shared" si="84"/>
        <v>5</v>
      </c>
      <c r="P1380" s="7">
        <f t="shared" si="85"/>
        <v>11</v>
      </c>
      <c r="Q1380" s="7">
        <f t="shared" si="86"/>
        <v>2026</v>
      </c>
      <c r="R1380" s="6">
        <f t="shared" si="87"/>
        <v>-212.52</v>
      </c>
      <c r="S1380" s="16">
        <v>46335</v>
      </c>
    </row>
    <row r="1381" spans="1:19">
      <c r="A1381" s="16">
        <v>46331</v>
      </c>
      <c r="B1381" s="8" t="s">
        <v>122</v>
      </c>
      <c r="C1381" s="8" t="s">
        <v>6</v>
      </c>
      <c r="D1381" s="15"/>
      <c r="E1381" s="15">
        <v>253.64</v>
      </c>
      <c r="F1381" s="15" t="s">
        <v>184</v>
      </c>
      <c r="G1381" s="8" t="s">
        <v>185</v>
      </c>
      <c r="H1381" s="14"/>
      <c r="I1381" s="13"/>
      <c r="J1381" s="8" t="s">
        <v>144</v>
      </c>
      <c r="K1381" s="8"/>
      <c r="L1381" s="8"/>
      <c r="M1381" s="8" t="str">
        <f>IF(C1381="Caixa","-",VLOOKUP(J1381,[1]Estrutura!C:E,3,FALSE))</f>
        <v>4.2</v>
      </c>
      <c r="N1381" s="8"/>
      <c r="O1381" s="7">
        <f t="shared" si="84"/>
        <v>5</v>
      </c>
      <c r="P1381" s="7">
        <f t="shared" si="85"/>
        <v>11</v>
      </c>
      <c r="Q1381" s="7">
        <f t="shared" si="86"/>
        <v>2026</v>
      </c>
      <c r="R1381" s="6">
        <f t="shared" si="87"/>
        <v>-253.64</v>
      </c>
      <c r="S1381" s="12">
        <v>46335</v>
      </c>
    </row>
    <row r="1382" spans="1:19">
      <c r="A1382" s="12">
        <v>46331</v>
      </c>
      <c r="B1382" s="8" t="s">
        <v>122</v>
      </c>
      <c r="C1382" s="7" t="s">
        <v>9</v>
      </c>
      <c r="D1382" s="11"/>
      <c r="E1382" s="11">
        <v>172.93</v>
      </c>
      <c r="F1382" s="11" t="s">
        <v>228</v>
      </c>
      <c r="G1382" s="7" t="s">
        <v>230</v>
      </c>
      <c r="H1382" s="10"/>
      <c r="I1382" s="9"/>
      <c r="J1382" s="7" t="s">
        <v>144</v>
      </c>
      <c r="K1382" s="7"/>
      <c r="L1382" s="7"/>
      <c r="M1382" s="7" t="str">
        <f>IF(C1382="Caixa","-",VLOOKUP(J1382,[1]Estrutura!C:E,3,FALSE))</f>
        <v>4.2</v>
      </c>
      <c r="N1382" s="7"/>
      <c r="O1382" s="7">
        <f t="shared" si="84"/>
        <v>5</v>
      </c>
      <c r="P1382" s="7">
        <f t="shared" si="85"/>
        <v>11</v>
      </c>
      <c r="Q1382" s="7">
        <f t="shared" si="86"/>
        <v>2026</v>
      </c>
      <c r="R1382" s="6">
        <f t="shared" si="87"/>
        <v>-172.93</v>
      </c>
      <c r="S1382" s="16">
        <v>46336</v>
      </c>
    </row>
    <row r="1383" spans="1:19">
      <c r="A1383" s="16">
        <v>46331</v>
      </c>
      <c r="B1383" s="8" t="s">
        <v>122</v>
      </c>
      <c r="C1383" s="8" t="s">
        <v>9</v>
      </c>
      <c r="D1383" s="15"/>
      <c r="E1383" s="15">
        <v>496.45</v>
      </c>
      <c r="F1383" s="15" t="s">
        <v>228</v>
      </c>
      <c r="G1383" s="8" t="s">
        <v>229</v>
      </c>
      <c r="H1383" s="14"/>
      <c r="I1383" s="13"/>
      <c r="J1383" s="8" t="s">
        <v>144</v>
      </c>
      <c r="K1383" s="8"/>
      <c r="L1383" s="8"/>
      <c r="M1383" s="8" t="str">
        <f>IF(C1383="Caixa","-",VLOOKUP(J1383,[1]Estrutura!C:E,3,FALSE))</f>
        <v>4.2</v>
      </c>
      <c r="N1383" s="8"/>
      <c r="O1383" s="7">
        <f t="shared" si="84"/>
        <v>5</v>
      </c>
      <c r="P1383" s="7">
        <f t="shared" si="85"/>
        <v>11</v>
      </c>
      <c r="Q1383" s="7">
        <f t="shared" si="86"/>
        <v>2026</v>
      </c>
      <c r="R1383" s="6">
        <f t="shared" si="87"/>
        <v>-496.45</v>
      </c>
      <c r="S1383" s="16">
        <v>46336</v>
      </c>
    </row>
    <row r="1384" spans="1:19">
      <c r="A1384" s="12">
        <v>46331</v>
      </c>
      <c r="B1384" s="8" t="s">
        <v>122</v>
      </c>
      <c r="C1384" s="7" t="s">
        <v>9</v>
      </c>
      <c r="D1384" s="11"/>
      <c r="E1384" s="11">
        <v>332.04</v>
      </c>
      <c r="F1384" s="11" t="s">
        <v>228</v>
      </c>
      <c r="G1384" s="11" t="s">
        <v>227</v>
      </c>
      <c r="H1384" s="10"/>
      <c r="I1384" s="9"/>
      <c r="J1384" s="7" t="s">
        <v>144</v>
      </c>
      <c r="K1384" s="7"/>
      <c r="L1384" s="7"/>
      <c r="M1384" s="7" t="str">
        <f>IF(C1384="Caixa","-",VLOOKUP(J1384,[1]Estrutura!C:E,3,FALSE))</f>
        <v>4.2</v>
      </c>
      <c r="N1384" s="7"/>
      <c r="O1384" s="7">
        <f t="shared" si="84"/>
        <v>5</v>
      </c>
      <c r="P1384" s="7">
        <f t="shared" si="85"/>
        <v>11</v>
      </c>
      <c r="Q1384" s="7">
        <f t="shared" si="86"/>
        <v>2026</v>
      </c>
      <c r="R1384" s="6">
        <f t="shared" si="87"/>
        <v>-332.04</v>
      </c>
      <c r="S1384" s="12">
        <v>46336</v>
      </c>
    </row>
    <row r="1385" spans="1:19">
      <c r="A1385" s="12">
        <v>46331</v>
      </c>
      <c r="B1385" s="7" t="s">
        <v>122</v>
      </c>
      <c r="C1385" s="7" t="s">
        <v>6</v>
      </c>
      <c r="D1385" s="11"/>
      <c r="E1385" s="11">
        <v>212.52</v>
      </c>
      <c r="F1385" s="15" t="s">
        <v>184</v>
      </c>
      <c r="G1385" s="7" t="s">
        <v>183</v>
      </c>
      <c r="H1385" s="10"/>
      <c r="I1385" s="9"/>
      <c r="J1385" s="7" t="s">
        <v>144</v>
      </c>
      <c r="K1385" s="7"/>
      <c r="L1385" s="8"/>
      <c r="M1385" s="8" t="str">
        <f>IF(C1385="Caixa","-",VLOOKUP(J1385,[1]Estrutura!C:E,3,FALSE))</f>
        <v>4.2</v>
      </c>
      <c r="N1385" s="8"/>
      <c r="O1385" s="7">
        <f t="shared" si="84"/>
        <v>5</v>
      </c>
      <c r="P1385" s="7">
        <f t="shared" si="85"/>
        <v>11</v>
      </c>
      <c r="Q1385" s="7">
        <f t="shared" si="86"/>
        <v>2026</v>
      </c>
      <c r="R1385" s="6">
        <f t="shared" si="87"/>
        <v>-212.52</v>
      </c>
      <c r="S1385" s="16">
        <v>46336</v>
      </c>
    </row>
    <row r="1386" spans="1:19">
      <c r="A1386" s="16">
        <v>46331</v>
      </c>
      <c r="B1386" s="8" t="s">
        <v>14</v>
      </c>
      <c r="C1386" s="7" t="s">
        <v>9</v>
      </c>
      <c r="D1386" s="15">
        <v>4953</v>
      </c>
      <c r="E1386" s="15"/>
      <c r="F1386" s="15"/>
      <c r="G1386" s="8" t="s">
        <v>11</v>
      </c>
      <c r="H1386" s="8"/>
      <c r="I1386" s="17"/>
      <c r="J1386" s="8" t="s">
        <v>10</v>
      </c>
      <c r="K1386" s="8"/>
      <c r="L1386" s="7"/>
      <c r="M1386" s="7" t="str">
        <f>IF(C1386="Caixa","-",VLOOKUP(J1386,[1]Estrutura!C:E,3,FALSE))</f>
        <v>1.1</v>
      </c>
      <c r="N1386" s="7"/>
      <c r="O1386" s="7">
        <f t="shared" si="84"/>
        <v>5</v>
      </c>
      <c r="P1386" s="7">
        <f t="shared" si="85"/>
        <v>11</v>
      </c>
      <c r="Q1386" s="7">
        <f t="shared" si="86"/>
        <v>2026</v>
      </c>
      <c r="R1386" s="6">
        <f t="shared" si="87"/>
        <v>4953</v>
      </c>
      <c r="S1386" s="12">
        <v>46336</v>
      </c>
    </row>
    <row r="1387" spans="1:19">
      <c r="A1387" s="16">
        <v>46331</v>
      </c>
      <c r="B1387" s="8" t="s">
        <v>14</v>
      </c>
      <c r="C1387" s="8" t="s">
        <v>25</v>
      </c>
      <c r="D1387" s="15"/>
      <c r="E1387" s="15">
        <v>488.75</v>
      </c>
      <c r="F1387" s="15" t="s">
        <v>125</v>
      </c>
      <c r="G1387" s="8" t="s">
        <v>284</v>
      </c>
      <c r="H1387" s="14"/>
      <c r="I1387" s="13"/>
      <c r="J1387" s="8" t="s">
        <v>99</v>
      </c>
      <c r="K1387" s="8"/>
      <c r="L1387" s="8"/>
      <c r="M1387" s="8" t="str">
        <f>IF(C1387="Caixa","-",VLOOKUP(J1387,[1]Estrutura!C:E,3,FALSE))</f>
        <v>4.3</v>
      </c>
      <c r="N1387" s="8"/>
      <c r="O1387" s="7">
        <f t="shared" si="84"/>
        <v>5</v>
      </c>
      <c r="P1387" s="7">
        <f t="shared" si="85"/>
        <v>11</v>
      </c>
      <c r="Q1387" s="7">
        <f t="shared" si="86"/>
        <v>2026</v>
      </c>
      <c r="R1387" s="6">
        <f t="shared" si="87"/>
        <v>-488.75</v>
      </c>
      <c r="S1387" s="16">
        <v>46336</v>
      </c>
    </row>
    <row r="1388" spans="1:19">
      <c r="A1388" s="12">
        <v>46331</v>
      </c>
      <c r="B1388" s="7" t="s">
        <v>14</v>
      </c>
      <c r="C1388" s="7" t="s">
        <v>9</v>
      </c>
      <c r="D1388" s="11"/>
      <c r="E1388" s="11">
        <v>950</v>
      </c>
      <c r="F1388" s="11" t="s">
        <v>226</v>
      </c>
      <c r="G1388" s="7" t="s">
        <v>283</v>
      </c>
      <c r="H1388" s="10">
        <v>326</v>
      </c>
      <c r="I1388" s="9"/>
      <c r="J1388" s="7" t="s">
        <v>17</v>
      </c>
      <c r="K1388" s="7"/>
      <c r="L1388" s="7"/>
      <c r="M1388" s="7" t="str">
        <f>IF(C1388="Caixa","-",VLOOKUP(J1388,[1]Estrutura!C:E,3,FALSE))</f>
        <v>4.4</v>
      </c>
      <c r="N1388" s="7"/>
      <c r="O1388" s="7">
        <f t="shared" si="84"/>
        <v>5</v>
      </c>
      <c r="P1388" s="7">
        <f t="shared" si="85"/>
        <v>11</v>
      </c>
      <c r="Q1388" s="7">
        <f t="shared" si="86"/>
        <v>2026</v>
      </c>
      <c r="R1388" s="6">
        <f t="shared" si="87"/>
        <v>-950</v>
      </c>
      <c r="S1388" s="12">
        <v>46336</v>
      </c>
    </row>
    <row r="1389" spans="1:19">
      <c r="A1389" s="16">
        <v>46331</v>
      </c>
      <c r="B1389" s="8" t="s">
        <v>14</v>
      </c>
      <c r="C1389" s="8" t="s">
        <v>9</v>
      </c>
      <c r="D1389" s="15"/>
      <c r="E1389" s="15">
        <v>210.5</v>
      </c>
      <c r="F1389" s="15" t="s">
        <v>282</v>
      </c>
      <c r="G1389" s="8" t="s">
        <v>281</v>
      </c>
      <c r="H1389" s="14"/>
      <c r="I1389" s="13"/>
      <c r="J1389" s="21" t="s">
        <v>67</v>
      </c>
      <c r="K1389" s="8"/>
      <c r="L1389" s="8"/>
      <c r="M1389" s="8" t="str">
        <f>IF(C1389="Caixa","-",VLOOKUP(J1389,[1]Estrutura!C:E,3,FALSE))</f>
        <v>4.5</v>
      </c>
      <c r="N1389" s="8"/>
      <c r="O1389" s="7">
        <f t="shared" si="84"/>
        <v>5</v>
      </c>
      <c r="P1389" s="7">
        <f t="shared" si="85"/>
        <v>11</v>
      </c>
      <c r="Q1389" s="7">
        <f t="shared" si="86"/>
        <v>2026</v>
      </c>
      <c r="R1389" s="6">
        <f t="shared" si="87"/>
        <v>-210.5</v>
      </c>
      <c r="S1389" s="16">
        <v>46336</v>
      </c>
    </row>
    <row r="1390" spans="1:19">
      <c r="A1390" s="16">
        <v>46331</v>
      </c>
      <c r="B1390" s="7" t="s">
        <v>7</v>
      </c>
      <c r="C1390" s="7" t="s">
        <v>9</v>
      </c>
      <c r="D1390" s="15">
        <v>1386.9</v>
      </c>
      <c r="E1390" s="15"/>
      <c r="F1390" s="15"/>
      <c r="G1390" s="8" t="s">
        <v>11</v>
      </c>
      <c r="H1390" s="8"/>
      <c r="I1390" s="17"/>
      <c r="J1390" s="8" t="s">
        <v>10</v>
      </c>
      <c r="K1390" s="8"/>
      <c r="L1390" s="7"/>
      <c r="M1390" s="7" t="str">
        <f>IF(C1390="Caixa","-",VLOOKUP(J1390,[1]Estrutura!C:E,3,FALSE))</f>
        <v>1.1</v>
      </c>
      <c r="N1390" s="7"/>
      <c r="O1390" s="7">
        <f t="shared" si="84"/>
        <v>5</v>
      </c>
      <c r="P1390" s="7">
        <f t="shared" si="85"/>
        <v>11</v>
      </c>
      <c r="Q1390" s="7">
        <f t="shared" si="86"/>
        <v>2026</v>
      </c>
      <c r="R1390" s="6">
        <f t="shared" si="87"/>
        <v>1386.9</v>
      </c>
      <c r="S1390" s="12">
        <v>46336</v>
      </c>
    </row>
    <row r="1391" spans="1:19">
      <c r="A1391" s="12">
        <v>46331</v>
      </c>
      <c r="B1391" s="7" t="s">
        <v>7</v>
      </c>
      <c r="C1391" s="7" t="s">
        <v>9</v>
      </c>
      <c r="D1391" s="11"/>
      <c r="E1391" s="11">
        <v>265</v>
      </c>
      <c r="F1391" s="15" t="s">
        <v>152</v>
      </c>
      <c r="G1391" s="7" t="s">
        <v>151</v>
      </c>
      <c r="H1391" s="10"/>
      <c r="I1391" s="9"/>
      <c r="J1391" s="7" t="s">
        <v>150</v>
      </c>
      <c r="K1391" s="7" t="s">
        <v>21</v>
      </c>
      <c r="L1391" s="8"/>
      <c r="M1391" s="8" t="str">
        <f>IF(C1391="Caixa","-",VLOOKUP(J1391,[1]Estrutura!C:E,3,FALSE))</f>
        <v>4.4</v>
      </c>
      <c r="N1391" s="8"/>
      <c r="O1391" s="7">
        <f t="shared" si="84"/>
        <v>5</v>
      </c>
      <c r="P1391" s="7">
        <f t="shared" si="85"/>
        <v>11</v>
      </c>
      <c r="Q1391" s="7">
        <f t="shared" si="86"/>
        <v>2026</v>
      </c>
      <c r="R1391" s="6">
        <f t="shared" si="87"/>
        <v>-265</v>
      </c>
      <c r="S1391" s="16">
        <v>46336</v>
      </c>
    </row>
    <row r="1392" spans="1:19">
      <c r="A1392" s="16">
        <v>46331</v>
      </c>
      <c r="B1392" s="8" t="s">
        <v>7</v>
      </c>
      <c r="C1392" s="8" t="s">
        <v>9</v>
      </c>
      <c r="D1392" s="15"/>
      <c r="E1392" s="15">
        <v>946.67</v>
      </c>
      <c r="F1392" s="15" t="s">
        <v>280</v>
      </c>
      <c r="G1392" s="8" t="s">
        <v>279</v>
      </c>
      <c r="H1392" s="14"/>
      <c r="I1392" s="13"/>
      <c r="J1392" s="8" t="s">
        <v>27</v>
      </c>
      <c r="K1392" s="8"/>
      <c r="L1392" s="7"/>
      <c r="M1392" s="7" t="str">
        <f>IF(C1392="Caixa","-",VLOOKUP(J1392,[1]Estrutura!C:E,3,FALSE))</f>
        <v>7.3</v>
      </c>
      <c r="N1392" s="7"/>
      <c r="O1392" s="7">
        <f t="shared" si="84"/>
        <v>5</v>
      </c>
      <c r="P1392" s="7">
        <f t="shared" si="85"/>
        <v>11</v>
      </c>
      <c r="Q1392" s="7">
        <f t="shared" si="86"/>
        <v>2026</v>
      </c>
      <c r="R1392" s="6">
        <f t="shared" si="87"/>
        <v>-946.67</v>
      </c>
      <c r="S1392" s="12">
        <v>46336</v>
      </c>
    </row>
    <row r="1393" spans="1:19">
      <c r="A1393" s="12">
        <v>46332</v>
      </c>
      <c r="B1393" s="7" t="s">
        <v>14</v>
      </c>
      <c r="C1393" s="7" t="s">
        <v>9</v>
      </c>
      <c r="D1393" s="11">
        <v>9751.4500000000007</v>
      </c>
      <c r="E1393" s="11"/>
      <c r="F1393" s="11" t="s">
        <v>181</v>
      </c>
      <c r="G1393" s="7" t="s">
        <v>180</v>
      </c>
      <c r="H1393" s="10"/>
      <c r="I1393" s="9"/>
      <c r="J1393" s="7" t="s">
        <v>179</v>
      </c>
      <c r="K1393" s="7"/>
      <c r="L1393" s="8"/>
      <c r="M1393" s="8" t="str">
        <f>IF(C1393="Caixa","-",VLOOKUP(J1393,[1]Estrutura!C:E,3,FALSE))</f>
        <v>1.2</v>
      </c>
      <c r="N1393" s="8"/>
      <c r="O1393" s="7">
        <f t="shared" si="84"/>
        <v>6</v>
      </c>
      <c r="P1393" s="7">
        <f t="shared" si="85"/>
        <v>11</v>
      </c>
      <c r="Q1393" s="7">
        <f t="shared" si="86"/>
        <v>2026</v>
      </c>
      <c r="R1393" s="6">
        <f t="shared" si="87"/>
        <v>9751.4500000000007</v>
      </c>
      <c r="S1393" s="12">
        <v>46336</v>
      </c>
    </row>
    <row r="1394" spans="1:19">
      <c r="A1394" s="12">
        <v>46332</v>
      </c>
      <c r="B1394" s="7" t="s">
        <v>26</v>
      </c>
      <c r="C1394" s="7" t="s">
        <v>25</v>
      </c>
      <c r="D1394" s="11"/>
      <c r="E1394" s="11">
        <v>5000</v>
      </c>
      <c r="F1394" s="11" t="s">
        <v>109</v>
      </c>
      <c r="G1394" s="7" t="s">
        <v>278</v>
      </c>
      <c r="H1394" s="10">
        <v>9840</v>
      </c>
      <c r="I1394" s="9"/>
      <c r="J1394" s="7" t="s">
        <v>17</v>
      </c>
      <c r="K1394" s="7" t="s">
        <v>21</v>
      </c>
      <c r="L1394" s="7"/>
      <c r="M1394" s="7" t="str">
        <f>IF(C1394="Caixa","-",VLOOKUP(J1394,[1]Estrutura!C:E,3,FALSE))</f>
        <v>4.4</v>
      </c>
      <c r="N1394" s="7"/>
      <c r="O1394" s="7">
        <f t="shared" si="84"/>
        <v>6</v>
      </c>
      <c r="P1394" s="7">
        <f t="shared" si="85"/>
        <v>11</v>
      </c>
      <c r="Q1394" s="7">
        <f t="shared" si="86"/>
        <v>2026</v>
      </c>
      <c r="R1394" s="6">
        <f t="shared" si="87"/>
        <v>-5000</v>
      </c>
      <c r="S1394" s="16">
        <v>46336</v>
      </c>
    </row>
    <row r="1395" spans="1:19">
      <c r="A1395" s="16">
        <v>46332</v>
      </c>
      <c r="B1395" s="7" t="s">
        <v>7</v>
      </c>
      <c r="C1395" s="7" t="s">
        <v>9</v>
      </c>
      <c r="D1395" s="15">
        <v>5732.3399999999992</v>
      </c>
      <c r="E1395" s="15"/>
      <c r="F1395" s="15"/>
      <c r="G1395" s="8" t="s">
        <v>11</v>
      </c>
      <c r="H1395" s="8"/>
      <c r="I1395" s="17"/>
      <c r="J1395" s="8" t="s">
        <v>10</v>
      </c>
      <c r="K1395" s="8"/>
      <c r="L1395" s="8"/>
      <c r="M1395" s="8" t="str">
        <f>IF(C1395="Caixa","-",VLOOKUP(J1395,[1]Estrutura!C:E,3,FALSE))</f>
        <v>1.1</v>
      </c>
      <c r="N1395" s="8"/>
      <c r="O1395" s="7">
        <f t="shared" si="84"/>
        <v>6</v>
      </c>
      <c r="P1395" s="7">
        <f t="shared" si="85"/>
        <v>11</v>
      </c>
      <c r="Q1395" s="7">
        <f t="shared" si="86"/>
        <v>2026</v>
      </c>
      <c r="R1395" s="6">
        <f t="shared" si="87"/>
        <v>5732.3399999999992</v>
      </c>
      <c r="S1395" s="12">
        <v>46336</v>
      </c>
    </row>
    <row r="1396" spans="1:19">
      <c r="A1396" s="16">
        <v>46333</v>
      </c>
      <c r="B1396" s="7" t="s">
        <v>7</v>
      </c>
      <c r="C1396" s="7" t="s">
        <v>9</v>
      </c>
      <c r="D1396" s="15">
        <v>1248.33</v>
      </c>
      <c r="E1396" s="15"/>
      <c r="F1396" s="15"/>
      <c r="G1396" s="8" t="s">
        <v>11</v>
      </c>
      <c r="H1396" s="8"/>
      <c r="I1396" s="17"/>
      <c r="J1396" s="8" t="s">
        <v>10</v>
      </c>
      <c r="K1396" s="8"/>
      <c r="L1396" s="7"/>
      <c r="M1396" s="7" t="str">
        <f>IF(C1396="Caixa","-",VLOOKUP(J1396,[1]Estrutura!C:E,3,FALSE))</f>
        <v>1.1</v>
      </c>
      <c r="N1396" s="7"/>
      <c r="O1396" s="7">
        <f t="shared" si="84"/>
        <v>7</v>
      </c>
      <c r="P1396" s="7">
        <f t="shared" si="85"/>
        <v>11</v>
      </c>
      <c r="Q1396" s="7">
        <f t="shared" si="86"/>
        <v>2026</v>
      </c>
      <c r="R1396" s="6">
        <f t="shared" si="87"/>
        <v>1248.33</v>
      </c>
      <c r="S1396" s="12">
        <v>46336</v>
      </c>
    </row>
    <row r="1397" spans="1:19">
      <c r="A1397" s="16">
        <v>46333</v>
      </c>
      <c r="B1397" s="8" t="s">
        <v>7</v>
      </c>
      <c r="C1397" s="8" t="s">
        <v>9</v>
      </c>
      <c r="D1397" s="15"/>
      <c r="E1397" s="15">
        <v>3500</v>
      </c>
      <c r="F1397" s="15" t="s">
        <v>132</v>
      </c>
      <c r="G1397" s="15" t="s">
        <v>277</v>
      </c>
      <c r="H1397" s="14">
        <v>44</v>
      </c>
      <c r="I1397" s="13"/>
      <c r="J1397" s="8" t="s">
        <v>29</v>
      </c>
      <c r="K1397" s="8"/>
      <c r="L1397" s="8"/>
      <c r="M1397" s="8" t="str">
        <f>IF(C1397="Caixa","-",VLOOKUP(J1397,[1]Estrutura!C:E,3,FALSE))</f>
        <v>4.8</v>
      </c>
      <c r="N1397" s="8"/>
      <c r="O1397" s="7">
        <f t="shared" si="84"/>
        <v>7</v>
      </c>
      <c r="P1397" s="7">
        <f t="shared" si="85"/>
        <v>11</v>
      </c>
      <c r="Q1397" s="7">
        <f t="shared" si="86"/>
        <v>2026</v>
      </c>
      <c r="R1397" s="6">
        <f t="shared" si="87"/>
        <v>-3500</v>
      </c>
      <c r="S1397" s="16">
        <v>46336</v>
      </c>
    </row>
    <row r="1398" spans="1:19">
      <c r="A1398" s="16">
        <v>46334</v>
      </c>
      <c r="B1398" s="8" t="s">
        <v>14</v>
      </c>
      <c r="C1398" s="7" t="s">
        <v>9</v>
      </c>
      <c r="D1398" s="15">
        <v>1273.52</v>
      </c>
      <c r="E1398" s="15"/>
      <c r="F1398" s="15"/>
      <c r="G1398" s="8" t="s">
        <v>11</v>
      </c>
      <c r="H1398" s="8"/>
      <c r="I1398" s="17"/>
      <c r="J1398" s="8" t="s">
        <v>10</v>
      </c>
      <c r="K1398" s="8"/>
      <c r="L1398" s="7"/>
      <c r="M1398" s="7" t="str">
        <f>IF(C1398="Caixa","-",VLOOKUP(J1398,[1]Estrutura!C:E,3,FALSE))</f>
        <v>1.1</v>
      </c>
      <c r="N1398" s="7"/>
      <c r="O1398" s="7">
        <f t="shared" si="84"/>
        <v>8</v>
      </c>
      <c r="P1398" s="7">
        <f t="shared" si="85"/>
        <v>11</v>
      </c>
      <c r="Q1398" s="7">
        <f t="shared" si="86"/>
        <v>2026</v>
      </c>
      <c r="R1398" s="6">
        <f t="shared" si="87"/>
        <v>1273.52</v>
      </c>
      <c r="S1398" s="12">
        <v>46336</v>
      </c>
    </row>
    <row r="1399" spans="1:19">
      <c r="A1399" s="16">
        <v>46334</v>
      </c>
      <c r="B1399" s="7" t="s">
        <v>7</v>
      </c>
      <c r="C1399" s="7" t="s">
        <v>9</v>
      </c>
      <c r="D1399" s="15">
        <v>911.88</v>
      </c>
      <c r="E1399" s="15"/>
      <c r="F1399" s="15"/>
      <c r="G1399" s="8" t="s">
        <v>11</v>
      </c>
      <c r="H1399" s="8"/>
      <c r="I1399" s="17"/>
      <c r="J1399" s="8" t="s">
        <v>10</v>
      </c>
      <c r="K1399" s="8"/>
      <c r="L1399" s="8"/>
      <c r="M1399" s="8" t="str">
        <f>IF(C1399="Caixa","-",VLOOKUP(J1399,[1]Estrutura!C:E,3,FALSE))</f>
        <v>1.1</v>
      </c>
      <c r="N1399" s="8"/>
      <c r="O1399" s="7">
        <f t="shared" si="84"/>
        <v>8</v>
      </c>
      <c r="P1399" s="7">
        <f t="shared" si="85"/>
        <v>11</v>
      </c>
      <c r="Q1399" s="7">
        <f t="shared" si="86"/>
        <v>2026</v>
      </c>
      <c r="R1399" s="6">
        <f t="shared" si="87"/>
        <v>911.88</v>
      </c>
      <c r="S1399" s="16">
        <v>46336</v>
      </c>
    </row>
    <row r="1400" spans="1:19">
      <c r="A1400" s="16">
        <v>46335</v>
      </c>
      <c r="B1400" s="8" t="s">
        <v>26</v>
      </c>
      <c r="C1400" s="8" t="s">
        <v>6</v>
      </c>
      <c r="D1400" s="15">
        <v>150000</v>
      </c>
      <c r="E1400" s="15"/>
      <c r="F1400" s="11" t="s">
        <v>148</v>
      </c>
      <c r="G1400" s="8" t="s">
        <v>129</v>
      </c>
      <c r="H1400" s="14"/>
      <c r="I1400" s="13"/>
      <c r="J1400" s="8" t="s">
        <v>128</v>
      </c>
      <c r="K1400" s="8" t="s">
        <v>21</v>
      </c>
      <c r="L1400" s="7"/>
      <c r="M1400" s="7" t="str">
        <f>IF(C1400="Caixa","-",VLOOKUP(J1400,[1]Estrutura!C:E,3,FALSE))</f>
        <v>9.1</v>
      </c>
      <c r="N1400" s="7"/>
      <c r="O1400" s="7">
        <f t="shared" si="84"/>
        <v>9</v>
      </c>
      <c r="P1400" s="7">
        <f t="shared" si="85"/>
        <v>11</v>
      </c>
      <c r="Q1400" s="7">
        <f t="shared" si="86"/>
        <v>2026</v>
      </c>
      <c r="R1400" s="6">
        <f t="shared" si="87"/>
        <v>150000</v>
      </c>
      <c r="S1400" s="16">
        <v>46336</v>
      </c>
    </row>
    <row r="1401" spans="1:19">
      <c r="A1401" s="12">
        <v>46335</v>
      </c>
      <c r="B1401" s="8" t="s">
        <v>7</v>
      </c>
      <c r="C1401" s="8" t="s">
        <v>9</v>
      </c>
      <c r="D1401" s="15"/>
      <c r="E1401" s="15">
        <v>150000</v>
      </c>
      <c r="F1401" s="15" t="s">
        <v>76</v>
      </c>
      <c r="G1401" s="8" t="s">
        <v>129</v>
      </c>
      <c r="H1401" s="14"/>
      <c r="I1401" s="13"/>
      <c r="J1401" s="8" t="s">
        <v>128</v>
      </c>
      <c r="K1401" s="8"/>
      <c r="L1401" s="8"/>
      <c r="M1401" s="8" t="str">
        <f>IF(C1401="Caixa","-",VLOOKUP(J1401,[1]Estrutura!C:E,3,FALSE))</f>
        <v>9.1</v>
      </c>
      <c r="N1401" s="8"/>
      <c r="O1401" s="7">
        <f t="shared" si="84"/>
        <v>9</v>
      </c>
      <c r="P1401" s="7">
        <f t="shared" si="85"/>
        <v>11</v>
      </c>
      <c r="Q1401" s="7">
        <f t="shared" si="86"/>
        <v>2026</v>
      </c>
      <c r="R1401" s="6">
        <f t="shared" si="87"/>
        <v>-150000</v>
      </c>
      <c r="S1401" s="12">
        <v>46336</v>
      </c>
    </row>
    <row r="1402" spans="1:19">
      <c r="A1402" s="16">
        <v>46336</v>
      </c>
      <c r="B1402" s="8" t="s">
        <v>14</v>
      </c>
      <c r="C1402" s="7" t="s">
        <v>9</v>
      </c>
      <c r="D1402" s="15">
        <v>5286.0999999999995</v>
      </c>
      <c r="E1402" s="15"/>
      <c r="F1402" s="15"/>
      <c r="G1402" s="8" t="s">
        <v>11</v>
      </c>
      <c r="H1402" s="8"/>
      <c r="I1402" s="17"/>
      <c r="J1402" s="8" t="s">
        <v>10</v>
      </c>
      <c r="K1402" s="8"/>
      <c r="L1402" s="7"/>
      <c r="M1402" s="7" t="str">
        <f>IF(C1402="Caixa","-",VLOOKUP(J1402,[1]Estrutura!C:E,3,FALSE))</f>
        <v>1.1</v>
      </c>
      <c r="N1402" s="7"/>
      <c r="O1402" s="7">
        <f t="shared" si="84"/>
        <v>10</v>
      </c>
      <c r="P1402" s="7">
        <f t="shared" si="85"/>
        <v>11</v>
      </c>
      <c r="Q1402" s="7">
        <f t="shared" si="86"/>
        <v>2026</v>
      </c>
      <c r="R1402" s="6">
        <f t="shared" si="87"/>
        <v>5286.0999999999995</v>
      </c>
      <c r="S1402" s="16">
        <v>46336</v>
      </c>
    </row>
    <row r="1403" spans="1:19">
      <c r="A1403" s="16">
        <v>46336</v>
      </c>
      <c r="B1403" s="7" t="s">
        <v>14</v>
      </c>
      <c r="C1403" s="7" t="s">
        <v>9</v>
      </c>
      <c r="D1403" s="11">
        <v>200000</v>
      </c>
      <c r="E1403" s="11"/>
      <c r="F1403" s="11" t="s">
        <v>148</v>
      </c>
      <c r="G1403" s="8" t="s">
        <v>129</v>
      </c>
      <c r="H1403" s="10"/>
      <c r="I1403" s="9"/>
      <c r="J1403" s="7" t="s">
        <v>128</v>
      </c>
      <c r="K1403" s="7"/>
      <c r="L1403" s="8"/>
      <c r="M1403" s="8" t="str">
        <f>IF(C1403="Caixa","-",VLOOKUP(J1403,[1]Estrutura!C:E,3,FALSE))</f>
        <v>9.1</v>
      </c>
      <c r="N1403" s="8"/>
      <c r="O1403" s="7">
        <f t="shared" si="84"/>
        <v>10</v>
      </c>
      <c r="P1403" s="7">
        <f t="shared" si="85"/>
        <v>11</v>
      </c>
      <c r="Q1403" s="7">
        <f t="shared" si="86"/>
        <v>2026</v>
      </c>
      <c r="R1403" s="6">
        <f t="shared" si="87"/>
        <v>200000</v>
      </c>
      <c r="S1403" s="12">
        <v>46336</v>
      </c>
    </row>
    <row r="1404" spans="1:19">
      <c r="A1404" s="12">
        <v>46336</v>
      </c>
      <c r="B1404" s="7" t="s">
        <v>14</v>
      </c>
      <c r="C1404" s="7" t="s">
        <v>9</v>
      </c>
      <c r="D1404" s="11"/>
      <c r="E1404" s="11">
        <v>39.9</v>
      </c>
      <c r="F1404" s="11" t="s">
        <v>171</v>
      </c>
      <c r="G1404" s="11" t="s">
        <v>276</v>
      </c>
      <c r="H1404" s="10"/>
      <c r="I1404" s="9"/>
      <c r="J1404" s="7" t="s">
        <v>150</v>
      </c>
      <c r="K1404" s="7"/>
      <c r="L1404" s="7"/>
      <c r="M1404" s="7" t="str">
        <f>IF(C1404="Caixa","-",VLOOKUP(J1404,[1]Estrutura!C:E,3,FALSE))</f>
        <v>4.4</v>
      </c>
      <c r="N1404" s="7"/>
      <c r="O1404" s="7">
        <f t="shared" si="84"/>
        <v>10</v>
      </c>
      <c r="P1404" s="7">
        <f t="shared" si="85"/>
        <v>11</v>
      </c>
      <c r="Q1404" s="7">
        <f t="shared" si="86"/>
        <v>2026</v>
      </c>
      <c r="R1404" s="6">
        <f t="shared" si="87"/>
        <v>-39.9</v>
      </c>
      <c r="S1404" s="16">
        <v>46336</v>
      </c>
    </row>
    <row r="1405" spans="1:19">
      <c r="A1405" s="16">
        <v>46336</v>
      </c>
      <c r="B1405" s="8" t="s">
        <v>14</v>
      </c>
      <c r="C1405" s="8" t="s">
        <v>9</v>
      </c>
      <c r="D1405" s="15"/>
      <c r="E1405" s="15">
        <v>1085.6300000000001</v>
      </c>
      <c r="F1405" s="15" t="s">
        <v>171</v>
      </c>
      <c r="G1405" s="15" t="s">
        <v>172</v>
      </c>
      <c r="H1405" s="14"/>
      <c r="I1405" s="13"/>
      <c r="J1405" s="8" t="s">
        <v>150</v>
      </c>
      <c r="K1405" s="8"/>
      <c r="L1405" s="8"/>
      <c r="M1405" s="8" t="str">
        <f>IF(C1405="Caixa","-",VLOOKUP(J1405,[1]Estrutura!C:E,3,FALSE))</f>
        <v>4.4</v>
      </c>
      <c r="N1405" s="8"/>
      <c r="O1405" s="7">
        <f t="shared" si="84"/>
        <v>10</v>
      </c>
      <c r="P1405" s="7">
        <f t="shared" si="85"/>
        <v>11</v>
      </c>
      <c r="Q1405" s="7">
        <f t="shared" si="86"/>
        <v>2026</v>
      </c>
      <c r="R1405" s="6">
        <f t="shared" si="87"/>
        <v>-1085.6300000000001</v>
      </c>
      <c r="S1405" s="12">
        <v>46336</v>
      </c>
    </row>
    <row r="1406" spans="1:19">
      <c r="A1406" s="12">
        <v>46336</v>
      </c>
      <c r="B1406" s="7" t="s">
        <v>14</v>
      </c>
      <c r="C1406" s="7" t="s">
        <v>9</v>
      </c>
      <c r="D1406" s="11"/>
      <c r="E1406" s="11">
        <v>700.74</v>
      </c>
      <c r="F1406" s="11" t="s">
        <v>24</v>
      </c>
      <c r="G1406" s="7" t="s">
        <v>126</v>
      </c>
      <c r="H1406" s="10"/>
      <c r="I1406" s="9"/>
      <c r="J1406" s="7" t="s">
        <v>77</v>
      </c>
      <c r="K1406" s="7"/>
      <c r="L1406" s="7"/>
      <c r="M1406" s="7" t="str">
        <f>IF(C1406="Caixa","-",VLOOKUP(J1406,[1]Estrutura!C:E,3,FALSE))</f>
        <v>4.3</v>
      </c>
      <c r="N1406" s="7"/>
      <c r="O1406" s="7">
        <f t="shared" si="84"/>
        <v>10</v>
      </c>
      <c r="P1406" s="7">
        <f t="shared" si="85"/>
        <v>11</v>
      </c>
      <c r="Q1406" s="7">
        <f t="shared" si="86"/>
        <v>2026</v>
      </c>
      <c r="R1406" s="6">
        <f t="shared" si="87"/>
        <v>-700.74</v>
      </c>
      <c r="S1406" s="16">
        <v>46336</v>
      </c>
    </row>
    <row r="1407" spans="1:19">
      <c r="A1407" s="16">
        <v>46336</v>
      </c>
      <c r="B1407" s="8" t="s">
        <v>14</v>
      </c>
      <c r="C1407" s="8" t="s">
        <v>9</v>
      </c>
      <c r="D1407" s="15"/>
      <c r="E1407" s="15">
        <v>4.5</v>
      </c>
      <c r="F1407" s="15" t="s">
        <v>275</v>
      </c>
      <c r="G1407" s="15" t="s">
        <v>274</v>
      </c>
      <c r="H1407" s="14">
        <v>16690471</v>
      </c>
      <c r="I1407" s="13"/>
      <c r="J1407" s="8" t="s">
        <v>273</v>
      </c>
      <c r="K1407" s="8"/>
      <c r="L1407" s="8"/>
      <c r="M1407" s="8" t="str">
        <f>IF(C1407="Caixa","-",VLOOKUP(J1407,[1]Estrutura!C:E,3,FALSE))</f>
        <v>4.9</v>
      </c>
      <c r="N1407" s="8"/>
      <c r="O1407" s="7">
        <f t="shared" si="84"/>
        <v>10</v>
      </c>
      <c r="P1407" s="7">
        <f t="shared" si="85"/>
        <v>11</v>
      </c>
      <c r="Q1407" s="7">
        <f t="shared" si="86"/>
        <v>2026</v>
      </c>
      <c r="R1407" s="6">
        <f t="shared" si="87"/>
        <v>-4.5</v>
      </c>
      <c r="S1407" s="16">
        <v>46336</v>
      </c>
    </row>
    <row r="1408" spans="1:19">
      <c r="A1408" s="12">
        <v>46336</v>
      </c>
      <c r="B1408" s="7" t="s">
        <v>14</v>
      </c>
      <c r="C1408" s="7" t="s">
        <v>9</v>
      </c>
      <c r="D1408" s="11"/>
      <c r="E1408" s="11">
        <v>489.24</v>
      </c>
      <c r="F1408" s="11" t="s">
        <v>166</v>
      </c>
      <c r="G1408" s="11" t="s">
        <v>272</v>
      </c>
      <c r="H1408" s="10">
        <v>15098832</v>
      </c>
      <c r="I1408" s="9"/>
      <c r="J1408" s="7" t="s">
        <v>64</v>
      </c>
      <c r="K1408" s="7"/>
      <c r="L1408" s="7"/>
      <c r="M1408" s="7" t="str">
        <f>IF(C1408="Caixa","-",VLOOKUP(J1408,[1]Estrutura!C:E,3,FALSE))</f>
        <v>4.4</v>
      </c>
      <c r="N1408" s="7"/>
      <c r="O1408" s="7">
        <f t="shared" si="84"/>
        <v>10</v>
      </c>
      <c r="P1408" s="7">
        <f t="shared" si="85"/>
        <v>11</v>
      </c>
      <c r="Q1408" s="7">
        <f t="shared" si="86"/>
        <v>2026</v>
      </c>
      <c r="R1408" s="6">
        <f t="shared" si="87"/>
        <v>-489.24</v>
      </c>
      <c r="S1408" s="16">
        <v>46336</v>
      </c>
    </row>
    <row r="1409" spans="1:19">
      <c r="A1409" s="16">
        <v>46336</v>
      </c>
      <c r="B1409" s="8" t="s">
        <v>14</v>
      </c>
      <c r="C1409" s="8" t="s">
        <v>9</v>
      </c>
      <c r="D1409" s="15"/>
      <c r="E1409" s="15">
        <v>100000</v>
      </c>
      <c r="F1409" s="15" t="s">
        <v>138</v>
      </c>
      <c r="G1409" s="8" t="s">
        <v>129</v>
      </c>
      <c r="H1409" s="14"/>
      <c r="I1409" s="13"/>
      <c r="J1409" s="8" t="s">
        <v>128</v>
      </c>
      <c r="K1409" s="8"/>
      <c r="L1409" s="8"/>
      <c r="M1409" s="8" t="str">
        <f>IF(C1409="Caixa","-",VLOOKUP(J1409,[1]Estrutura!C:E,3,FALSE))</f>
        <v>9.1</v>
      </c>
      <c r="N1409" s="8"/>
      <c r="O1409" s="7">
        <f t="shared" si="84"/>
        <v>10</v>
      </c>
      <c r="P1409" s="7">
        <f t="shared" si="85"/>
        <v>11</v>
      </c>
      <c r="Q1409" s="7">
        <f t="shared" si="86"/>
        <v>2026</v>
      </c>
      <c r="R1409" s="6">
        <f t="shared" si="87"/>
        <v>-100000</v>
      </c>
      <c r="S1409" s="16">
        <v>46337</v>
      </c>
    </row>
    <row r="1410" spans="1:19">
      <c r="A1410" s="12">
        <v>46336</v>
      </c>
      <c r="B1410" s="7" t="s">
        <v>14</v>
      </c>
      <c r="C1410" s="7" t="s">
        <v>9</v>
      </c>
      <c r="D1410" s="11"/>
      <c r="E1410" s="11">
        <v>1265.23</v>
      </c>
      <c r="F1410" s="11" t="s">
        <v>271</v>
      </c>
      <c r="G1410" s="11" t="s">
        <v>270</v>
      </c>
      <c r="H1410" s="10"/>
      <c r="I1410" s="9"/>
      <c r="J1410" s="7" t="s">
        <v>269</v>
      </c>
      <c r="K1410" s="7"/>
      <c r="L1410" s="7"/>
      <c r="M1410" s="7" t="str">
        <f>IF(C1410="Caixa","-",VLOOKUP(J1410,[1]Estrutura!C:E,3,FALSE))</f>
        <v>4.7</v>
      </c>
      <c r="N1410" s="7"/>
      <c r="O1410" s="7">
        <f t="shared" si="84"/>
        <v>10</v>
      </c>
      <c r="P1410" s="7">
        <f t="shared" si="85"/>
        <v>11</v>
      </c>
      <c r="Q1410" s="7">
        <f t="shared" si="86"/>
        <v>2026</v>
      </c>
      <c r="R1410" s="6">
        <f t="shared" si="87"/>
        <v>-1265.23</v>
      </c>
      <c r="S1410" s="16">
        <v>46337</v>
      </c>
    </row>
    <row r="1411" spans="1:19">
      <c r="A1411" s="16">
        <v>46336</v>
      </c>
      <c r="B1411" s="8" t="s">
        <v>14</v>
      </c>
      <c r="C1411" s="8" t="s">
        <v>9</v>
      </c>
      <c r="D1411" s="15"/>
      <c r="E1411" s="15">
        <v>410</v>
      </c>
      <c r="F1411" s="15" t="s">
        <v>268</v>
      </c>
      <c r="G1411" s="8" t="s">
        <v>267</v>
      </c>
      <c r="H1411" s="14">
        <v>13826</v>
      </c>
      <c r="I1411" s="13"/>
      <c r="J1411" s="8" t="s">
        <v>22</v>
      </c>
      <c r="K1411" s="8"/>
      <c r="L1411" s="8"/>
      <c r="M1411" s="8" t="str">
        <f>IF(C1411="Caixa","-",VLOOKUP(J1411,[1]Estrutura!C:E,3,FALSE))</f>
        <v>4.3</v>
      </c>
      <c r="N1411" s="8"/>
      <c r="O1411" s="7">
        <f t="shared" si="84"/>
        <v>10</v>
      </c>
      <c r="P1411" s="7">
        <f t="shared" si="85"/>
        <v>11</v>
      </c>
      <c r="Q1411" s="7">
        <f t="shared" si="86"/>
        <v>2026</v>
      </c>
      <c r="R1411" s="6">
        <f t="shared" si="87"/>
        <v>-410</v>
      </c>
      <c r="S1411" s="16">
        <v>46338</v>
      </c>
    </row>
    <row r="1412" spans="1:19">
      <c r="A1412" s="12">
        <v>46336</v>
      </c>
      <c r="B1412" s="7" t="s">
        <v>14</v>
      </c>
      <c r="C1412" s="7" t="s">
        <v>9</v>
      </c>
      <c r="D1412" s="11"/>
      <c r="E1412" s="11">
        <v>109.8</v>
      </c>
      <c r="F1412" s="11" t="s">
        <v>24</v>
      </c>
      <c r="G1412" s="7" t="s">
        <v>266</v>
      </c>
      <c r="H1412" s="10"/>
      <c r="I1412" s="9"/>
      <c r="J1412" s="7" t="s">
        <v>22</v>
      </c>
      <c r="K1412" s="7"/>
      <c r="L1412" s="7"/>
      <c r="M1412" s="7" t="str">
        <f>IF(C1412="Caixa","-",VLOOKUP(J1412,[1]Estrutura!C:E,3,FALSE))</f>
        <v>4.3</v>
      </c>
      <c r="N1412" s="7"/>
      <c r="O1412" s="7">
        <f t="shared" si="84"/>
        <v>10</v>
      </c>
      <c r="P1412" s="7">
        <f t="shared" si="85"/>
        <v>11</v>
      </c>
      <c r="Q1412" s="7">
        <f t="shared" si="86"/>
        <v>2026</v>
      </c>
      <c r="R1412" s="6">
        <f t="shared" si="87"/>
        <v>-109.8</v>
      </c>
      <c r="S1412" s="12">
        <v>46338</v>
      </c>
    </row>
    <row r="1413" spans="1:19">
      <c r="A1413" s="12">
        <v>46336</v>
      </c>
      <c r="B1413" s="7" t="s">
        <v>14</v>
      </c>
      <c r="C1413" s="7" t="s">
        <v>9</v>
      </c>
      <c r="D1413" s="11"/>
      <c r="E1413" s="11">
        <v>410</v>
      </c>
      <c r="F1413" s="11" t="s">
        <v>177</v>
      </c>
      <c r="G1413" s="7" t="s">
        <v>176</v>
      </c>
      <c r="H1413" s="10"/>
      <c r="I1413" s="9"/>
      <c r="J1413" s="7" t="s">
        <v>22</v>
      </c>
      <c r="K1413" s="7"/>
      <c r="L1413" s="8"/>
      <c r="M1413" s="8" t="str">
        <f>IF(C1413="Caixa","-",VLOOKUP(J1413,[1]Estrutura!C:E,3,FALSE))</f>
        <v>4.3</v>
      </c>
      <c r="N1413" s="8"/>
      <c r="O1413" s="7">
        <f t="shared" si="84"/>
        <v>10</v>
      </c>
      <c r="P1413" s="7">
        <f t="shared" si="85"/>
        <v>11</v>
      </c>
      <c r="Q1413" s="7">
        <f t="shared" si="86"/>
        <v>2026</v>
      </c>
      <c r="R1413" s="6">
        <f t="shared" si="87"/>
        <v>-410</v>
      </c>
      <c r="S1413" s="12">
        <v>46338</v>
      </c>
    </row>
    <row r="1414" spans="1:19">
      <c r="A1414" s="16">
        <v>46336</v>
      </c>
      <c r="B1414" s="8" t="s">
        <v>26</v>
      </c>
      <c r="C1414" s="8" t="s">
        <v>6</v>
      </c>
      <c r="D1414" s="15"/>
      <c r="E1414" s="15">
        <v>313.29000000000002</v>
      </c>
      <c r="F1414" s="15" t="s">
        <v>265</v>
      </c>
      <c r="G1414" s="8" t="s">
        <v>264</v>
      </c>
      <c r="H1414" s="14"/>
      <c r="I1414" s="13"/>
      <c r="J1414" s="8" t="s">
        <v>150</v>
      </c>
      <c r="K1414" s="8" t="s">
        <v>21</v>
      </c>
      <c r="L1414" s="7"/>
      <c r="M1414" s="7" t="str">
        <f>IF(C1414="Caixa","-",VLOOKUP(J1414,[1]Estrutura!C:E,3,FALSE))</f>
        <v>4.4</v>
      </c>
      <c r="N1414" s="7"/>
      <c r="O1414" s="7">
        <f t="shared" si="84"/>
        <v>10</v>
      </c>
      <c r="P1414" s="7">
        <f t="shared" si="85"/>
        <v>11</v>
      </c>
      <c r="Q1414" s="7">
        <f t="shared" si="86"/>
        <v>2026</v>
      </c>
      <c r="R1414" s="6">
        <f t="shared" si="87"/>
        <v>-313.29000000000002</v>
      </c>
      <c r="S1414" s="12">
        <v>46338</v>
      </c>
    </row>
    <row r="1415" spans="1:19">
      <c r="A1415" s="12">
        <v>46336</v>
      </c>
      <c r="B1415" s="7" t="s">
        <v>26</v>
      </c>
      <c r="C1415" s="7" t="s">
        <v>6</v>
      </c>
      <c r="D1415" s="11"/>
      <c r="E1415" s="15">
        <v>8500</v>
      </c>
      <c r="F1415" s="11" t="s">
        <v>263</v>
      </c>
      <c r="G1415" s="7" t="s">
        <v>262</v>
      </c>
      <c r="H1415" s="10"/>
      <c r="I1415" s="9"/>
      <c r="J1415" s="7" t="s">
        <v>116</v>
      </c>
      <c r="K1415" s="7" t="s">
        <v>21</v>
      </c>
      <c r="L1415" s="8"/>
      <c r="M1415" s="8" t="str">
        <f>IF(C1415="Caixa","-",VLOOKUP(J1415,[1]Estrutura!C:E,3,FALSE))</f>
        <v>4.12</v>
      </c>
      <c r="N1415" s="8"/>
      <c r="O1415" s="7">
        <f t="shared" si="84"/>
        <v>10</v>
      </c>
      <c r="P1415" s="7">
        <f t="shared" si="85"/>
        <v>11</v>
      </c>
      <c r="Q1415" s="7">
        <f t="shared" si="86"/>
        <v>2026</v>
      </c>
      <c r="R1415" s="6">
        <f t="shared" si="87"/>
        <v>-8500</v>
      </c>
      <c r="S1415" s="16">
        <v>46338</v>
      </c>
    </row>
    <row r="1416" spans="1:19">
      <c r="A1416" s="12">
        <v>46336</v>
      </c>
      <c r="B1416" s="7" t="s">
        <v>26</v>
      </c>
      <c r="C1416" s="7" t="s">
        <v>25</v>
      </c>
      <c r="D1416" s="11"/>
      <c r="E1416" s="11">
        <v>717.91</v>
      </c>
      <c r="F1416" s="11" t="s">
        <v>101</v>
      </c>
      <c r="G1416" s="7" t="s">
        <v>261</v>
      </c>
      <c r="H1416" s="10"/>
      <c r="I1416" s="9"/>
      <c r="J1416" s="8" t="s">
        <v>99</v>
      </c>
      <c r="K1416" s="7" t="s">
        <v>34</v>
      </c>
      <c r="L1416" s="7"/>
      <c r="M1416" s="7" t="str">
        <f>IF(C1416="Caixa","-",VLOOKUP(J1416,[1]Estrutura!C:E,3,FALSE))</f>
        <v>4.3</v>
      </c>
      <c r="N1416" s="7"/>
      <c r="O1416" s="7">
        <f t="shared" si="84"/>
        <v>10</v>
      </c>
      <c r="P1416" s="7">
        <f t="shared" si="85"/>
        <v>11</v>
      </c>
      <c r="Q1416" s="7">
        <f t="shared" si="86"/>
        <v>2026</v>
      </c>
      <c r="R1416" s="6">
        <f t="shared" si="87"/>
        <v>-717.91</v>
      </c>
      <c r="S1416" s="16">
        <v>46339</v>
      </c>
    </row>
    <row r="1417" spans="1:19">
      <c r="A1417" s="16">
        <v>46336</v>
      </c>
      <c r="B1417" s="8" t="s">
        <v>26</v>
      </c>
      <c r="C1417" s="8" t="s">
        <v>25</v>
      </c>
      <c r="D1417" s="15"/>
      <c r="E1417" s="15">
        <v>1037.3900000000001</v>
      </c>
      <c r="F1417" s="15" t="s">
        <v>101</v>
      </c>
      <c r="G1417" s="8" t="s">
        <v>260</v>
      </c>
      <c r="H1417" s="14"/>
      <c r="I1417" s="13"/>
      <c r="J1417" s="8" t="s">
        <v>99</v>
      </c>
      <c r="K1417" s="8" t="s">
        <v>34</v>
      </c>
      <c r="L1417" s="8"/>
      <c r="M1417" s="8" t="str">
        <f>IF(C1417="Caixa","-",VLOOKUP(J1417,[1]Estrutura!C:E,3,FALSE))</f>
        <v>4.3</v>
      </c>
      <c r="N1417" s="8"/>
      <c r="O1417" s="7">
        <f t="shared" si="84"/>
        <v>10</v>
      </c>
      <c r="P1417" s="7">
        <f t="shared" si="85"/>
        <v>11</v>
      </c>
      <c r="Q1417" s="7">
        <f t="shared" si="86"/>
        <v>2026</v>
      </c>
      <c r="R1417" s="6">
        <f t="shared" si="87"/>
        <v>-1037.3900000000001</v>
      </c>
      <c r="S1417" s="16">
        <v>46339</v>
      </c>
    </row>
    <row r="1418" spans="1:19">
      <c r="A1418" s="12">
        <v>46336</v>
      </c>
      <c r="B1418" s="7" t="s">
        <v>26</v>
      </c>
      <c r="C1418" s="7" t="s">
        <v>6</v>
      </c>
      <c r="D1418" s="11"/>
      <c r="E1418" s="11">
        <v>11.92</v>
      </c>
      <c r="F1418" s="11" t="s">
        <v>155</v>
      </c>
      <c r="G1418" s="11" t="s">
        <v>259</v>
      </c>
      <c r="H1418" s="10"/>
      <c r="I1418" s="9"/>
      <c r="J1418" s="7" t="s">
        <v>153</v>
      </c>
      <c r="K1418" s="7" t="s">
        <v>21</v>
      </c>
      <c r="L1418" s="7"/>
      <c r="M1418" s="7" t="str">
        <f>IF(C1418="Caixa","-",VLOOKUP(J1418,[1]Estrutura!C:E,3,FALSE))</f>
        <v>4.3</v>
      </c>
      <c r="N1418" s="7"/>
      <c r="O1418" s="7">
        <f t="shared" si="84"/>
        <v>10</v>
      </c>
      <c r="P1418" s="7">
        <f t="shared" si="85"/>
        <v>11</v>
      </c>
      <c r="Q1418" s="7">
        <f t="shared" si="86"/>
        <v>2026</v>
      </c>
      <c r="R1418" s="6">
        <f t="shared" si="87"/>
        <v>-11.92</v>
      </c>
      <c r="S1418" s="16">
        <v>46340</v>
      </c>
    </row>
    <row r="1419" spans="1:19">
      <c r="A1419" s="16">
        <v>46336</v>
      </c>
      <c r="B1419" s="8" t="s">
        <v>26</v>
      </c>
      <c r="C1419" s="8" t="s">
        <v>6</v>
      </c>
      <c r="D1419" s="15"/>
      <c r="E1419" s="15">
        <v>31670</v>
      </c>
      <c r="F1419" s="15" t="s">
        <v>165</v>
      </c>
      <c r="G1419" s="8" t="s">
        <v>164</v>
      </c>
      <c r="H1419" s="14"/>
      <c r="I1419" s="13"/>
      <c r="J1419" s="8" t="s">
        <v>17</v>
      </c>
      <c r="K1419" s="8" t="s">
        <v>21</v>
      </c>
      <c r="L1419" s="8"/>
      <c r="M1419" s="8" t="str">
        <f>IF(C1419="Caixa","-",VLOOKUP(J1419,[1]Estrutura!C:E,3,FALSE))</f>
        <v>4.4</v>
      </c>
      <c r="N1419" s="8"/>
      <c r="O1419" s="7">
        <f t="shared" si="84"/>
        <v>10</v>
      </c>
      <c r="P1419" s="7">
        <f t="shared" si="85"/>
        <v>11</v>
      </c>
      <c r="Q1419" s="7">
        <f t="shared" si="86"/>
        <v>2026</v>
      </c>
      <c r="R1419" s="6">
        <f t="shared" si="87"/>
        <v>-31670</v>
      </c>
      <c r="S1419" s="12">
        <v>46341</v>
      </c>
    </row>
    <row r="1420" spans="1:19">
      <c r="A1420" s="16">
        <v>46336</v>
      </c>
      <c r="B1420" s="8" t="s">
        <v>26</v>
      </c>
      <c r="C1420" s="8" t="s">
        <v>6</v>
      </c>
      <c r="D1420" s="15"/>
      <c r="E1420" s="15">
        <v>311.99</v>
      </c>
      <c r="F1420" s="15" t="s">
        <v>24</v>
      </c>
      <c r="G1420" s="15" t="s">
        <v>258</v>
      </c>
      <c r="H1420" s="14"/>
      <c r="I1420" s="13"/>
      <c r="J1420" s="8" t="s">
        <v>77</v>
      </c>
      <c r="K1420" s="8" t="s">
        <v>21</v>
      </c>
      <c r="L1420" s="7"/>
      <c r="M1420" s="7" t="str">
        <f>IF(C1420="Caixa","-",VLOOKUP(J1420,[1]Estrutura!C:E,3,FALSE))</f>
        <v>4.3</v>
      </c>
      <c r="N1420" s="7"/>
      <c r="O1420" s="7">
        <f t="shared" si="84"/>
        <v>10</v>
      </c>
      <c r="P1420" s="7">
        <f t="shared" si="85"/>
        <v>11</v>
      </c>
      <c r="Q1420" s="7">
        <f t="shared" si="86"/>
        <v>2026</v>
      </c>
      <c r="R1420" s="6">
        <f t="shared" si="87"/>
        <v>-311.99</v>
      </c>
      <c r="S1420" s="16">
        <v>46341</v>
      </c>
    </row>
    <row r="1421" spans="1:19">
      <c r="A1421" s="12">
        <v>46336</v>
      </c>
      <c r="B1421" s="7" t="s">
        <v>26</v>
      </c>
      <c r="C1421" s="7" t="s">
        <v>6</v>
      </c>
      <c r="D1421" s="11"/>
      <c r="E1421" s="11">
        <v>272.95</v>
      </c>
      <c r="F1421" s="11" t="s">
        <v>106</v>
      </c>
      <c r="G1421" s="11" t="s">
        <v>257</v>
      </c>
      <c r="H1421" s="10"/>
      <c r="I1421" s="9"/>
      <c r="J1421" s="7" t="s">
        <v>77</v>
      </c>
      <c r="K1421" s="7" t="s">
        <v>21</v>
      </c>
      <c r="L1421" s="8"/>
      <c r="M1421" s="8" t="str">
        <f>IF(C1421="Caixa","-",VLOOKUP(J1421,[1]Estrutura!C:E,3,FALSE))</f>
        <v>4.3</v>
      </c>
      <c r="N1421" s="8"/>
      <c r="O1421" s="7">
        <f t="shared" si="84"/>
        <v>10</v>
      </c>
      <c r="P1421" s="7">
        <f t="shared" si="85"/>
        <v>11</v>
      </c>
      <c r="Q1421" s="7">
        <f t="shared" si="86"/>
        <v>2026</v>
      </c>
      <c r="R1421" s="6">
        <f t="shared" si="87"/>
        <v>-272.95</v>
      </c>
      <c r="S1421" s="16">
        <v>46341</v>
      </c>
    </row>
    <row r="1422" spans="1:19">
      <c r="A1422" s="16">
        <v>46336</v>
      </c>
      <c r="B1422" s="8" t="s">
        <v>26</v>
      </c>
      <c r="C1422" s="8" t="s">
        <v>6</v>
      </c>
      <c r="D1422" s="15"/>
      <c r="E1422" s="15">
        <v>75</v>
      </c>
      <c r="F1422" s="15" t="s">
        <v>132</v>
      </c>
      <c r="G1422" s="8" t="s">
        <v>256</v>
      </c>
      <c r="H1422" s="14"/>
      <c r="I1422" s="13"/>
      <c r="J1422" s="8" t="s">
        <v>52</v>
      </c>
      <c r="K1422" s="8" t="s">
        <v>40</v>
      </c>
      <c r="L1422" s="7"/>
      <c r="M1422" s="7" t="str">
        <f>IF(C1422="Caixa","-",VLOOKUP(J1422,[1]Estrutura!C:E,3,FALSE))</f>
        <v>4.2</v>
      </c>
      <c r="N1422" s="7"/>
      <c r="O1422" s="7">
        <f t="shared" ref="O1422:O1485" si="88">DAY(A1422)</f>
        <v>10</v>
      </c>
      <c r="P1422" s="7">
        <f t="shared" ref="P1422:P1485" si="89">MONTH(A1422)</f>
        <v>11</v>
      </c>
      <c r="Q1422" s="7">
        <f t="shared" ref="Q1422:Q1485" si="90">YEAR(A1422)</f>
        <v>2026</v>
      </c>
      <c r="R1422" s="6">
        <f t="shared" ref="R1422:R1485" si="91">D1422-E1422</f>
        <v>-75</v>
      </c>
      <c r="S1422" s="12">
        <v>46341</v>
      </c>
    </row>
    <row r="1423" spans="1:19">
      <c r="A1423" s="12">
        <v>46336</v>
      </c>
      <c r="B1423" s="7" t="s">
        <v>26</v>
      </c>
      <c r="C1423" s="7" t="s">
        <v>6</v>
      </c>
      <c r="D1423" s="11"/>
      <c r="E1423" s="11">
        <v>78</v>
      </c>
      <c r="F1423" s="11" t="s">
        <v>132</v>
      </c>
      <c r="G1423" s="7" t="s">
        <v>255</v>
      </c>
      <c r="H1423" s="10"/>
      <c r="I1423" s="9"/>
      <c r="J1423" s="7" t="s">
        <v>52</v>
      </c>
      <c r="K1423" s="7" t="s">
        <v>40</v>
      </c>
      <c r="L1423" s="8"/>
      <c r="M1423" s="8" t="str">
        <f>IF(C1423="Caixa","-",VLOOKUP(J1423,[1]Estrutura!C:E,3,FALSE))</f>
        <v>4.2</v>
      </c>
      <c r="N1423" s="8"/>
      <c r="O1423" s="7">
        <f t="shared" si="88"/>
        <v>10</v>
      </c>
      <c r="P1423" s="7">
        <f t="shared" si="89"/>
        <v>11</v>
      </c>
      <c r="Q1423" s="7">
        <f t="shared" si="90"/>
        <v>2026</v>
      </c>
      <c r="R1423" s="6">
        <f t="shared" si="91"/>
        <v>-78</v>
      </c>
      <c r="S1423" s="12">
        <v>46341</v>
      </c>
    </row>
    <row r="1424" spans="1:19">
      <c r="A1424" s="16">
        <v>46336</v>
      </c>
      <c r="B1424" s="8" t="s">
        <v>26</v>
      </c>
      <c r="C1424" s="8" t="s">
        <v>6</v>
      </c>
      <c r="D1424" s="15"/>
      <c r="E1424" s="15">
        <v>40</v>
      </c>
      <c r="F1424" s="15" t="s">
        <v>132</v>
      </c>
      <c r="G1424" s="8" t="s">
        <v>254</v>
      </c>
      <c r="H1424" s="14"/>
      <c r="I1424" s="13"/>
      <c r="J1424" s="8" t="s">
        <v>52</v>
      </c>
      <c r="K1424" s="8" t="s">
        <v>40</v>
      </c>
      <c r="L1424" s="7"/>
      <c r="M1424" s="7" t="str">
        <f>IF(C1424="Caixa","-",VLOOKUP(J1424,[1]Estrutura!C:E,3,FALSE))</f>
        <v>4.2</v>
      </c>
      <c r="N1424" s="7"/>
      <c r="O1424" s="7">
        <f t="shared" si="88"/>
        <v>10</v>
      </c>
      <c r="P1424" s="7">
        <f t="shared" si="89"/>
        <v>11</v>
      </c>
      <c r="Q1424" s="7">
        <f t="shared" si="90"/>
        <v>2026</v>
      </c>
      <c r="R1424" s="6">
        <f t="shared" si="91"/>
        <v>-40</v>
      </c>
      <c r="S1424" s="16">
        <v>46341</v>
      </c>
    </row>
    <row r="1425" spans="1:19">
      <c r="A1425" s="12">
        <v>46336</v>
      </c>
      <c r="B1425" s="7" t="s">
        <v>26</v>
      </c>
      <c r="C1425" s="7" t="s">
        <v>6</v>
      </c>
      <c r="D1425" s="11"/>
      <c r="E1425" s="11">
        <v>507.8</v>
      </c>
      <c r="F1425" s="11" t="s">
        <v>132</v>
      </c>
      <c r="G1425" s="11" t="s">
        <v>253</v>
      </c>
      <c r="H1425" s="10"/>
      <c r="I1425" s="9"/>
      <c r="J1425" s="7" t="s">
        <v>52</v>
      </c>
      <c r="K1425" s="7" t="s">
        <v>40</v>
      </c>
      <c r="L1425" s="8"/>
      <c r="M1425" s="8" t="str">
        <f>IF(C1425="Caixa","-",VLOOKUP(J1425,[1]Estrutura!C:E,3,FALSE))</f>
        <v>4.2</v>
      </c>
      <c r="N1425" s="8"/>
      <c r="O1425" s="7">
        <f t="shared" si="88"/>
        <v>10</v>
      </c>
      <c r="P1425" s="7">
        <f t="shared" si="89"/>
        <v>11</v>
      </c>
      <c r="Q1425" s="7">
        <f t="shared" si="90"/>
        <v>2026</v>
      </c>
      <c r="R1425" s="6">
        <f t="shared" si="91"/>
        <v>-507.8</v>
      </c>
      <c r="S1425" s="16">
        <v>46342</v>
      </c>
    </row>
    <row r="1426" spans="1:19">
      <c r="A1426" s="16">
        <v>46336</v>
      </c>
      <c r="B1426" s="8" t="s">
        <v>26</v>
      </c>
      <c r="C1426" s="8" t="s">
        <v>6</v>
      </c>
      <c r="D1426" s="15"/>
      <c r="E1426" s="15">
        <v>313.29000000000002</v>
      </c>
      <c r="F1426" s="15" t="s">
        <v>161</v>
      </c>
      <c r="G1426" s="8" t="s">
        <v>160</v>
      </c>
      <c r="H1426" s="14"/>
      <c r="I1426" s="13"/>
      <c r="J1426" s="7" t="s">
        <v>35</v>
      </c>
      <c r="K1426" s="18" t="s">
        <v>34</v>
      </c>
      <c r="L1426" s="7"/>
      <c r="M1426" s="7" t="str">
        <f>IF(C1426="Caixa","-",VLOOKUP(J1426,[1]Estrutura!C:E,3,FALSE))</f>
        <v>4.1</v>
      </c>
      <c r="N1426" s="7"/>
      <c r="O1426" s="7">
        <f t="shared" si="88"/>
        <v>10</v>
      </c>
      <c r="P1426" s="7">
        <f t="shared" si="89"/>
        <v>11</v>
      </c>
      <c r="Q1426" s="7">
        <f t="shared" si="90"/>
        <v>2026</v>
      </c>
      <c r="R1426" s="6">
        <f t="shared" si="91"/>
        <v>-313.29000000000002</v>
      </c>
      <c r="S1426" s="16">
        <v>46342</v>
      </c>
    </row>
    <row r="1427" spans="1:19">
      <c r="A1427" s="16">
        <v>46336</v>
      </c>
      <c r="B1427" s="7" t="s">
        <v>7</v>
      </c>
      <c r="C1427" s="7" t="s">
        <v>9</v>
      </c>
      <c r="D1427" s="15">
        <v>16552.899999999998</v>
      </c>
      <c r="E1427" s="15"/>
      <c r="F1427" s="15"/>
      <c r="G1427" s="8" t="s">
        <v>11</v>
      </c>
      <c r="H1427" s="8"/>
      <c r="I1427" s="17"/>
      <c r="J1427" s="8" t="s">
        <v>10</v>
      </c>
      <c r="K1427" s="8"/>
      <c r="L1427" s="8"/>
      <c r="M1427" s="8" t="str">
        <f>IF(C1427="Caixa","-",VLOOKUP(J1427,[1]Estrutura!C:E,3,FALSE))</f>
        <v>1.1</v>
      </c>
      <c r="N1427" s="8"/>
      <c r="O1427" s="7">
        <f t="shared" si="88"/>
        <v>10</v>
      </c>
      <c r="P1427" s="7">
        <f t="shared" si="89"/>
        <v>11</v>
      </c>
      <c r="Q1427" s="7">
        <f t="shared" si="90"/>
        <v>2026</v>
      </c>
      <c r="R1427" s="6">
        <f t="shared" si="91"/>
        <v>16552.899999999998</v>
      </c>
      <c r="S1427" s="16">
        <v>46342</v>
      </c>
    </row>
    <row r="1428" spans="1:19">
      <c r="A1428" s="16">
        <v>46336</v>
      </c>
      <c r="B1428" s="7" t="s">
        <v>7</v>
      </c>
      <c r="C1428" s="7" t="s">
        <v>9</v>
      </c>
      <c r="D1428" s="11"/>
      <c r="E1428" s="11">
        <v>200000</v>
      </c>
      <c r="F1428" s="11" t="s">
        <v>157</v>
      </c>
      <c r="G1428" s="7" t="s">
        <v>129</v>
      </c>
      <c r="H1428" s="10"/>
      <c r="I1428" s="9"/>
      <c r="J1428" s="7" t="s">
        <v>128</v>
      </c>
      <c r="K1428" s="7"/>
      <c r="L1428" s="7"/>
      <c r="M1428" s="7" t="str">
        <f>IF(C1428="Caixa","-",VLOOKUP(J1428,[1]Estrutura!C:E,3,FALSE))</f>
        <v>9.1</v>
      </c>
      <c r="N1428" s="7"/>
      <c r="O1428" s="7">
        <f t="shared" si="88"/>
        <v>10</v>
      </c>
      <c r="P1428" s="7">
        <f t="shared" si="89"/>
        <v>11</v>
      </c>
      <c r="Q1428" s="7">
        <f t="shared" si="90"/>
        <v>2026</v>
      </c>
      <c r="R1428" s="6">
        <f t="shared" si="91"/>
        <v>-200000</v>
      </c>
      <c r="S1428" s="16">
        <v>46343</v>
      </c>
    </row>
    <row r="1429" spans="1:19">
      <c r="A1429" s="16">
        <v>46337</v>
      </c>
      <c r="B1429" s="8" t="s">
        <v>14</v>
      </c>
      <c r="C1429" s="7" t="s">
        <v>9</v>
      </c>
      <c r="D1429" s="15">
        <v>4430.58</v>
      </c>
      <c r="E1429" s="15"/>
      <c r="F1429" s="15"/>
      <c r="G1429" s="8" t="s">
        <v>11</v>
      </c>
      <c r="H1429" s="8"/>
      <c r="I1429" s="17"/>
      <c r="J1429" s="8" t="s">
        <v>10</v>
      </c>
      <c r="K1429" s="8"/>
      <c r="L1429" s="8"/>
      <c r="M1429" s="8" t="str">
        <f>IF(C1429="Caixa","-",VLOOKUP(J1429,[1]Estrutura!C:E,3,FALSE))</f>
        <v>1.1</v>
      </c>
      <c r="N1429" s="8"/>
      <c r="O1429" s="7">
        <f t="shared" si="88"/>
        <v>11</v>
      </c>
      <c r="P1429" s="7">
        <f t="shared" si="89"/>
        <v>11</v>
      </c>
      <c r="Q1429" s="7">
        <f t="shared" si="90"/>
        <v>2026</v>
      </c>
      <c r="R1429" s="6">
        <f t="shared" si="91"/>
        <v>4430.58</v>
      </c>
      <c r="S1429" s="12">
        <v>46343</v>
      </c>
    </row>
    <row r="1430" spans="1:19">
      <c r="A1430" s="16">
        <v>46337</v>
      </c>
      <c r="B1430" s="7" t="s">
        <v>7</v>
      </c>
      <c r="C1430" s="7" t="s">
        <v>9</v>
      </c>
      <c r="D1430" s="15">
        <v>3860.34</v>
      </c>
      <c r="E1430" s="15"/>
      <c r="F1430" s="15"/>
      <c r="G1430" s="8" t="s">
        <v>11</v>
      </c>
      <c r="H1430" s="8"/>
      <c r="I1430" s="17"/>
      <c r="J1430" s="8" t="s">
        <v>10</v>
      </c>
      <c r="K1430" s="8"/>
      <c r="L1430" s="7"/>
      <c r="M1430" s="7" t="str">
        <f>IF(C1430="Caixa","-",VLOOKUP(J1430,[1]Estrutura!C:E,3,FALSE))</f>
        <v>1.1</v>
      </c>
      <c r="N1430" s="7"/>
      <c r="O1430" s="7">
        <f t="shared" si="88"/>
        <v>11</v>
      </c>
      <c r="P1430" s="7">
        <f t="shared" si="89"/>
        <v>11</v>
      </c>
      <c r="Q1430" s="7">
        <f t="shared" si="90"/>
        <v>2026</v>
      </c>
      <c r="R1430" s="6">
        <f t="shared" si="91"/>
        <v>3860.34</v>
      </c>
      <c r="S1430" s="16">
        <v>46343</v>
      </c>
    </row>
    <row r="1431" spans="1:19">
      <c r="A1431" s="16">
        <v>46338</v>
      </c>
      <c r="B1431" s="8" t="s">
        <v>14</v>
      </c>
      <c r="C1431" s="7" t="s">
        <v>9</v>
      </c>
      <c r="D1431" s="15">
        <v>3754.96</v>
      </c>
      <c r="E1431" s="15"/>
      <c r="F1431" s="15"/>
      <c r="G1431" s="8" t="s">
        <v>11</v>
      </c>
      <c r="H1431" s="8"/>
      <c r="I1431" s="17"/>
      <c r="J1431" s="8" t="s">
        <v>10</v>
      </c>
      <c r="K1431" s="8"/>
      <c r="L1431" s="8"/>
      <c r="M1431" s="8" t="str">
        <f>IF(C1431="Caixa","-",VLOOKUP(J1431,[1]Estrutura!C:E,3,FALSE))</f>
        <v>1.1</v>
      </c>
      <c r="N1431" s="8"/>
      <c r="O1431" s="7">
        <f t="shared" si="88"/>
        <v>12</v>
      </c>
      <c r="P1431" s="7">
        <f t="shared" si="89"/>
        <v>11</v>
      </c>
      <c r="Q1431" s="7">
        <f t="shared" si="90"/>
        <v>2026</v>
      </c>
      <c r="R1431" s="6">
        <f t="shared" si="91"/>
        <v>3754.96</v>
      </c>
      <c r="S1431" s="12">
        <v>46344</v>
      </c>
    </row>
    <row r="1432" spans="1:19">
      <c r="A1432" s="12">
        <v>46338</v>
      </c>
      <c r="B1432" s="7" t="s">
        <v>14</v>
      </c>
      <c r="C1432" s="7" t="s">
        <v>9</v>
      </c>
      <c r="D1432" s="11"/>
      <c r="E1432" s="11">
        <v>2832.92</v>
      </c>
      <c r="F1432" s="15" t="s">
        <v>104</v>
      </c>
      <c r="G1432" s="7" t="s">
        <v>149</v>
      </c>
      <c r="H1432" s="10"/>
      <c r="I1432" s="9"/>
      <c r="J1432" s="8" t="s">
        <v>102</v>
      </c>
      <c r="K1432" s="36"/>
      <c r="L1432" s="7"/>
      <c r="M1432" s="7" t="str">
        <f>IF(C1432="Caixa","-",VLOOKUP(J1432,[1]Estrutura!C:E,3,FALSE))</f>
        <v>4.5</v>
      </c>
      <c r="N1432" s="7"/>
      <c r="O1432" s="7">
        <f t="shared" si="88"/>
        <v>12</v>
      </c>
      <c r="P1432" s="7">
        <f t="shared" si="89"/>
        <v>11</v>
      </c>
      <c r="Q1432" s="7">
        <f t="shared" si="90"/>
        <v>2026</v>
      </c>
      <c r="R1432" s="6">
        <f t="shared" si="91"/>
        <v>-2832.92</v>
      </c>
      <c r="S1432" s="16">
        <v>46344</v>
      </c>
    </row>
    <row r="1433" spans="1:19">
      <c r="A1433" s="12">
        <v>46338</v>
      </c>
      <c r="B1433" s="7" t="s">
        <v>26</v>
      </c>
      <c r="C1433" s="7" t="s">
        <v>6</v>
      </c>
      <c r="D1433" s="11"/>
      <c r="E1433" s="15">
        <v>1053.45</v>
      </c>
      <c r="F1433" s="11" t="s">
        <v>104</v>
      </c>
      <c r="G1433" s="7" t="s">
        <v>149</v>
      </c>
      <c r="H1433" s="10"/>
      <c r="I1433" s="9"/>
      <c r="J1433" s="8" t="s">
        <v>102</v>
      </c>
      <c r="K1433" s="7" t="s">
        <v>21</v>
      </c>
      <c r="L1433" s="8"/>
      <c r="M1433" s="8" t="str">
        <f>IF(C1433="Caixa","-",VLOOKUP(J1433,[1]Estrutura!C:E,3,FALSE))</f>
        <v>4.5</v>
      </c>
      <c r="N1433" s="8"/>
      <c r="O1433" s="7">
        <f t="shared" si="88"/>
        <v>12</v>
      </c>
      <c r="P1433" s="7">
        <f t="shared" si="89"/>
        <v>11</v>
      </c>
      <c r="Q1433" s="7">
        <f t="shared" si="90"/>
        <v>2026</v>
      </c>
      <c r="R1433" s="6">
        <f t="shared" si="91"/>
        <v>-1053.45</v>
      </c>
      <c r="S1433" s="16">
        <v>46344</v>
      </c>
    </row>
    <row r="1434" spans="1:19">
      <c r="A1434" s="12">
        <v>46338</v>
      </c>
      <c r="B1434" s="7" t="s">
        <v>26</v>
      </c>
      <c r="C1434" s="7" t="s">
        <v>6</v>
      </c>
      <c r="D1434" s="11"/>
      <c r="E1434" s="11">
        <v>1895.5</v>
      </c>
      <c r="F1434" s="15" t="s">
        <v>178</v>
      </c>
      <c r="G1434" s="7" t="s">
        <v>252</v>
      </c>
      <c r="H1434" s="10"/>
      <c r="I1434" s="9"/>
      <c r="J1434" s="7" t="s">
        <v>178</v>
      </c>
      <c r="K1434" s="18" t="s">
        <v>34</v>
      </c>
      <c r="L1434" s="7"/>
      <c r="M1434" s="7" t="str">
        <f>IF(C1434="Caixa","-",VLOOKUP(J1434,[1]Estrutura!C:E,3,FALSE))</f>
        <v>4.1</v>
      </c>
      <c r="N1434" s="7"/>
      <c r="O1434" s="7">
        <f t="shared" si="88"/>
        <v>12</v>
      </c>
      <c r="P1434" s="7">
        <f t="shared" si="89"/>
        <v>11</v>
      </c>
      <c r="Q1434" s="7">
        <f t="shared" si="90"/>
        <v>2026</v>
      </c>
      <c r="R1434" s="6">
        <f t="shared" si="91"/>
        <v>-1895.5</v>
      </c>
      <c r="S1434" s="16">
        <v>46345</v>
      </c>
    </row>
    <row r="1435" spans="1:19">
      <c r="A1435" s="16">
        <v>46338</v>
      </c>
      <c r="B1435" s="7" t="s">
        <v>7</v>
      </c>
      <c r="C1435" s="7" t="s">
        <v>9</v>
      </c>
      <c r="D1435" s="15">
        <v>6298.73</v>
      </c>
      <c r="E1435" s="15"/>
      <c r="F1435" s="15"/>
      <c r="G1435" s="8" t="s">
        <v>11</v>
      </c>
      <c r="H1435" s="8"/>
      <c r="I1435" s="17"/>
      <c r="J1435" s="8" t="s">
        <v>10</v>
      </c>
      <c r="K1435" s="8"/>
      <c r="L1435" s="8"/>
      <c r="M1435" s="8" t="str">
        <f>IF(C1435="Caixa","-",VLOOKUP(J1435,[1]Estrutura!C:E,3,FALSE))</f>
        <v>1.1</v>
      </c>
      <c r="N1435" s="8"/>
      <c r="O1435" s="7">
        <f t="shared" si="88"/>
        <v>12</v>
      </c>
      <c r="P1435" s="7">
        <f t="shared" si="89"/>
        <v>11</v>
      </c>
      <c r="Q1435" s="7">
        <f t="shared" si="90"/>
        <v>2026</v>
      </c>
      <c r="R1435" s="6">
        <f t="shared" si="91"/>
        <v>6298.73</v>
      </c>
      <c r="S1435" s="12">
        <v>46345</v>
      </c>
    </row>
    <row r="1436" spans="1:19">
      <c r="A1436" s="16">
        <v>46339</v>
      </c>
      <c r="B1436" s="8" t="s">
        <v>14</v>
      </c>
      <c r="C1436" s="7" t="s">
        <v>9</v>
      </c>
      <c r="D1436" s="15">
        <v>1469.47</v>
      </c>
      <c r="E1436" s="15"/>
      <c r="F1436" s="15"/>
      <c r="G1436" s="8" t="s">
        <v>11</v>
      </c>
      <c r="H1436" s="8"/>
      <c r="I1436" s="17"/>
      <c r="J1436" s="8" t="s">
        <v>10</v>
      </c>
      <c r="K1436" s="8"/>
      <c r="L1436" s="7"/>
      <c r="M1436" s="7" t="str">
        <f>IF(C1436="Caixa","-",VLOOKUP(J1436,[1]Estrutura!C:E,3,FALSE))</f>
        <v>1.1</v>
      </c>
      <c r="N1436" s="7"/>
      <c r="O1436" s="7">
        <f t="shared" si="88"/>
        <v>13</v>
      </c>
      <c r="P1436" s="7">
        <f t="shared" si="89"/>
        <v>11</v>
      </c>
      <c r="Q1436" s="7">
        <f t="shared" si="90"/>
        <v>2026</v>
      </c>
      <c r="R1436" s="6">
        <f t="shared" si="91"/>
        <v>1469.47</v>
      </c>
      <c r="S1436" s="16">
        <v>46345</v>
      </c>
    </row>
    <row r="1437" spans="1:19">
      <c r="A1437" s="16">
        <v>46339</v>
      </c>
      <c r="B1437" s="7" t="s">
        <v>7</v>
      </c>
      <c r="C1437" s="7" t="s">
        <v>9</v>
      </c>
      <c r="D1437" s="15">
        <v>10791.85</v>
      </c>
      <c r="E1437" s="15"/>
      <c r="F1437" s="15"/>
      <c r="G1437" s="8" t="s">
        <v>11</v>
      </c>
      <c r="H1437" s="8"/>
      <c r="I1437" s="17"/>
      <c r="J1437" s="8" t="s">
        <v>10</v>
      </c>
      <c r="K1437" s="8"/>
      <c r="L1437" s="8"/>
      <c r="M1437" s="8" t="str">
        <f>IF(C1437="Caixa","-",VLOOKUP(J1437,[1]Estrutura!C:E,3,FALSE))</f>
        <v>1.1</v>
      </c>
      <c r="N1437" s="8"/>
      <c r="O1437" s="7">
        <f t="shared" si="88"/>
        <v>13</v>
      </c>
      <c r="P1437" s="7">
        <f t="shared" si="89"/>
        <v>11</v>
      </c>
      <c r="Q1437" s="7">
        <f t="shared" si="90"/>
        <v>2026</v>
      </c>
      <c r="R1437" s="6">
        <f t="shared" si="91"/>
        <v>10791.85</v>
      </c>
      <c r="S1437" s="12">
        <v>46345</v>
      </c>
    </row>
    <row r="1438" spans="1:19">
      <c r="A1438" s="16">
        <v>46340</v>
      </c>
      <c r="B1438" s="7" t="s">
        <v>7</v>
      </c>
      <c r="C1438" s="7" t="s">
        <v>9</v>
      </c>
      <c r="D1438" s="15">
        <v>2564.42</v>
      </c>
      <c r="E1438" s="15"/>
      <c r="F1438" s="15"/>
      <c r="G1438" s="8" t="s">
        <v>11</v>
      </c>
      <c r="H1438" s="8"/>
      <c r="I1438" s="17"/>
      <c r="J1438" s="8" t="s">
        <v>10</v>
      </c>
      <c r="K1438" s="8"/>
      <c r="L1438" s="7"/>
      <c r="M1438" s="7" t="str">
        <f>IF(C1438="Caixa","-",VLOOKUP(J1438,[1]Estrutura!C:E,3,FALSE))</f>
        <v>1.1</v>
      </c>
      <c r="N1438" s="7"/>
      <c r="O1438" s="7">
        <f t="shared" si="88"/>
        <v>14</v>
      </c>
      <c r="P1438" s="7">
        <f t="shared" si="89"/>
        <v>11</v>
      </c>
      <c r="Q1438" s="7">
        <f t="shared" si="90"/>
        <v>2026</v>
      </c>
      <c r="R1438" s="6">
        <f t="shared" si="91"/>
        <v>2564.42</v>
      </c>
      <c r="S1438" s="16">
        <v>46345</v>
      </c>
    </row>
    <row r="1439" spans="1:19">
      <c r="A1439" s="12">
        <v>46341</v>
      </c>
      <c r="B1439" s="7" t="s">
        <v>14</v>
      </c>
      <c r="C1439" s="7" t="s">
        <v>9</v>
      </c>
      <c r="D1439" s="11"/>
      <c r="E1439" s="11">
        <v>2874</v>
      </c>
      <c r="F1439" s="15" t="s">
        <v>146</v>
      </c>
      <c r="G1439" s="7" t="s">
        <v>147</v>
      </c>
      <c r="H1439" s="7"/>
      <c r="I1439" s="30"/>
      <c r="J1439" s="7" t="s">
        <v>144</v>
      </c>
      <c r="K1439" s="7"/>
      <c r="L1439" s="8"/>
      <c r="M1439" s="8" t="str">
        <f>IF(C1439="Caixa","-",VLOOKUP(J1439,[1]Estrutura!C:E,3,FALSE))</f>
        <v>4.2</v>
      </c>
      <c r="N1439" s="8"/>
      <c r="O1439" s="7">
        <f t="shared" si="88"/>
        <v>15</v>
      </c>
      <c r="P1439" s="7">
        <f t="shared" si="89"/>
        <v>11</v>
      </c>
      <c r="Q1439" s="7">
        <f t="shared" si="90"/>
        <v>2026</v>
      </c>
      <c r="R1439" s="6">
        <f t="shared" si="91"/>
        <v>-2874</v>
      </c>
      <c r="S1439" s="16">
        <v>46345</v>
      </c>
    </row>
    <row r="1440" spans="1:19">
      <c r="A1440" s="16">
        <v>46341</v>
      </c>
      <c r="B1440" s="8" t="s">
        <v>14</v>
      </c>
      <c r="C1440" s="8" t="s">
        <v>9</v>
      </c>
      <c r="D1440" s="15"/>
      <c r="E1440" s="15">
        <v>2874</v>
      </c>
      <c r="F1440" s="15" t="s">
        <v>146</v>
      </c>
      <c r="G1440" s="8" t="s">
        <v>145</v>
      </c>
      <c r="H1440" s="8"/>
      <c r="I1440" s="17"/>
      <c r="J1440" s="8" t="s">
        <v>144</v>
      </c>
      <c r="K1440" s="8"/>
      <c r="L1440" s="7"/>
      <c r="M1440" s="7" t="str">
        <f>IF(C1440="Caixa","-",VLOOKUP(J1440,[1]Estrutura!C:E,3,FALSE))</f>
        <v>4.2</v>
      </c>
      <c r="N1440" s="7"/>
      <c r="O1440" s="7">
        <f t="shared" si="88"/>
        <v>15</v>
      </c>
      <c r="P1440" s="7">
        <f t="shared" si="89"/>
        <v>11</v>
      </c>
      <c r="Q1440" s="7">
        <f t="shared" si="90"/>
        <v>2026</v>
      </c>
      <c r="R1440" s="6">
        <f t="shared" si="91"/>
        <v>-2874</v>
      </c>
      <c r="S1440" s="16">
        <v>46346</v>
      </c>
    </row>
    <row r="1441" spans="1:19">
      <c r="A1441" s="16">
        <v>46341</v>
      </c>
      <c r="B1441" s="8" t="s">
        <v>14</v>
      </c>
      <c r="C1441" s="8" t="s">
        <v>9</v>
      </c>
      <c r="D1441" s="15"/>
      <c r="E1441" s="11">
        <v>1416.46</v>
      </c>
      <c r="F1441" s="15" t="s">
        <v>104</v>
      </c>
      <c r="G1441" s="8" t="s">
        <v>103</v>
      </c>
      <c r="H1441" s="14"/>
      <c r="I1441" s="13"/>
      <c r="J1441" s="8" t="s">
        <v>102</v>
      </c>
      <c r="K1441" s="7"/>
      <c r="L1441" s="8"/>
      <c r="M1441" s="8" t="str">
        <f>IF(C1441="Caixa","-",VLOOKUP(J1441,[1]Estrutura!C:E,3,FALSE))</f>
        <v>4.5</v>
      </c>
      <c r="N1441" s="8"/>
      <c r="O1441" s="7">
        <f t="shared" si="88"/>
        <v>15</v>
      </c>
      <c r="P1441" s="7">
        <f t="shared" si="89"/>
        <v>11</v>
      </c>
      <c r="Q1441" s="7">
        <f t="shared" si="90"/>
        <v>2026</v>
      </c>
      <c r="R1441" s="6">
        <f t="shared" si="91"/>
        <v>-1416.46</v>
      </c>
      <c r="S1441" s="16">
        <v>46346</v>
      </c>
    </row>
    <row r="1442" spans="1:19">
      <c r="A1442" s="12">
        <v>46341</v>
      </c>
      <c r="B1442" s="7" t="s">
        <v>26</v>
      </c>
      <c r="C1442" s="7" t="s">
        <v>6</v>
      </c>
      <c r="D1442" s="11"/>
      <c r="E1442" s="11">
        <v>2000</v>
      </c>
      <c r="F1442" s="7" t="s">
        <v>136</v>
      </c>
      <c r="G1442" s="11" t="s">
        <v>137</v>
      </c>
      <c r="H1442" s="10"/>
      <c r="I1442" s="9"/>
      <c r="J1442" s="7" t="s">
        <v>56</v>
      </c>
      <c r="K1442" s="7" t="s">
        <v>136</v>
      </c>
      <c r="L1442" s="7"/>
      <c r="M1442" s="7" t="str">
        <f>IF(C1442="Caixa","-",VLOOKUP(J1442,[1]Estrutura!C:E,3,FALSE))</f>
        <v>6.1</v>
      </c>
      <c r="N1442" s="7"/>
      <c r="O1442" s="7">
        <f t="shared" si="88"/>
        <v>15</v>
      </c>
      <c r="P1442" s="7">
        <f t="shared" si="89"/>
        <v>11</v>
      </c>
      <c r="Q1442" s="7">
        <f t="shared" si="90"/>
        <v>2026</v>
      </c>
      <c r="R1442" s="6">
        <f t="shared" si="91"/>
        <v>-2000</v>
      </c>
      <c r="S1442" s="12">
        <v>46346</v>
      </c>
    </row>
    <row r="1443" spans="1:19">
      <c r="A1443" s="12">
        <v>46341</v>
      </c>
      <c r="B1443" s="7" t="s">
        <v>26</v>
      </c>
      <c r="C1443" s="8" t="s">
        <v>6</v>
      </c>
      <c r="D1443" s="11"/>
      <c r="E1443" s="15">
        <v>6243.4</v>
      </c>
      <c r="F1443" s="11" t="s">
        <v>157</v>
      </c>
      <c r="G1443" s="7" t="s">
        <v>251</v>
      </c>
      <c r="H1443" s="10"/>
      <c r="I1443" s="9"/>
      <c r="J1443" s="7" t="s">
        <v>250</v>
      </c>
      <c r="K1443" s="7" t="s">
        <v>21</v>
      </c>
      <c r="L1443" s="8"/>
      <c r="M1443" s="8" t="str">
        <f>IF(C1443="Caixa","-",VLOOKUP(J1443,[1]Estrutura!C:E,3,FALSE))</f>
        <v>4.9</v>
      </c>
      <c r="N1443" s="8"/>
      <c r="O1443" s="7">
        <f t="shared" si="88"/>
        <v>15</v>
      </c>
      <c r="P1443" s="7">
        <f t="shared" si="89"/>
        <v>11</v>
      </c>
      <c r="Q1443" s="7">
        <f t="shared" si="90"/>
        <v>2026</v>
      </c>
      <c r="R1443" s="6">
        <f t="shared" si="91"/>
        <v>-6243.4</v>
      </c>
      <c r="S1443" s="16">
        <v>46346</v>
      </c>
    </row>
    <row r="1444" spans="1:19">
      <c r="A1444" s="16">
        <v>46341</v>
      </c>
      <c r="B1444" s="7" t="s">
        <v>7</v>
      </c>
      <c r="C1444" s="7" t="s">
        <v>9</v>
      </c>
      <c r="D1444" s="15">
        <v>8493.4600000000009</v>
      </c>
      <c r="E1444" s="15"/>
      <c r="F1444" s="15"/>
      <c r="G1444" s="8" t="s">
        <v>11</v>
      </c>
      <c r="H1444" s="8"/>
      <c r="I1444" s="17"/>
      <c r="J1444" s="8" t="s">
        <v>10</v>
      </c>
      <c r="K1444" s="8"/>
      <c r="L1444" s="7"/>
      <c r="M1444" s="7" t="str">
        <f>IF(C1444="Caixa","-",VLOOKUP(J1444,[1]Estrutura!C:E,3,FALSE))</f>
        <v>1.1</v>
      </c>
      <c r="N1444" s="7"/>
      <c r="O1444" s="7">
        <f t="shared" si="88"/>
        <v>15</v>
      </c>
      <c r="P1444" s="7">
        <f t="shared" si="89"/>
        <v>11</v>
      </c>
      <c r="Q1444" s="7">
        <f t="shared" si="90"/>
        <v>2026</v>
      </c>
      <c r="R1444" s="6">
        <f t="shared" si="91"/>
        <v>8493.4600000000009</v>
      </c>
      <c r="S1444" s="16">
        <v>46346</v>
      </c>
    </row>
    <row r="1445" spans="1:19">
      <c r="A1445" s="16">
        <v>46342</v>
      </c>
      <c r="B1445" s="8" t="s">
        <v>14</v>
      </c>
      <c r="C1445" s="7" t="s">
        <v>9</v>
      </c>
      <c r="D1445" s="15">
        <v>4880.97</v>
      </c>
      <c r="E1445" s="15"/>
      <c r="F1445" s="15"/>
      <c r="G1445" s="8" t="s">
        <v>11</v>
      </c>
      <c r="H1445" s="8"/>
      <c r="I1445" s="17"/>
      <c r="J1445" s="8" t="s">
        <v>10</v>
      </c>
      <c r="K1445" s="8"/>
      <c r="L1445" s="8"/>
      <c r="M1445" s="8" t="str">
        <f>IF(C1445="Caixa","-",VLOOKUP(J1445,[1]Estrutura!C:E,3,FALSE))</f>
        <v>1.1</v>
      </c>
      <c r="N1445" s="8"/>
      <c r="O1445" s="7">
        <f t="shared" si="88"/>
        <v>16</v>
      </c>
      <c r="P1445" s="7">
        <f t="shared" si="89"/>
        <v>11</v>
      </c>
      <c r="Q1445" s="7">
        <f t="shared" si="90"/>
        <v>2026</v>
      </c>
      <c r="R1445" s="6">
        <f t="shared" si="91"/>
        <v>4880.97</v>
      </c>
      <c r="S1445" s="12">
        <v>46346</v>
      </c>
    </row>
    <row r="1446" spans="1:19">
      <c r="A1446" s="16">
        <v>46342</v>
      </c>
      <c r="B1446" s="7" t="s">
        <v>14</v>
      </c>
      <c r="C1446" s="7" t="s">
        <v>9</v>
      </c>
      <c r="D1446" s="11"/>
      <c r="E1446" s="11">
        <v>729.11</v>
      </c>
      <c r="F1446" s="11" t="s">
        <v>24</v>
      </c>
      <c r="G1446" s="7" t="s">
        <v>127</v>
      </c>
      <c r="H1446" s="10"/>
      <c r="I1446" s="9"/>
      <c r="J1446" s="7" t="s">
        <v>77</v>
      </c>
      <c r="K1446" s="8"/>
      <c r="L1446" s="7"/>
      <c r="M1446" s="7" t="str">
        <f>IF(C1446="Caixa","-",VLOOKUP(J1446,[1]Estrutura!C:E,3,FALSE))</f>
        <v>4.3</v>
      </c>
      <c r="N1446" s="7"/>
      <c r="O1446" s="7">
        <f t="shared" si="88"/>
        <v>16</v>
      </c>
      <c r="P1446" s="7">
        <f t="shared" si="89"/>
        <v>11</v>
      </c>
      <c r="Q1446" s="7">
        <f t="shared" si="90"/>
        <v>2026</v>
      </c>
      <c r="R1446" s="6">
        <f t="shared" si="91"/>
        <v>-729.11</v>
      </c>
      <c r="S1446" s="12">
        <v>46346</v>
      </c>
    </row>
    <row r="1447" spans="1:19">
      <c r="A1447" s="16">
        <v>46342</v>
      </c>
      <c r="B1447" s="7" t="s">
        <v>7</v>
      </c>
      <c r="C1447" s="7" t="s">
        <v>9</v>
      </c>
      <c r="D1447" s="15">
        <v>7043.67</v>
      </c>
      <c r="E1447" s="15"/>
      <c r="F1447" s="15"/>
      <c r="G1447" s="8" t="s">
        <v>11</v>
      </c>
      <c r="H1447" s="8"/>
      <c r="I1447" s="17"/>
      <c r="J1447" s="8" t="s">
        <v>10</v>
      </c>
      <c r="K1447" s="8"/>
      <c r="L1447" s="8"/>
      <c r="M1447" s="8" t="str">
        <f>IF(C1447="Caixa","-",VLOOKUP(J1447,[1]Estrutura!C:E,3,FALSE))</f>
        <v>1.1</v>
      </c>
      <c r="N1447" s="8"/>
      <c r="O1447" s="7">
        <f t="shared" si="88"/>
        <v>16</v>
      </c>
      <c r="P1447" s="7">
        <f t="shared" si="89"/>
        <v>11</v>
      </c>
      <c r="Q1447" s="7">
        <f t="shared" si="90"/>
        <v>2026</v>
      </c>
      <c r="R1447" s="6">
        <f t="shared" si="91"/>
        <v>7043.67</v>
      </c>
      <c r="S1447" s="12">
        <v>46346</v>
      </c>
    </row>
    <row r="1448" spans="1:19">
      <c r="A1448" s="16">
        <v>46343</v>
      </c>
      <c r="B1448" s="8" t="s">
        <v>14</v>
      </c>
      <c r="C1448" s="7" t="s">
        <v>9</v>
      </c>
      <c r="D1448" s="15">
        <v>1240.02</v>
      </c>
      <c r="E1448" s="15"/>
      <c r="F1448" s="15"/>
      <c r="G1448" s="8" t="s">
        <v>11</v>
      </c>
      <c r="H1448" s="8"/>
      <c r="I1448" s="17"/>
      <c r="J1448" s="8" t="s">
        <v>10</v>
      </c>
      <c r="K1448" s="8"/>
      <c r="L1448" s="7"/>
      <c r="M1448" s="7" t="str">
        <f>IF(C1448="Caixa","-",VLOOKUP(J1448,[1]Estrutura!C:E,3,FALSE))</f>
        <v>1.1</v>
      </c>
      <c r="N1448" s="7"/>
      <c r="O1448" s="7">
        <f t="shared" si="88"/>
        <v>17</v>
      </c>
      <c r="P1448" s="7">
        <f t="shared" si="89"/>
        <v>11</v>
      </c>
      <c r="Q1448" s="7">
        <f t="shared" si="90"/>
        <v>2026</v>
      </c>
      <c r="R1448" s="6">
        <f t="shared" si="91"/>
        <v>1240.02</v>
      </c>
      <c r="S1448" s="12">
        <v>46346</v>
      </c>
    </row>
    <row r="1449" spans="1:19">
      <c r="A1449" s="12">
        <v>46343</v>
      </c>
      <c r="B1449" s="7" t="s">
        <v>14</v>
      </c>
      <c r="C1449" s="7" t="s">
        <v>9</v>
      </c>
      <c r="D1449" s="11"/>
      <c r="E1449" s="11">
        <v>109.8</v>
      </c>
      <c r="F1449" s="11" t="s">
        <v>168</v>
      </c>
      <c r="G1449" s="7" t="s">
        <v>249</v>
      </c>
      <c r="H1449" s="10"/>
      <c r="I1449" s="9"/>
      <c r="J1449" s="7" t="s">
        <v>77</v>
      </c>
      <c r="K1449" s="7"/>
      <c r="L1449" s="8"/>
      <c r="M1449" s="8" t="str">
        <f>IF(C1449="Caixa","-",VLOOKUP(J1449,[1]Estrutura!C:E,3,FALSE))</f>
        <v>4.3</v>
      </c>
      <c r="N1449" s="8"/>
      <c r="O1449" s="7">
        <f t="shared" si="88"/>
        <v>17</v>
      </c>
      <c r="P1449" s="7">
        <f t="shared" si="89"/>
        <v>11</v>
      </c>
      <c r="Q1449" s="7">
        <f t="shared" si="90"/>
        <v>2026</v>
      </c>
      <c r="R1449" s="6">
        <f t="shared" si="91"/>
        <v>-109.8</v>
      </c>
      <c r="S1449" s="16">
        <v>46346</v>
      </c>
    </row>
    <row r="1450" spans="1:19">
      <c r="A1450" s="16">
        <v>46343</v>
      </c>
      <c r="B1450" s="8" t="s">
        <v>7</v>
      </c>
      <c r="C1450" s="8" t="s">
        <v>9</v>
      </c>
      <c r="D1450" s="15"/>
      <c r="E1450" s="15">
        <v>816.54</v>
      </c>
      <c r="F1450" s="15" t="s">
        <v>248</v>
      </c>
      <c r="G1450" s="15" t="s">
        <v>247</v>
      </c>
      <c r="H1450" s="14">
        <v>11479</v>
      </c>
      <c r="I1450" s="13"/>
      <c r="J1450" s="8" t="s">
        <v>173</v>
      </c>
      <c r="K1450" s="8"/>
      <c r="L1450" s="7"/>
      <c r="M1450" s="7" t="str">
        <f>IF(C1450="Caixa","-",VLOOKUP(J1450,[1]Estrutura!C:E,3,FALSE))</f>
        <v>4.3</v>
      </c>
      <c r="N1450" s="7"/>
      <c r="O1450" s="7">
        <f t="shared" si="88"/>
        <v>17</v>
      </c>
      <c r="P1450" s="7">
        <f t="shared" si="89"/>
        <v>11</v>
      </c>
      <c r="Q1450" s="7">
        <f t="shared" si="90"/>
        <v>2026</v>
      </c>
      <c r="R1450" s="6">
        <f t="shared" si="91"/>
        <v>-816.54</v>
      </c>
      <c r="S1450" s="26">
        <v>46346</v>
      </c>
    </row>
    <row r="1451" spans="1:19">
      <c r="A1451" s="12">
        <v>46344</v>
      </c>
      <c r="B1451" s="7" t="s">
        <v>26</v>
      </c>
      <c r="C1451" s="7" t="s">
        <v>6</v>
      </c>
      <c r="D1451" s="11"/>
      <c r="E1451" s="11">
        <v>99.35</v>
      </c>
      <c r="F1451" s="11" t="s">
        <v>125</v>
      </c>
      <c r="G1451" s="7" t="s">
        <v>246</v>
      </c>
      <c r="H1451" s="10"/>
      <c r="I1451" s="9"/>
      <c r="J1451" s="8" t="s">
        <v>99</v>
      </c>
      <c r="K1451" s="7" t="s">
        <v>21</v>
      </c>
      <c r="L1451" s="8"/>
      <c r="M1451" s="8" t="str">
        <f>IF(C1451="Caixa","-",VLOOKUP(J1451,[1]Estrutura!C:E,3,FALSE))</f>
        <v>4.3</v>
      </c>
      <c r="N1451" s="8"/>
      <c r="O1451" s="7">
        <f t="shared" si="88"/>
        <v>18</v>
      </c>
      <c r="P1451" s="7">
        <f t="shared" si="89"/>
        <v>11</v>
      </c>
      <c r="Q1451" s="7">
        <f t="shared" si="90"/>
        <v>2026</v>
      </c>
      <c r="R1451" s="6">
        <f t="shared" si="91"/>
        <v>-99.35</v>
      </c>
      <c r="S1451" s="12">
        <v>46346</v>
      </c>
    </row>
    <row r="1452" spans="1:19">
      <c r="A1452" s="16">
        <v>46344</v>
      </c>
      <c r="B1452" s="8" t="s">
        <v>26</v>
      </c>
      <c r="C1452" s="8" t="s">
        <v>6</v>
      </c>
      <c r="D1452" s="15"/>
      <c r="E1452" s="15">
        <v>578.65</v>
      </c>
      <c r="F1452" s="15" t="s">
        <v>125</v>
      </c>
      <c r="G1452" s="8" t="s">
        <v>246</v>
      </c>
      <c r="H1452" s="14"/>
      <c r="I1452" s="13"/>
      <c r="J1452" s="8" t="s">
        <v>99</v>
      </c>
      <c r="K1452" s="8" t="s">
        <v>21</v>
      </c>
      <c r="L1452" s="7"/>
      <c r="M1452" s="7" t="str">
        <f>IF(C1452="Caixa","-",VLOOKUP(J1452,[1]Estrutura!C:E,3,FALSE))</f>
        <v>4.3</v>
      </c>
      <c r="N1452" s="7"/>
      <c r="O1452" s="7">
        <f t="shared" si="88"/>
        <v>18</v>
      </c>
      <c r="P1452" s="7">
        <f t="shared" si="89"/>
        <v>11</v>
      </c>
      <c r="Q1452" s="7">
        <f t="shared" si="90"/>
        <v>2026</v>
      </c>
      <c r="R1452" s="6">
        <f t="shared" si="91"/>
        <v>-578.65</v>
      </c>
      <c r="S1452" s="16">
        <v>46346</v>
      </c>
    </row>
    <row r="1453" spans="1:19">
      <c r="A1453" s="16">
        <v>46344</v>
      </c>
      <c r="B1453" s="7" t="s">
        <v>7</v>
      </c>
      <c r="C1453" s="7" t="s">
        <v>9</v>
      </c>
      <c r="D1453" s="15">
        <v>4132.76</v>
      </c>
      <c r="E1453" s="15"/>
      <c r="F1453" s="15"/>
      <c r="G1453" s="8" t="s">
        <v>11</v>
      </c>
      <c r="H1453" s="8"/>
      <c r="I1453" s="17"/>
      <c r="J1453" s="8" t="s">
        <v>10</v>
      </c>
      <c r="K1453" s="8"/>
      <c r="L1453" s="8"/>
      <c r="M1453" s="8" t="str">
        <f>IF(C1453="Caixa","-",VLOOKUP(J1453,[1]Estrutura!C:E,3,FALSE))</f>
        <v>1.1</v>
      </c>
      <c r="N1453" s="8"/>
      <c r="O1453" s="7">
        <f t="shared" si="88"/>
        <v>18</v>
      </c>
      <c r="P1453" s="7">
        <f t="shared" si="89"/>
        <v>11</v>
      </c>
      <c r="Q1453" s="7">
        <f t="shared" si="90"/>
        <v>2026</v>
      </c>
      <c r="R1453" s="6">
        <f t="shared" si="91"/>
        <v>4132.76</v>
      </c>
      <c r="S1453" s="16">
        <v>46346</v>
      </c>
    </row>
    <row r="1454" spans="1:19">
      <c r="A1454" s="16">
        <v>46345</v>
      </c>
      <c r="B1454" s="8" t="s">
        <v>14</v>
      </c>
      <c r="C1454" s="7" t="s">
        <v>9</v>
      </c>
      <c r="D1454" s="15">
        <v>2112.06</v>
      </c>
      <c r="E1454" s="15"/>
      <c r="F1454" s="15"/>
      <c r="G1454" s="8" t="s">
        <v>11</v>
      </c>
      <c r="H1454" s="8"/>
      <c r="I1454" s="17"/>
      <c r="J1454" s="8" t="s">
        <v>10</v>
      </c>
      <c r="K1454" s="8"/>
      <c r="L1454" s="7"/>
      <c r="M1454" s="7" t="str">
        <f>IF(C1454="Caixa","-",VLOOKUP(J1454,[1]Estrutura!C:E,3,FALSE))</f>
        <v>1.1</v>
      </c>
      <c r="N1454" s="7"/>
      <c r="O1454" s="7">
        <f t="shared" si="88"/>
        <v>19</v>
      </c>
      <c r="P1454" s="7">
        <f t="shared" si="89"/>
        <v>11</v>
      </c>
      <c r="Q1454" s="7">
        <f t="shared" si="90"/>
        <v>2026</v>
      </c>
      <c r="R1454" s="6">
        <f t="shared" si="91"/>
        <v>2112.06</v>
      </c>
      <c r="S1454" s="35">
        <v>46346</v>
      </c>
    </row>
    <row r="1455" spans="1:19">
      <c r="A1455" s="12">
        <v>46345</v>
      </c>
      <c r="B1455" s="7" t="s">
        <v>14</v>
      </c>
      <c r="C1455" s="7" t="s">
        <v>25</v>
      </c>
      <c r="D1455" s="11"/>
      <c r="E1455" s="11">
        <v>1191.3900000000001</v>
      </c>
      <c r="F1455" s="11"/>
      <c r="G1455" s="7" t="s">
        <v>156</v>
      </c>
      <c r="H1455" s="10">
        <v>4118</v>
      </c>
      <c r="I1455" s="9"/>
      <c r="J1455" s="7" t="s">
        <v>17</v>
      </c>
      <c r="K1455" s="7"/>
      <c r="L1455" s="8"/>
      <c r="M1455" s="8" t="str">
        <f>IF(C1455="Caixa","-",VLOOKUP(J1455,[1]Estrutura!C:E,3,FALSE))</f>
        <v>4.4</v>
      </c>
      <c r="N1455" s="8"/>
      <c r="O1455" s="7">
        <f t="shared" si="88"/>
        <v>19</v>
      </c>
      <c r="P1455" s="7">
        <f t="shared" si="89"/>
        <v>11</v>
      </c>
      <c r="Q1455" s="7">
        <f t="shared" si="90"/>
        <v>2026</v>
      </c>
      <c r="R1455" s="6">
        <f t="shared" si="91"/>
        <v>-1191.3900000000001</v>
      </c>
      <c r="S1455" s="16">
        <v>46346</v>
      </c>
    </row>
    <row r="1456" spans="1:19">
      <c r="A1456" s="16">
        <v>46345</v>
      </c>
      <c r="B1456" s="8" t="s">
        <v>14</v>
      </c>
      <c r="C1456" s="8" t="s">
        <v>9</v>
      </c>
      <c r="D1456" s="15"/>
      <c r="E1456" s="15">
        <v>493.9</v>
      </c>
      <c r="F1456" s="15" t="s">
        <v>24</v>
      </c>
      <c r="G1456" s="8" t="s">
        <v>24</v>
      </c>
      <c r="H1456" s="14"/>
      <c r="I1456" s="13"/>
      <c r="J1456" s="8" t="s">
        <v>22</v>
      </c>
      <c r="K1456" s="8"/>
      <c r="L1456" s="7"/>
      <c r="M1456" s="7" t="str">
        <f>IF(C1456="Caixa","-",VLOOKUP(J1456,[1]Estrutura!C:E,3,FALSE))</f>
        <v>4.3</v>
      </c>
      <c r="N1456" s="7"/>
      <c r="O1456" s="7">
        <f t="shared" si="88"/>
        <v>19</v>
      </c>
      <c r="P1456" s="7">
        <f t="shared" si="89"/>
        <v>11</v>
      </c>
      <c r="Q1456" s="7">
        <f t="shared" si="90"/>
        <v>2026</v>
      </c>
      <c r="R1456" s="6">
        <f t="shared" si="91"/>
        <v>-493.9</v>
      </c>
      <c r="S1456" s="16">
        <v>46346</v>
      </c>
    </row>
    <row r="1457" spans="1:19">
      <c r="A1457" s="12">
        <v>46345</v>
      </c>
      <c r="B1457" s="7" t="s">
        <v>14</v>
      </c>
      <c r="C1457" s="7" t="s">
        <v>9</v>
      </c>
      <c r="D1457" s="11"/>
      <c r="E1457" s="11">
        <v>153.63999999999999</v>
      </c>
      <c r="F1457" s="11" t="s">
        <v>24</v>
      </c>
      <c r="G1457" s="7" t="s">
        <v>123</v>
      </c>
      <c r="H1457" s="10"/>
      <c r="I1457" s="9"/>
      <c r="J1457" s="7" t="s">
        <v>22</v>
      </c>
      <c r="K1457" s="7"/>
      <c r="L1457" s="8"/>
      <c r="M1457" s="8" t="str">
        <f>IF(C1457="Caixa","-",VLOOKUP(J1457,[1]Estrutura!C:E,3,FALSE))</f>
        <v>4.3</v>
      </c>
      <c r="N1457" s="8"/>
      <c r="O1457" s="7">
        <f t="shared" si="88"/>
        <v>19</v>
      </c>
      <c r="P1457" s="7">
        <f t="shared" si="89"/>
        <v>11</v>
      </c>
      <c r="Q1457" s="7">
        <f t="shared" si="90"/>
        <v>2026</v>
      </c>
      <c r="R1457" s="6">
        <f t="shared" si="91"/>
        <v>-153.63999999999999</v>
      </c>
      <c r="S1457" s="12">
        <v>46346</v>
      </c>
    </row>
    <row r="1458" spans="1:19">
      <c r="A1458" s="16">
        <v>46345</v>
      </c>
      <c r="B1458" s="8" t="s">
        <v>26</v>
      </c>
      <c r="C1458" s="8" t="s">
        <v>6</v>
      </c>
      <c r="D1458" s="15"/>
      <c r="E1458" s="15">
        <v>2205.48</v>
      </c>
      <c r="F1458" s="15" t="s">
        <v>32</v>
      </c>
      <c r="G1458" s="8" t="s">
        <v>245</v>
      </c>
      <c r="H1458" s="14"/>
      <c r="I1458" s="13"/>
      <c r="J1458" s="8" t="s">
        <v>95</v>
      </c>
      <c r="K1458" s="18" t="s">
        <v>34</v>
      </c>
      <c r="L1458" s="7"/>
      <c r="M1458" s="7" t="str">
        <f>IF(C1458="Caixa","-",VLOOKUP(J1458,[1]Estrutura!C:E,3,FALSE))</f>
        <v>4.1</v>
      </c>
      <c r="N1458" s="7"/>
      <c r="O1458" s="7">
        <f t="shared" si="88"/>
        <v>19</v>
      </c>
      <c r="P1458" s="7">
        <f t="shared" si="89"/>
        <v>11</v>
      </c>
      <c r="Q1458" s="7">
        <f t="shared" si="90"/>
        <v>2026</v>
      </c>
      <c r="R1458" s="6">
        <f t="shared" si="91"/>
        <v>-2205.48</v>
      </c>
      <c r="S1458" s="12">
        <v>46346</v>
      </c>
    </row>
    <row r="1459" spans="1:19">
      <c r="A1459" s="16">
        <v>46345</v>
      </c>
      <c r="B1459" s="7" t="s">
        <v>7</v>
      </c>
      <c r="C1459" s="7" t="s">
        <v>9</v>
      </c>
      <c r="D1459" s="15">
        <v>3332.33</v>
      </c>
      <c r="E1459" s="15"/>
      <c r="F1459" s="15"/>
      <c r="G1459" s="8" t="s">
        <v>11</v>
      </c>
      <c r="H1459" s="8"/>
      <c r="I1459" s="17"/>
      <c r="J1459" s="8" t="s">
        <v>10</v>
      </c>
      <c r="K1459" s="8"/>
      <c r="L1459" s="8"/>
      <c r="M1459" s="8" t="str">
        <f>IF(C1459="Caixa","-",VLOOKUP(J1459,[1]Estrutura!C:E,3,FALSE))</f>
        <v>1.1</v>
      </c>
      <c r="N1459" s="8"/>
      <c r="O1459" s="7">
        <f t="shared" si="88"/>
        <v>19</v>
      </c>
      <c r="P1459" s="7">
        <f t="shared" si="89"/>
        <v>11</v>
      </c>
      <c r="Q1459" s="7">
        <f t="shared" si="90"/>
        <v>2026</v>
      </c>
      <c r="R1459" s="6">
        <f t="shared" si="91"/>
        <v>3332.33</v>
      </c>
      <c r="S1459" s="16">
        <v>46346</v>
      </c>
    </row>
    <row r="1460" spans="1:19">
      <c r="A1460" s="16">
        <v>46346</v>
      </c>
      <c r="B1460" s="8" t="s">
        <v>14</v>
      </c>
      <c r="C1460" s="7" t="s">
        <v>9</v>
      </c>
      <c r="D1460" s="15">
        <v>3472.13</v>
      </c>
      <c r="E1460" s="15"/>
      <c r="F1460" s="15"/>
      <c r="G1460" s="8" t="s">
        <v>11</v>
      </c>
      <c r="H1460" s="8"/>
      <c r="I1460" s="17"/>
      <c r="J1460" s="8" t="s">
        <v>10</v>
      </c>
      <c r="K1460" s="8"/>
      <c r="L1460" s="7"/>
      <c r="M1460" s="7" t="str">
        <f>IF(C1460="Caixa","-",VLOOKUP(J1460,[1]Estrutura!C:E,3,FALSE))</f>
        <v>1.1</v>
      </c>
      <c r="N1460" s="7"/>
      <c r="O1460" s="7">
        <f t="shared" si="88"/>
        <v>20</v>
      </c>
      <c r="P1460" s="7">
        <f t="shared" si="89"/>
        <v>11</v>
      </c>
      <c r="Q1460" s="7">
        <f t="shared" si="90"/>
        <v>2026</v>
      </c>
      <c r="R1460" s="6">
        <f t="shared" si="91"/>
        <v>3472.13</v>
      </c>
      <c r="S1460" s="16">
        <v>46346</v>
      </c>
    </row>
    <row r="1461" spans="1:19">
      <c r="A1461" s="16">
        <v>46346</v>
      </c>
      <c r="B1461" s="8" t="s">
        <v>14</v>
      </c>
      <c r="C1461" s="8" t="s">
        <v>9</v>
      </c>
      <c r="D1461" s="15"/>
      <c r="E1461" s="15">
        <v>427.2399999999999</v>
      </c>
      <c r="F1461" s="15"/>
      <c r="G1461" s="8" t="s">
        <v>8</v>
      </c>
      <c r="H1461" s="14"/>
      <c r="I1461" s="13"/>
      <c r="J1461" s="8" t="s">
        <v>4</v>
      </c>
      <c r="K1461" s="8"/>
      <c r="L1461" s="8"/>
      <c r="M1461" s="8" t="str">
        <f>IF(C1461="Caixa","-",VLOOKUP(J1461,[1]Estrutura!C:E,3,FALSE))</f>
        <v>5.2</v>
      </c>
      <c r="N1461" s="8"/>
      <c r="O1461" s="7">
        <f t="shared" si="88"/>
        <v>20</v>
      </c>
      <c r="P1461" s="7">
        <f t="shared" si="89"/>
        <v>11</v>
      </c>
      <c r="Q1461" s="7">
        <f t="shared" si="90"/>
        <v>2026</v>
      </c>
      <c r="R1461" s="6">
        <f t="shared" si="91"/>
        <v>-427.2399999999999</v>
      </c>
      <c r="S1461" s="16">
        <v>46347</v>
      </c>
    </row>
    <row r="1462" spans="1:19">
      <c r="A1462" s="12">
        <v>46346</v>
      </c>
      <c r="B1462" s="7" t="s">
        <v>14</v>
      </c>
      <c r="C1462" s="7" t="s">
        <v>9</v>
      </c>
      <c r="D1462" s="11"/>
      <c r="E1462" s="11">
        <v>387.72</v>
      </c>
      <c r="F1462" s="11" t="s">
        <v>118</v>
      </c>
      <c r="G1462" s="7" t="s">
        <v>117</v>
      </c>
      <c r="H1462" s="10"/>
      <c r="I1462" s="9"/>
      <c r="J1462" s="7" t="s">
        <v>116</v>
      </c>
      <c r="K1462" s="7"/>
      <c r="L1462" s="7"/>
      <c r="M1462" s="7" t="str">
        <f>IF(C1462="Caixa","-",VLOOKUP(J1462,[1]Estrutura!C:E,3,FALSE))</f>
        <v>4.12</v>
      </c>
      <c r="N1462" s="7"/>
      <c r="O1462" s="7">
        <f t="shared" si="88"/>
        <v>20</v>
      </c>
      <c r="P1462" s="7">
        <f t="shared" si="89"/>
        <v>11</v>
      </c>
      <c r="Q1462" s="7">
        <f t="shared" si="90"/>
        <v>2026</v>
      </c>
      <c r="R1462" s="6">
        <f t="shared" si="91"/>
        <v>-387.72</v>
      </c>
      <c r="S1462" s="12">
        <v>46347</v>
      </c>
    </row>
    <row r="1463" spans="1:19">
      <c r="A1463" s="16">
        <v>46346</v>
      </c>
      <c r="B1463" s="8" t="s">
        <v>14</v>
      </c>
      <c r="C1463" s="8" t="s">
        <v>9</v>
      </c>
      <c r="D1463" s="15"/>
      <c r="E1463" s="15">
        <v>3932.44</v>
      </c>
      <c r="F1463" s="15" t="s">
        <v>32</v>
      </c>
      <c r="G1463" s="8" t="s">
        <v>245</v>
      </c>
      <c r="H1463" s="14"/>
      <c r="I1463" s="13"/>
      <c r="J1463" s="8" t="s">
        <v>95</v>
      </c>
      <c r="K1463" s="8"/>
      <c r="L1463" s="8"/>
      <c r="M1463" s="8" t="str">
        <f>IF(C1463="Caixa","-",VLOOKUP(J1463,[1]Estrutura!C:E,3,FALSE))</f>
        <v>4.1</v>
      </c>
      <c r="N1463" s="8"/>
      <c r="O1463" s="7">
        <f t="shared" si="88"/>
        <v>20</v>
      </c>
      <c r="P1463" s="7">
        <f t="shared" si="89"/>
        <v>11</v>
      </c>
      <c r="Q1463" s="7">
        <f t="shared" si="90"/>
        <v>2026</v>
      </c>
      <c r="R1463" s="6">
        <f t="shared" si="91"/>
        <v>-3932.44</v>
      </c>
      <c r="S1463" s="16">
        <v>46347</v>
      </c>
    </row>
    <row r="1464" spans="1:19">
      <c r="A1464" s="16">
        <v>46346</v>
      </c>
      <c r="B1464" s="8" t="s">
        <v>14</v>
      </c>
      <c r="C1464" s="8" t="s">
        <v>9</v>
      </c>
      <c r="D1464" s="15"/>
      <c r="E1464" s="15">
        <v>5227</v>
      </c>
      <c r="F1464" s="15" t="s">
        <v>50</v>
      </c>
      <c r="G1464" s="8" t="s">
        <v>70</v>
      </c>
      <c r="H1464" s="14"/>
      <c r="I1464" s="13"/>
      <c r="J1464" s="7" t="s">
        <v>35</v>
      </c>
      <c r="K1464" s="8"/>
      <c r="L1464" s="7"/>
      <c r="M1464" s="7" t="str">
        <f>IF(C1464="Caixa","-",VLOOKUP(J1464,[1]Estrutura!C:E,3,FALSE))</f>
        <v>4.1</v>
      </c>
      <c r="N1464" s="7"/>
      <c r="O1464" s="7">
        <f t="shared" si="88"/>
        <v>20</v>
      </c>
      <c r="P1464" s="7">
        <f t="shared" si="89"/>
        <v>11</v>
      </c>
      <c r="Q1464" s="7">
        <f t="shared" si="90"/>
        <v>2026</v>
      </c>
      <c r="R1464" s="6">
        <f t="shared" si="91"/>
        <v>-5227</v>
      </c>
      <c r="S1464" s="16">
        <v>46347</v>
      </c>
    </row>
    <row r="1465" spans="1:19">
      <c r="A1465" s="12">
        <v>46346</v>
      </c>
      <c r="B1465" s="7" t="s">
        <v>14</v>
      </c>
      <c r="C1465" s="7" t="s">
        <v>9</v>
      </c>
      <c r="D1465" s="11"/>
      <c r="E1465" s="11">
        <v>2815</v>
      </c>
      <c r="F1465" s="11" t="s">
        <v>51</v>
      </c>
      <c r="G1465" s="7" t="s">
        <v>244</v>
      </c>
      <c r="H1465" s="10"/>
      <c r="I1465" s="9"/>
      <c r="J1465" s="7" t="s">
        <v>35</v>
      </c>
      <c r="K1465" s="7"/>
      <c r="L1465" s="8"/>
      <c r="M1465" s="8" t="str">
        <f>IF(C1465="Caixa","-",VLOOKUP(J1465,[1]Estrutura!C:E,3,FALSE))</f>
        <v>4.1</v>
      </c>
      <c r="N1465" s="8"/>
      <c r="O1465" s="7">
        <f t="shared" si="88"/>
        <v>20</v>
      </c>
      <c r="P1465" s="7">
        <f t="shared" si="89"/>
        <v>11</v>
      </c>
      <c r="Q1465" s="7">
        <f t="shared" si="90"/>
        <v>2026</v>
      </c>
      <c r="R1465" s="6">
        <f t="shared" si="91"/>
        <v>-2815</v>
      </c>
      <c r="S1465" s="12">
        <v>46347</v>
      </c>
    </row>
    <row r="1466" spans="1:19">
      <c r="A1466" s="12">
        <v>46346</v>
      </c>
      <c r="B1466" s="7" t="s">
        <v>14</v>
      </c>
      <c r="C1466" s="7" t="s">
        <v>9</v>
      </c>
      <c r="D1466" s="11"/>
      <c r="E1466" s="11">
        <v>8400</v>
      </c>
      <c r="F1466" s="11" t="s">
        <v>49</v>
      </c>
      <c r="G1466" s="7" t="s">
        <v>235</v>
      </c>
      <c r="H1466" s="10"/>
      <c r="I1466" s="9"/>
      <c r="J1466" s="7" t="s">
        <v>35</v>
      </c>
      <c r="K1466" s="7"/>
      <c r="L1466" s="7"/>
      <c r="M1466" s="7" t="str">
        <f>IF(C1466="Caixa","-",VLOOKUP(J1466,[1]Estrutura!C:E,3,FALSE))</f>
        <v>4.1</v>
      </c>
      <c r="N1466" s="7"/>
      <c r="O1466" s="7">
        <f t="shared" si="88"/>
        <v>20</v>
      </c>
      <c r="P1466" s="7">
        <f t="shared" si="89"/>
        <v>11</v>
      </c>
      <c r="Q1466" s="7">
        <f t="shared" si="90"/>
        <v>2026</v>
      </c>
      <c r="R1466" s="6">
        <f t="shared" si="91"/>
        <v>-8400</v>
      </c>
      <c r="S1466" s="12">
        <v>46347</v>
      </c>
    </row>
    <row r="1467" spans="1:19">
      <c r="A1467" s="12">
        <v>46346</v>
      </c>
      <c r="B1467" s="7" t="s">
        <v>14</v>
      </c>
      <c r="C1467" s="7" t="s">
        <v>9</v>
      </c>
      <c r="D1467" s="11"/>
      <c r="E1467" s="15">
        <v>800</v>
      </c>
      <c r="F1467" s="11" t="s">
        <v>51</v>
      </c>
      <c r="G1467" s="8" t="s">
        <v>112</v>
      </c>
      <c r="H1467" s="10"/>
      <c r="I1467" s="9"/>
      <c r="J1467" s="7" t="s">
        <v>110</v>
      </c>
      <c r="K1467" s="7"/>
      <c r="L1467" s="8"/>
      <c r="M1467" s="8" t="str">
        <f>IF(C1467="Caixa","-",VLOOKUP(J1467,[1]Estrutura!C:E,3,FALSE))</f>
        <v>4.1</v>
      </c>
      <c r="N1467" s="8"/>
      <c r="O1467" s="7">
        <f t="shared" si="88"/>
        <v>20</v>
      </c>
      <c r="P1467" s="7">
        <f t="shared" si="89"/>
        <v>11</v>
      </c>
      <c r="Q1467" s="7">
        <f t="shared" si="90"/>
        <v>2026</v>
      </c>
      <c r="R1467" s="6">
        <f t="shared" si="91"/>
        <v>-800</v>
      </c>
      <c r="S1467" s="16">
        <v>46347</v>
      </c>
    </row>
    <row r="1468" spans="1:19">
      <c r="A1468" s="12">
        <v>46346</v>
      </c>
      <c r="B1468" s="7" t="s">
        <v>14</v>
      </c>
      <c r="C1468" s="7" t="s">
        <v>9</v>
      </c>
      <c r="D1468" s="11"/>
      <c r="E1468" s="15">
        <v>800</v>
      </c>
      <c r="F1468" s="11" t="s">
        <v>49</v>
      </c>
      <c r="G1468" s="7" t="s">
        <v>112</v>
      </c>
      <c r="H1468" s="10"/>
      <c r="I1468" s="9"/>
      <c r="J1468" s="7" t="s">
        <v>110</v>
      </c>
      <c r="K1468" s="7"/>
      <c r="L1468" s="7"/>
      <c r="M1468" s="7" t="str">
        <f>IF(C1468="Caixa","-",VLOOKUP(J1468,[1]Estrutura!C:E,3,FALSE))</f>
        <v>4.1</v>
      </c>
      <c r="N1468" s="7"/>
      <c r="O1468" s="7">
        <f t="shared" si="88"/>
        <v>20</v>
      </c>
      <c r="P1468" s="7">
        <f t="shared" si="89"/>
        <v>11</v>
      </c>
      <c r="Q1468" s="7">
        <f t="shared" si="90"/>
        <v>2026</v>
      </c>
      <c r="R1468" s="6">
        <f t="shared" si="91"/>
        <v>-800</v>
      </c>
      <c r="S1468" s="16">
        <v>46347</v>
      </c>
    </row>
    <row r="1469" spans="1:19">
      <c r="A1469" s="16">
        <v>46346</v>
      </c>
      <c r="B1469" s="8" t="s">
        <v>14</v>
      </c>
      <c r="C1469" s="8" t="s">
        <v>9</v>
      </c>
      <c r="D1469" s="15"/>
      <c r="E1469" s="15">
        <v>724.5</v>
      </c>
      <c r="F1469" s="15" t="s">
        <v>50</v>
      </c>
      <c r="G1469" s="8" t="s">
        <v>243</v>
      </c>
      <c r="H1469" s="14"/>
      <c r="I1469" s="13"/>
      <c r="J1469" s="8" t="s">
        <v>110</v>
      </c>
      <c r="K1469" s="8"/>
      <c r="L1469" s="8"/>
      <c r="M1469" s="8" t="str">
        <f>IF(C1469="Caixa","-",VLOOKUP(J1469,[1]Estrutura!C:E,3,FALSE))</f>
        <v>4.1</v>
      </c>
      <c r="N1469" s="8"/>
      <c r="O1469" s="7">
        <f t="shared" si="88"/>
        <v>20</v>
      </c>
      <c r="P1469" s="7">
        <f t="shared" si="89"/>
        <v>11</v>
      </c>
      <c r="Q1469" s="7">
        <f t="shared" si="90"/>
        <v>2026</v>
      </c>
      <c r="R1469" s="6">
        <f t="shared" si="91"/>
        <v>-724.5</v>
      </c>
      <c r="S1469" s="12">
        <v>46347</v>
      </c>
    </row>
    <row r="1470" spans="1:19">
      <c r="A1470" s="26">
        <v>46346</v>
      </c>
      <c r="B1470" s="8" t="s">
        <v>26</v>
      </c>
      <c r="C1470" s="8" t="s">
        <v>6</v>
      </c>
      <c r="D1470" s="15"/>
      <c r="E1470" s="15">
        <v>3045</v>
      </c>
      <c r="F1470" s="15" t="s">
        <v>47</v>
      </c>
      <c r="G1470" s="7" t="s">
        <v>92</v>
      </c>
      <c r="H1470" s="14"/>
      <c r="I1470" s="13"/>
      <c r="J1470" s="8" t="s">
        <v>92</v>
      </c>
      <c r="K1470" s="8" t="s">
        <v>21</v>
      </c>
      <c r="L1470" s="7"/>
      <c r="M1470" s="7" t="str">
        <f>IF(C1470="Caixa","-",VLOOKUP(J1470,[1]Estrutura!C:E,3,FALSE))</f>
        <v>4.1</v>
      </c>
      <c r="N1470" s="7"/>
      <c r="O1470" s="7">
        <f t="shared" si="88"/>
        <v>20</v>
      </c>
      <c r="P1470" s="7">
        <f t="shared" si="89"/>
        <v>11</v>
      </c>
      <c r="Q1470" s="7">
        <f t="shared" si="90"/>
        <v>2026</v>
      </c>
      <c r="R1470" s="6">
        <f t="shared" si="91"/>
        <v>-3045</v>
      </c>
      <c r="S1470" s="16">
        <v>46347</v>
      </c>
    </row>
    <row r="1471" spans="1:19">
      <c r="A1471" s="12">
        <v>46346</v>
      </c>
      <c r="B1471" s="7" t="s">
        <v>26</v>
      </c>
      <c r="C1471" s="7" t="s">
        <v>6</v>
      </c>
      <c r="D1471" s="11"/>
      <c r="E1471" s="15">
        <v>2722</v>
      </c>
      <c r="F1471" s="11" t="s">
        <v>45</v>
      </c>
      <c r="G1471" s="7" t="s">
        <v>92</v>
      </c>
      <c r="H1471" s="10"/>
      <c r="I1471" s="9"/>
      <c r="J1471" s="7" t="s">
        <v>92</v>
      </c>
      <c r="K1471" s="7" t="s">
        <v>44</v>
      </c>
      <c r="L1471" s="8"/>
      <c r="M1471" s="8" t="str">
        <f>IF(C1471="Caixa","-",VLOOKUP(J1471,[1]Estrutura!C:E,3,FALSE))</f>
        <v>4.1</v>
      </c>
      <c r="N1471" s="8"/>
      <c r="O1471" s="7">
        <f t="shared" si="88"/>
        <v>20</v>
      </c>
      <c r="P1471" s="7">
        <f t="shared" si="89"/>
        <v>11</v>
      </c>
      <c r="Q1471" s="7">
        <f t="shared" si="90"/>
        <v>2026</v>
      </c>
      <c r="R1471" s="6">
        <f t="shared" si="91"/>
        <v>-2722</v>
      </c>
      <c r="S1471" s="12">
        <v>46347</v>
      </c>
    </row>
    <row r="1472" spans="1:19">
      <c r="A1472" s="16">
        <v>46346</v>
      </c>
      <c r="B1472" s="8" t="s">
        <v>26</v>
      </c>
      <c r="C1472" s="8" t="s">
        <v>6</v>
      </c>
      <c r="D1472" s="15"/>
      <c r="E1472" s="15">
        <v>526.72500000000002</v>
      </c>
      <c r="F1472" s="11" t="s">
        <v>104</v>
      </c>
      <c r="G1472" s="8" t="s">
        <v>103</v>
      </c>
      <c r="H1472" s="14"/>
      <c r="I1472" s="13"/>
      <c r="J1472" s="8" t="s">
        <v>102</v>
      </c>
      <c r="K1472" s="8" t="s">
        <v>21</v>
      </c>
      <c r="L1472" s="7"/>
      <c r="M1472" s="7" t="str">
        <f>IF(C1472="Caixa","-",VLOOKUP(J1472,[1]Estrutura!C:E,3,FALSE))</f>
        <v>4.5</v>
      </c>
      <c r="N1472" s="7"/>
      <c r="O1472" s="7">
        <f t="shared" si="88"/>
        <v>20</v>
      </c>
      <c r="P1472" s="7">
        <f t="shared" si="89"/>
        <v>11</v>
      </c>
      <c r="Q1472" s="7">
        <f t="shared" si="90"/>
        <v>2026</v>
      </c>
      <c r="R1472" s="6">
        <f t="shared" si="91"/>
        <v>-526.72500000000002</v>
      </c>
      <c r="S1472" s="12">
        <v>46347</v>
      </c>
    </row>
    <row r="1473" spans="1:19">
      <c r="A1473" s="16">
        <v>46346</v>
      </c>
      <c r="B1473" s="8" t="s">
        <v>26</v>
      </c>
      <c r="C1473" s="8" t="s">
        <v>6</v>
      </c>
      <c r="D1473" s="15"/>
      <c r="E1473" s="15">
        <v>259.10000000000002</v>
      </c>
      <c r="F1473" s="15" t="s">
        <v>106</v>
      </c>
      <c r="G1473" s="8" t="s">
        <v>105</v>
      </c>
      <c r="H1473" s="14"/>
      <c r="I1473" s="13"/>
      <c r="J1473" s="8" t="s">
        <v>77</v>
      </c>
      <c r="K1473" s="8" t="s">
        <v>40</v>
      </c>
      <c r="L1473" s="8"/>
      <c r="M1473" s="8" t="str">
        <f>IF(C1473="Caixa","-",VLOOKUP(J1473,[1]Estrutura!C:E,3,FALSE))</f>
        <v>4.3</v>
      </c>
      <c r="N1473" s="8"/>
      <c r="O1473" s="7">
        <f t="shared" si="88"/>
        <v>20</v>
      </c>
      <c r="P1473" s="7">
        <f t="shared" si="89"/>
        <v>11</v>
      </c>
      <c r="Q1473" s="7">
        <f t="shared" si="90"/>
        <v>2026</v>
      </c>
      <c r="R1473" s="6">
        <f t="shared" si="91"/>
        <v>-259.10000000000002</v>
      </c>
      <c r="S1473" s="12">
        <v>46347</v>
      </c>
    </row>
    <row r="1474" spans="1:19">
      <c r="A1474" s="35">
        <v>46346</v>
      </c>
      <c r="B1474" s="7" t="s">
        <v>26</v>
      </c>
      <c r="C1474" s="7" t="s">
        <v>6</v>
      </c>
      <c r="D1474" s="11"/>
      <c r="E1474" s="15">
        <v>3045</v>
      </c>
      <c r="F1474" s="15" t="s">
        <v>47</v>
      </c>
      <c r="G1474" s="7" t="s">
        <v>235</v>
      </c>
      <c r="H1474" s="10"/>
      <c r="I1474" s="9"/>
      <c r="J1474" s="7" t="s">
        <v>35</v>
      </c>
      <c r="K1474" s="7" t="s">
        <v>21</v>
      </c>
      <c r="L1474" s="7"/>
      <c r="M1474" s="7" t="str">
        <f>IF(C1474="Caixa","-",VLOOKUP(J1474,[1]Estrutura!C:E,3,FALSE))</f>
        <v>4.1</v>
      </c>
      <c r="N1474" s="7"/>
      <c r="O1474" s="7">
        <f t="shared" si="88"/>
        <v>20</v>
      </c>
      <c r="P1474" s="7">
        <f t="shared" si="89"/>
        <v>11</v>
      </c>
      <c r="Q1474" s="7">
        <f t="shared" si="90"/>
        <v>2026</v>
      </c>
      <c r="R1474" s="6">
        <f t="shared" si="91"/>
        <v>-3045</v>
      </c>
      <c r="S1474" s="16">
        <v>46347</v>
      </c>
    </row>
    <row r="1475" spans="1:19">
      <c r="A1475" s="16">
        <v>46346</v>
      </c>
      <c r="B1475" s="8" t="s">
        <v>26</v>
      </c>
      <c r="C1475" s="8" t="s">
        <v>6</v>
      </c>
      <c r="D1475" s="15"/>
      <c r="E1475" s="11">
        <v>470.8</v>
      </c>
      <c r="F1475" s="15" t="s">
        <v>47</v>
      </c>
      <c r="G1475" s="8" t="s">
        <v>242</v>
      </c>
      <c r="H1475" s="14"/>
      <c r="I1475" s="13"/>
      <c r="J1475" s="8" t="s">
        <v>89</v>
      </c>
      <c r="K1475" s="8" t="s">
        <v>21</v>
      </c>
      <c r="L1475" s="8"/>
      <c r="M1475" s="8" t="str">
        <f>IF(C1475="Caixa","-",VLOOKUP(J1475,[1]Estrutura!C:E,3,FALSE))</f>
        <v>4.1</v>
      </c>
      <c r="N1475" s="8"/>
      <c r="O1475" s="7">
        <f t="shared" si="88"/>
        <v>20</v>
      </c>
      <c r="P1475" s="7">
        <f t="shared" si="89"/>
        <v>11</v>
      </c>
      <c r="Q1475" s="7">
        <f t="shared" si="90"/>
        <v>2026</v>
      </c>
      <c r="R1475" s="6">
        <f t="shared" si="91"/>
        <v>-470.8</v>
      </c>
      <c r="S1475" s="12">
        <v>46347</v>
      </c>
    </row>
    <row r="1476" spans="1:19">
      <c r="A1476" s="16">
        <v>46346</v>
      </c>
      <c r="B1476" s="7" t="s">
        <v>7</v>
      </c>
      <c r="C1476" s="7" t="s">
        <v>9</v>
      </c>
      <c r="D1476" s="15">
        <v>8261.5499999999993</v>
      </c>
      <c r="E1476" s="15"/>
      <c r="F1476" s="15"/>
      <c r="G1476" s="8" t="s">
        <v>11</v>
      </c>
      <c r="H1476" s="8"/>
      <c r="I1476" s="17"/>
      <c r="J1476" s="8" t="s">
        <v>10</v>
      </c>
      <c r="K1476" s="8"/>
      <c r="L1476" s="7"/>
      <c r="M1476" s="7" t="str">
        <f>IF(C1476="Caixa","-",VLOOKUP(J1476,[1]Estrutura!C:E,3,FALSE))</f>
        <v>1.1</v>
      </c>
      <c r="N1476" s="7"/>
      <c r="O1476" s="7">
        <f t="shared" si="88"/>
        <v>20</v>
      </c>
      <c r="P1476" s="7">
        <f t="shared" si="89"/>
        <v>11</v>
      </c>
      <c r="Q1476" s="7">
        <f t="shared" si="90"/>
        <v>2026</v>
      </c>
      <c r="R1476" s="6">
        <f t="shared" si="91"/>
        <v>8261.5499999999993</v>
      </c>
      <c r="S1476" s="16">
        <v>46347</v>
      </c>
    </row>
    <row r="1477" spans="1:19">
      <c r="A1477" s="12">
        <v>46346</v>
      </c>
      <c r="B1477" s="7" t="s">
        <v>7</v>
      </c>
      <c r="C1477" s="7" t="s">
        <v>9</v>
      </c>
      <c r="D1477" s="11"/>
      <c r="E1477" s="11">
        <v>400</v>
      </c>
      <c r="F1477" s="11" t="s">
        <v>101</v>
      </c>
      <c r="G1477" s="12" t="s">
        <v>100</v>
      </c>
      <c r="H1477" s="10"/>
      <c r="I1477" s="9"/>
      <c r="J1477" s="8" t="s">
        <v>99</v>
      </c>
      <c r="K1477" s="7" t="s">
        <v>44</v>
      </c>
      <c r="L1477" s="8"/>
      <c r="M1477" s="8" t="str">
        <f>IF(C1477="Caixa","-",VLOOKUP(J1477,[1]Estrutura!C:E,3,FALSE))</f>
        <v>4.3</v>
      </c>
      <c r="N1477" s="8"/>
      <c r="O1477" s="7">
        <f t="shared" si="88"/>
        <v>20</v>
      </c>
      <c r="P1477" s="7">
        <f t="shared" si="89"/>
        <v>11</v>
      </c>
      <c r="Q1477" s="7">
        <f t="shared" si="90"/>
        <v>2026</v>
      </c>
      <c r="R1477" s="6">
        <f t="shared" si="91"/>
        <v>-400</v>
      </c>
      <c r="S1477" s="12">
        <v>46347</v>
      </c>
    </row>
    <row r="1478" spans="1:19">
      <c r="A1478" s="16">
        <v>46346</v>
      </c>
      <c r="B1478" s="24" t="s">
        <v>7</v>
      </c>
      <c r="C1478" s="24" t="s">
        <v>9</v>
      </c>
      <c r="D1478" s="15"/>
      <c r="E1478" s="15">
        <v>410</v>
      </c>
      <c r="F1478" s="15"/>
      <c r="G1478" s="8" t="s">
        <v>98</v>
      </c>
      <c r="H1478" s="14"/>
      <c r="I1478" s="13"/>
      <c r="J1478" s="8" t="s">
        <v>17</v>
      </c>
      <c r="K1478" s="8"/>
      <c r="L1478" s="7"/>
      <c r="M1478" s="7" t="str">
        <f>IF(C1478="Caixa","-",VLOOKUP(J1478,[1]Estrutura!C:E,3,FALSE))</f>
        <v>4.4</v>
      </c>
      <c r="N1478" s="7"/>
      <c r="O1478" s="7">
        <f t="shared" si="88"/>
        <v>20</v>
      </c>
      <c r="P1478" s="7">
        <f t="shared" si="89"/>
        <v>11</v>
      </c>
      <c r="Q1478" s="7">
        <f t="shared" si="90"/>
        <v>2026</v>
      </c>
      <c r="R1478" s="6">
        <f t="shared" si="91"/>
        <v>-410</v>
      </c>
      <c r="S1478" s="19">
        <v>46348</v>
      </c>
    </row>
    <row r="1479" spans="1:19">
      <c r="A1479" s="16">
        <v>46346</v>
      </c>
      <c r="B1479" s="8" t="s">
        <v>7</v>
      </c>
      <c r="C1479" s="8" t="s">
        <v>9</v>
      </c>
      <c r="D1479" s="15"/>
      <c r="E1479" s="15">
        <v>867.09</v>
      </c>
      <c r="F1479" s="15" t="s">
        <v>97</v>
      </c>
      <c r="G1479" s="8" t="s">
        <v>96</v>
      </c>
      <c r="H1479" s="14"/>
      <c r="I1479" s="13"/>
      <c r="J1479" s="8" t="s">
        <v>95</v>
      </c>
      <c r="K1479" s="8"/>
      <c r="L1479" s="8"/>
      <c r="M1479" s="8" t="str">
        <f>IF(C1479="Caixa","-",VLOOKUP(J1479,[1]Estrutura!C:E,3,FALSE))</f>
        <v>4.1</v>
      </c>
      <c r="N1479" s="8"/>
      <c r="O1479" s="7">
        <f t="shared" si="88"/>
        <v>20</v>
      </c>
      <c r="P1479" s="7">
        <f t="shared" si="89"/>
        <v>11</v>
      </c>
      <c r="Q1479" s="7">
        <f t="shared" si="90"/>
        <v>2026</v>
      </c>
      <c r="R1479" s="6">
        <f t="shared" si="91"/>
        <v>-867.09</v>
      </c>
      <c r="S1479" s="12">
        <v>46348</v>
      </c>
    </row>
    <row r="1480" spans="1:19">
      <c r="A1480" s="16">
        <v>46347</v>
      </c>
      <c r="B1480" s="8" t="s">
        <v>14</v>
      </c>
      <c r="C1480" s="7" t="s">
        <v>9</v>
      </c>
      <c r="D1480" s="15">
        <v>2074.1999999999998</v>
      </c>
      <c r="E1480" s="15"/>
      <c r="F1480" s="15"/>
      <c r="G1480" s="8" t="s">
        <v>11</v>
      </c>
      <c r="H1480" s="8"/>
      <c r="I1480" s="17"/>
      <c r="J1480" s="8" t="s">
        <v>10</v>
      </c>
      <c r="K1480" s="8"/>
      <c r="L1480" s="7"/>
      <c r="M1480" s="7" t="str">
        <f>IF(C1480="Caixa","-",VLOOKUP(J1480,[1]Estrutura!C:E,3,FALSE))</f>
        <v>1.1</v>
      </c>
      <c r="N1480" s="7"/>
      <c r="O1480" s="7">
        <f t="shared" si="88"/>
        <v>21</v>
      </c>
      <c r="P1480" s="7">
        <f t="shared" si="89"/>
        <v>11</v>
      </c>
      <c r="Q1480" s="7">
        <f t="shared" si="90"/>
        <v>2026</v>
      </c>
      <c r="R1480" s="6">
        <f t="shared" si="91"/>
        <v>2074.1999999999998</v>
      </c>
      <c r="S1480" s="16">
        <v>46348</v>
      </c>
    </row>
    <row r="1481" spans="1:19">
      <c r="A1481" s="12">
        <v>46347</v>
      </c>
      <c r="B1481" s="7" t="s">
        <v>14</v>
      </c>
      <c r="C1481" s="7" t="s">
        <v>9</v>
      </c>
      <c r="D1481" s="11"/>
      <c r="E1481" s="11">
        <v>2300.5500000000002</v>
      </c>
      <c r="F1481" s="11"/>
      <c r="G1481" s="7" t="s">
        <v>16</v>
      </c>
      <c r="H1481" s="10"/>
      <c r="I1481" s="9"/>
      <c r="J1481" s="7" t="s">
        <v>15</v>
      </c>
      <c r="K1481" s="7"/>
      <c r="L1481" s="8"/>
      <c r="M1481" s="8" t="str">
        <f>IF(C1481="Caixa","-",VLOOKUP(J1481,[1]Estrutura!C:E,3,FALSE))</f>
        <v>4.7</v>
      </c>
      <c r="N1481" s="8"/>
      <c r="O1481" s="7">
        <f t="shared" si="88"/>
        <v>21</v>
      </c>
      <c r="P1481" s="7">
        <f t="shared" si="89"/>
        <v>11</v>
      </c>
      <c r="Q1481" s="7">
        <f t="shared" si="90"/>
        <v>2026</v>
      </c>
      <c r="R1481" s="6">
        <f t="shared" si="91"/>
        <v>-2300.5500000000002</v>
      </c>
      <c r="S1481" s="16">
        <v>46348</v>
      </c>
    </row>
    <row r="1482" spans="1:19">
      <c r="A1482" s="16">
        <v>46347</v>
      </c>
      <c r="B1482" s="8" t="s">
        <v>14</v>
      </c>
      <c r="C1482" s="8" t="s">
        <v>9</v>
      </c>
      <c r="D1482" s="15"/>
      <c r="E1482" s="15">
        <v>8811</v>
      </c>
      <c r="F1482" s="15" t="s">
        <v>85</v>
      </c>
      <c r="G1482" s="8" t="s">
        <v>84</v>
      </c>
      <c r="H1482" s="14"/>
      <c r="I1482" s="13"/>
      <c r="J1482" s="8" t="s">
        <v>83</v>
      </c>
      <c r="K1482" s="8"/>
      <c r="L1482" s="7"/>
      <c r="M1482" s="7" t="str">
        <f>IF(C1482="Caixa","-",VLOOKUP(J1482,[1]Estrutura!C:E,3,FALSE))</f>
        <v>4.1</v>
      </c>
      <c r="N1482" s="7"/>
      <c r="O1482" s="7">
        <f t="shared" si="88"/>
        <v>21</v>
      </c>
      <c r="P1482" s="7">
        <f t="shared" si="89"/>
        <v>11</v>
      </c>
      <c r="Q1482" s="7">
        <f t="shared" si="90"/>
        <v>2026</v>
      </c>
      <c r="R1482" s="6">
        <f t="shared" si="91"/>
        <v>-8811</v>
      </c>
      <c r="S1482" s="16">
        <v>46349</v>
      </c>
    </row>
    <row r="1483" spans="1:19">
      <c r="A1483" s="16">
        <v>46347</v>
      </c>
      <c r="B1483" s="8" t="s">
        <v>14</v>
      </c>
      <c r="C1483" s="8" t="s">
        <v>9</v>
      </c>
      <c r="D1483" s="15"/>
      <c r="E1483" s="11">
        <v>470.8</v>
      </c>
      <c r="F1483" s="15" t="s">
        <v>51</v>
      </c>
      <c r="G1483" s="7" t="s">
        <v>93</v>
      </c>
      <c r="H1483" s="14"/>
      <c r="I1483" s="13"/>
      <c r="J1483" s="8" t="s">
        <v>89</v>
      </c>
      <c r="K1483" s="8"/>
      <c r="L1483" s="8"/>
      <c r="M1483" s="8" t="str">
        <f>IF(C1483="Caixa","-",VLOOKUP(J1483,[1]Estrutura!C:E,3,FALSE))</f>
        <v>4.1</v>
      </c>
      <c r="N1483" s="8"/>
      <c r="O1483" s="7">
        <f t="shared" si="88"/>
        <v>21</v>
      </c>
      <c r="P1483" s="7">
        <f t="shared" si="89"/>
        <v>11</v>
      </c>
      <c r="Q1483" s="7">
        <f t="shared" si="90"/>
        <v>2026</v>
      </c>
      <c r="R1483" s="6">
        <f t="shared" si="91"/>
        <v>-470.8</v>
      </c>
      <c r="S1483" s="12">
        <v>46349</v>
      </c>
    </row>
    <row r="1484" spans="1:19">
      <c r="A1484" s="12">
        <v>46347</v>
      </c>
      <c r="B1484" s="7" t="s">
        <v>14</v>
      </c>
      <c r="C1484" s="7" t="s">
        <v>9</v>
      </c>
      <c r="D1484" s="11"/>
      <c r="E1484" s="11">
        <v>470.8</v>
      </c>
      <c r="F1484" s="11" t="s">
        <v>50</v>
      </c>
      <c r="G1484" s="7" t="s">
        <v>93</v>
      </c>
      <c r="H1484" s="10"/>
      <c r="I1484" s="9"/>
      <c r="J1484" s="7" t="s">
        <v>89</v>
      </c>
      <c r="K1484" s="7"/>
      <c r="L1484" s="7"/>
      <c r="M1484" s="7" t="str">
        <f>IF(C1484="Caixa","-",VLOOKUP(J1484,[1]Estrutura!C:E,3,FALSE))</f>
        <v>4.1</v>
      </c>
      <c r="N1484" s="7"/>
      <c r="O1484" s="7">
        <f t="shared" si="88"/>
        <v>21</v>
      </c>
      <c r="P1484" s="7">
        <f t="shared" si="89"/>
        <v>11</v>
      </c>
      <c r="Q1484" s="7">
        <f t="shared" si="90"/>
        <v>2026</v>
      </c>
      <c r="R1484" s="6">
        <f t="shared" si="91"/>
        <v>-470.8</v>
      </c>
      <c r="S1484" s="23">
        <v>46349</v>
      </c>
    </row>
    <row r="1485" spans="1:19">
      <c r="A1485" s="12">
        <v>46347</v>
      </c>
      <c r="B1485" s="7" t="s">
        <v>26</v>
      </c>
      <c r="C1485" s="7" t="s">
        <v>6</v>
      </c>
      <c r="D1485" s="11"/>
      <c r="E1485" s="11">
        <v>2997</v>
      </c>
      <c r="F1485" s="11" t="s">
        <v>46</v>
      </c>
      <c r="G1485" s="7" t="s">
        <v>92</v>
      </c>
      <c r="H1485" s="10"/>
      <c r="I1485" s="9"/>
      <c r="J1485" s="7" t="s">
        <v>92</v>
      </c>
      <c r="K1485" s="18" t="s">
        <v>34</v>
      </c>
      <c r="L1485" s="8"/>
      <c r="M1485" s="8" t="str">
        <f>IF(C1485="Caixa","-",VLOOKUP(J1485,[1]Estrutura!C:E,3,FALSE))</f>
        <v>4.1</v>
      </c>
      <c r="N1485" s="8"/>
      <c r="O1485" s="7">
        <f t="shared" si="88"/>
        <v>21</v>
      </c>
      <c r="P1485" s="7">
        <f t="shared" si="89"/>
        <v>11</v>
      </c>
      <c r="Q1485" s="7">
        <f t="shared" si="90"/>
        <v>2026</v>
      </c>
      <c r="R1485" s="6">
        <f t="shared" si="91"/>
        <v>-2997</v>
      </c>
      <c r="S1485" s="23">
        <v>46349</v>
      </c>
    </row>
    <row r="1486" spans="1:19">
      <c r="A1486" s="16">
        <v>46347</v>
      </c>
      <c r="B1486" s="8" t="s">
        <v>26</v>
      </c>
      <c r="C1486" s="7" t="s">
        <v>6</v>
      </c>
      <c r="D1486" s="15"/>
      <c r="E1486" s="11">
        <f>9762/2</f>
        <v>4881</v>
      </c>
      <c r="F1486" s="15" t="s">
        <v>69</v>
      </c>
      <c r="G1486" s="7" t="s">
        <v>92</v>
      </c>
      <c r="H1486" s="14"/>
      <c r="I1486" s="13"/>
      <c r="J1486" s="7" t="s">
        <v>92</v>
      </c>
      <c r="K1486" s="8" t="s">
        <v>21</v>
      </c>
      <c r="L1486" s="7"/>
      <c r="M1486" s="7" t="str">
        <f>IF(C1486="Caixa","-",VLOOKUP(J1486,[1]Estrutura!C:E,3,FALSE))</f>
        <v>4.1</v>
      </c>
      <c r="N1486" s="7"/>
      <c r="O1486" s="7">
        <f t="shared" ref="O1486:O1549" si="92">DAY(A1486)</f>
        <v>21</v>
      </c>
      <c r="P1486" s="7">
        <f t="shared" ref="P1486:P1549" si="93">MONTH(A1486)</f>
        <v>11</v>
      </c>
      <c r="Q1486" s="7">
        <f t="shared" ref="Q1486:Q1549" si="94">YEAR(A1486)</f>
        <v>2026</v>
      </c>
      <c r="R1486" s="6">
        <f t="shared" ref="R1486:R1549" si="95">D1486-E1486</f>
        <v>-4881</v>
      </c>
      <c r="S1486" s="12">
        <v>46349</v>
      </c>
    </row>
    <row r="1487" spans="1:19">
      <c r="A1487" s="16">
        <v>46347</v>
      </c>
      <c r="B1487" s="8" t="s">
        <v>26</v>
      </c>
      <c r="C1487" s="8" t="s">
        <v>6</v>
      </c>
      <c r="D1487" s="15"/>
      <c r="E1487" s="15">
        <v>1875</v>
      </c>
      <c r="F1487" s="15" t="s">
        <v>48</v>
      </c>
      <c r="G1487" s="8" t="s">
        <v>235</v>
      </c>
      <c r="H1487" s="14"/>
      <c r="I1487" s="13"/>
      <c r="J1487" s="7" t="s">
        <v>35</v>
      </c>
      <c r="K1487" s="8" t="s">
        <v>40</v>
      </c>
      <c r="L1487" s="8"/>
      <c r="M1487" s="8" t="str">
        <f>IF(C1487="Caixa","-",VLOOKUP(J1487,[1]Estrutura!C:E,3,FALSE))</f>
        <v>4.1</v>
      </c>
      <c r="N1487" s="8"/>
      <c r="O1487" s="7">
        <f t="shared" si="92"/>
        <v>21</v>
      </c>
      <c r="P1487" s="7">
        <f t="shared" si="93"/>
        <v>11</v>
      </c>
      <c r="Q1487" s="7">
        <f t="shared" si="94"/>
        <v>2026</v>
      </c>
      <c r="R1487" s="6">
        <f t="shared" si="95"/>
        <v>-1875</v>
      </c>
      <c r="S1487" s="16">
        <v>46349</v>
      </c>
    </row>
    <row r="1488" spans="1:19">
      <c r="A1488" s="12">
        <v>46347</v>
      </c>
      <c r="B1488" s="7" t="s">
        <v>26</v>
      </c>
      <c r="C1488" s="7" t="s">
        <v>6</v>
      </c>
      <c r="D1488" s="11"/>
      <c r="E1488" s="11">
        <v>2997</v>
      </c>
      <c r="F1488" s="11" t="s">
        <v>46</v>
      </c>
      <c r="G1488" s="7" t="s">
        <v>235</v>
      </c>
      <c r="H1488" s="10"/>
      <c r="I1488" s="9"/>
      <c r="J1488" s="7" t="s">
        <v>35</v>
      </c>
      <c r="K1488" s="18" t="s">
        <v>34</v>
      </c>
      <c r="L1488" s="7"/>
      <c r="M1488" s="7" t="str">
        <f>IF(C1488="Caixa","-",VLOOKUP(J1488,[1]Estrutura!C:E,3,FALSE))</f>
        <v>4.1</v>
      </c>
      <c r="N1488" s="7"/>
      <c r="O1488" s="7">
        <f t="shared" si="92"/>
        <v>21</v>
      </c>
      <c r="P1488" s="7">
        <f t="shared" si="93"/>
        <v>11</v>
      </c>
      <c r="Q1488" s="7">
        <f t="shared" si="94"/>
        <v>2026</v>
      </c>
      <c r="R1488" s="6">
        <f t="shared" si="95"/>
        <v>-2997</v>
      </c>
      <c r="S1488" s="12">
        <v>46349</v>
      </c>
    </row>
    <row r="1489" spans="1:19">
      <c r="A1489" s="16">
        <v>46347</v>
      </c>
      <c r="B1489" s="8" t="s">
        <v>26</v>
      </c>
      <c r="C1489" s="8" t="s">
        <v>6</v>
      </c>
      <c r="D1489" s="15"/>
      <c r="E1489" s="15">
        <v>2722</v>
      </c>
      <c r="F1489" s="15" t="s">
        <v>45</v>
      </c>
      <c r="G1489" s="8" t="s">
        <v>235</v>
      </c>
      <c r="H1489" s="14"/>
      <c r="I1489" s="13"/>
      <c r="J1489" s="7" t="s">
        <v>35</v>
      </c>
      <c r="K1489" s="8" t="s">
        <v>44</v>
      </c>
      <c r="L1489" s="8"/>
      <c r="M1489" s="8" t="str">
        <f>IF(C1489="Caixa","-",VLOOKUP(J1489,[1]Estrutura!C:E,3,FALSE))</f>
        <v>4.1</v>
      </c>
      <c r="N1489" s="8"/>
      <c r="O1489" s="7">
        <f t="shared" si="92"/>
        <v>21</v>
      </c>
      <c r="P1489" s="7">
        <f t="shared" si="93"/>
        <v>11</v>
      </c>
      <c r="Q1489" s="7">
        <f t="shared" si="94"/>
        <v>2026</v>
      </c>
      <c r="R1489" s="6">
        <f t="shared" si="95"/>
        <v>-2722</v>
      </c>
      <c r="S1489" s="16">
        <v>46349</v>
      </c>
    </row>
    <row r="1490" spans="1:19">
      <c r="A1490" s="12">
        <v>46347</v>
      </c>
      <c r="B1490" s="7" t="s">
        <v>26</v>
      </c>
      <c r="C1490" s="7" t="s">
        <v>6</v>
      </c>
      <c r="D1490" s="11"/>
      <c r="E1490" s="11">
        <v>1926</v>
      </c>
      <c r="F1490" s="11" t="s">
        <v>43</v>
      </c>
      <c r="G1490" s="7" t="s">
        <v>235</v>
      </c>
      <c r="H1490" s="10"/>
      <c r="I1490" s="9"/>
      <c r="J1490" s="7" t="s">
        <v>35</v>
      </c>
      <c r="K1490" s="7" t="s">
        <v>40</v>
      </c>
      <c r="L1490" s="7"/>
      <c r="M1490" s="7" t="str">
        <f>IF(C1490="Caixa","-",VLOOKUP(J1490,[1]Estrutura!C:E,3,FALSE))</f>
        <v>4.1</v>
      </c>
      <c r="N1490" s="7"/>
      <c r="O1490" s="7">
        <f t="shared" si="92"/>
        <v>21</v>
      </c>
      <c r="P1490" s="7">
        <f t="shared" si="93"/>
        <v>11</v>
      </c>
      <c r="Q1490" s="7">
        <f t="shared" si="94"/>
        <v>2026</v>
      </c>
      <c r="R1490" s="6">
        <f t="shared" si="95"/>
        <v>-1926</v>
      </c>
      <c r="S1490" s="16">
        <v>46350</v>
      </c>
    </row>
    <row r="1491" spans="1:19">
      <c r="A1491" s="12">
        <v>46347</v>
      </c>
      <c r="B1491" s="7" t="s">
        <v>26</v>
      </c>
      <c r="C1491" s="7" t="s">
        <v>6</v>
      </c>
      <c r="D1491" s="11"/>
      <c r="E1491" s="15">
        <v>2321</v>
      </c>
      <c r="F1491" s="11" t="s">
        <v>42</v>
      </c>
      <c r="G1491" s="7" t="s">
        <v>235</v>
      </c>
      <c r="H1491" s="10"/>
      <c r="I1491" s="9"/>
      <c r="J1491" s="7" t="s">
        <v>35</v>
      </c>
      <c r="K1491" s="18" t="s">
        <v>34</v>
      </c>
      <c r="L1491" s="8"/>
      <c r="M1491" s="8" t="str">
        <f>IF(C1491="Caixa","-",VLOOKUP(J1491,[1]Estrutura!C:E,3,FALSE))</f>
        <v>4.1</v>
      </c>
      <c r="N1491" s="8"/>
      <c r="O1491" s="7">
        <f t="shared" si="92"/>
        <v>21</v>
      </c>
      <c r="P1491" s="7">
        <f t="shared" si="93"/>
        <v>11</v>
      </c>
      <c r="Q1491" s="7">
        <f t="shared" si="94"/>
        <v>2026</v>
      </c>
      <c r="R1491" s="6">
        <f t="shared" si="95"/>
        <v>-2321</v>
      </c>
      <c r="S1491" s="12">
        <v>46350</v>
      </c>
    </row>
    <row r="1492" spans="1:19">
      <c r="A1492" s="12">
        <v>46347</v>
      </c>
      <c r="B1492" s="7" t="s">
        <v>26</v>
      </c>
      <c r="C1492" s="7" t="s">
        <v>6</v>
      </c>
      <c r="D1492" s="11"/>
      <c r="E1492" s="11">
        <v>2321</v>
      </c>
      <c r="F1492" s="11" t="s">
        <v>41</v>
      </c>
      <c r="G1492" s="7" t="s">
        <v>235</v>
      </c>
      <c r="H1492" s="10"/>
      <c r="I1492" s="9"/>
      <c r="J1492" s="7" t="s">
        <v>35</v>
      </c>
      <c r="K1492" s="8" t="s">
        <v>40</v>
      </c>
      <c r="L1492" s="7"/>
      <c r="M1492" s="7" t="str">
        <f>IF(C1492="Caixa","-",VLOOKUP(J1492,[1]Estrutura!C:E,3,FALSE))</f>
        <v>4.1</v>
      </c>
      <c r="N1492" s="7"/>
      <c r="O1492" s="7">
        <f t="shared" si="92"/>
        <v>21</v>
      </c>
      <c r="P1492" s="7">
        <f t="shared" si="93"/>
        <v>11</v>
      </c>
      <c r="Q1492" s="7">
        <f t="shared" si="94"/>
        <v>2026</v>
      </c>
      <c r="R1492" s="6">
        <f t="shared" si="95"/>
        <v>-2321</v>
      </c>
      <c r="S1492" s="16">
        <v>46350</v>
      </c>
    </row>
    <row r="1493" spans="1:19">
      <c r="A1493" s="16">
        <v>46347</v>
      </c>
      <c r="B1493" s="7" t="s">
        <v>7</v>
      </c>
      <c r="C1493" s="7" t="s">
        <v>9</v>
      </c>
      <c r="D1493" s="15">
        <v>1607.85</v>
      </c>
      <c r="E1493" s="15"/>
      <c r="F1493" s="15"/>
      <c r="G1493" s="8" t="s">
        <v>11</v>
      </c>
      <c r="H1493" s="8"/>
      <c r="I1493" s="17"/>
      <c r="J1493" s="8" t="s">
        <v>10</v>
      </c>
      <c r="K1493" s="8"/>
      <c r="L1493" s="8"/>
      <c r="M1493" s="8" t="str">
        <f>IF(C1493="Caixa","-",VLOOKUP(J1493,[1]Estrutura!C:E,3,FALSE))</f>
        <v>1.1</v>
      </c>
      <c r="N1493" s="8"/>
      <c r="O1493" s="7">
        <f t="shared" si="92"/>
        <v>21</v>
      </c>
      <c r="P1493" s="7">
        <f t="shared" si="93"/>
        <v>11</v>
      </c>
      <c r="Q1493" s="7">
        <f t="shared" si="94"/>
        <v>2026</v>
      </c>
      <c r="R1493" s="6">
        <f t="shared" si="95"/>
        <v>1607.85</v>
      </c>
      <c r="S1493" s="12">
        <v>46350</v>
      </c>
    </row>
    <row r="1494" spans="1:19">
      <c r="A1494" s="12">
        <v>46347</v>
      </c>
      <c r="B1494" s="7" t="s">
        <v>7</v>
      </c>
      <c r="C1494" s="7" t="s">
        <v>9</v>
      </c>
      <c r="D1494" s="11"/>
      <c r="E1494" s="11">
        <v>348.35</v>
      </c>
      <c r="F1494" s="11" t="s">
        <v>88</v>
      </c>
      <c r="G1494" s="7" t="s">
        <v>87</v>
      </c>
      <c r="H1494" s="10"/>
      <c r="I1494" s="9"/>
      <c r="J1494" s="7" t="s">
        <v>86</v>
      </c>
      <c r="K1494" s="7"/>
      <c r="L1494" s="7"/>
      <c r="M1494" s="7" t="str">
        <f>IF(C1494="Caixa","-",VLOOKUP(J1494,[1]Estrutura!C:E,3,FALSE))</f>
        <v>4.8</v>
      </c>
      <c r="N1494" s="7"/>
      <c r="O1494" s="7">
        <f t="shared" si="92"/>
        <v>21</v>
      </c>
      <c r="P1494" s="7">
        <f t="shared" si="93"/>
        <v>11</v>
      </c>
      <c r="Q1494" s="7">
        <f t="shared" si="94"/>
        <v>2026</v>
      </c>
      <c r="R1494" s="6">
        <f t="shared" si="95"/>
        <v>-348.35</v>
      </c>
      <c r="S1494" s="16">
        <v>46350</v>
      </c>
    </row>
    <row r="1495" spans="1:19">
      <c r="A1495" s="16">
        <v>46347</v>
      </c>
      <c r="B1495" s="8" t="s">
        <v>7</v>
      </c>
      <c r="C1495" s="8" t="s">
        <v>9</v>
      </c>
      <c r="D1495" s="15"/>
      <c r="E1495" s="15">
        <v>13216.9</v>
      </c>
      <c r="F1495" s="15" t="s">
        <v>94</v>
      </c>
      <c r="G1495" s="8" t="s">
        <v>84</v>
      </c>
      <c r="H1495" s="14"/>
      <c r="I1495" s="13"/>
      <c r="J1495" s="8" t="s">
        <v>83</v>
      </c>
      <c r="K1495" s="8"/>
      <c r="L1495" s="8"/>
      <c r="M1495" s="8" t="str">
        <f>IF(C1495="Caixa","-",VLOOKUP(J1495,[1]Estrutura!C:E,3,FALSE))</f>
        <v>4.1</v>
      </c>
      <c r="N1495" s="8"/>
      <c r="O1495" s="7">
        <f t="shared" si="92"/>
        <v>21</v>
      </c>
      <c r="P1495" s="7">
        <f t="shared" si="93"/>
        <v>11</v>
      </c>
      <c r="Q1495" s="7">
        <f t="shared" si="94"/>
        <v>2026</v>
      </c>
      <c r="R1495" s="6">
        <f t="shared" si="95"/>
        <v>-13216.9</v>
      </c>
      <c r="S1495" s="16">
        <v>46351</v>
      </c>
    </row>
    <row r="1496" spans="1:19">
      <c r="A1496" s="12">
        <v>46347</v>
      </c>
      <c r="B1496" s="7" t="s">
        <v>7</v>
      </c>
      <c r="C1496" s="7" t="s">
        <v>9</v>
      </c>
      <c r="D1496" s="11"/>
      <c r="E1496" s="11">
        <v>13216.9</v>
      </c>
      <c r="F1496" s="15" t="s">
        <v>85</v>
      </c>
      <c r="G1496" s="7" t="s">
        <v>84</v>
      </c>
      <c r="H1496" s="10"/>
      <c r="I1496" s="9"/>
      <c r="J1496" s="7" t="s">
        <v>83</v>
      </c>
      <c r="K1496" s="7"/>
      <c r="L1496" s="7"/>
      <c r="M1496" s="7" t="str">
        <f>IF(C1496="Caixa","-",VLOOKUP(J1496,[1]Estrutura!C:E,3,FALSE))</f>
        <v>4.1</v>
      </c>
      <c r="N1496" s="7"/>
      <c r="O1496" s="7">
        <f t="shared" si="92"/>
        <v>21</v>
      </c>
      <c r="P1496" s="7">
        <f t="shared" si="93"/>
        <v>11</v>
      </c>
      <c r="Q1496" s="7">
        <f t="shared" si="94"/>
        <v>2026</v>
      </c>
      <c r="R1496" s="6">
        <f t="shared" si="95"/>
        <v>-13216.9</v>
      </c>
      <c r="S1496" s="12">
        <v>46351</v>
      </c>
    </row>
    <row r="1497" spans="1:19">
      <c r="A1497" s="19">
        <v>46348</v>
      </c>
      <c r="B1497" s="8" t="s">
        <v>14</v>
      </c>
      <c r="C1497" s="7" t="s">
        <v>9</v>
      </c>
      <c r="D1497" s="32">
        <v>1473.36</v>
      </c>
      <c r="E1497" s="32"/>
      <c r="F1497" s="32"/>
      <c r="G1497" s="8" t="s">
        <v>11</v>
      </c>
      <c r="H1497" s="8"/>
      <c r="I1497" s="17"/>
      <c r="J1497" s="8" t="s">
        <v>10</v>
      </c>
      <c r="K1497" s="24"/>
      <c r="L1497" s="8"/>
      <c r="M1497" s="8" t="str">
        <f>IF(C1497="Caixa","-",VLOOKUP(J1497,[1]Estrutura!C:E,3,FALSE))</f>
        <v>1.1</v>
      </c>
      <c r="N1497" s="8"/>
      <c r="O1497" s="7">
        <f t="shared" si="92"/>
        <v>22</v>
      </c>
      <c r="P1497" s="7">
        <f t="shared" si="93"/>
        <v>11</v>
      </c>
      <c r="Q1497" s="7">
        <f t="shared" si="94"/>
        <v>2026</v>
      </c>
      <c r="R1497" s="6">
        <f t="shared" si="95"/>
        <v>1473.36</v>
      </c>
      <c r="S1497" s="16">
        <v>46351</v>
      </c>
    </row>
    <row r="1498" spans="1:19">
      <c r="A1498" s="12">
        <v>46348</v>
      </c>
      <c r="B1498" s="7" t="s">
        <v>14</v>
      </c>
      <c r="C1498" s="7" t="s">
        <v>9</v>
      </c>
      <c r="D1498" s="11"/>
      <c r="E1498" s="11">
        <v>8391.68</v>
      </c>
      <c r="F1498" s="11" t="s">
        <v>94</v>
      </c>
      <c r="G1498" s="7" t="s">
        <v>84</v>
      </c>
      <c r="H1498" s="10"/>
      <c r="I1498" s="9"/>
      <c r="J1498" s="7" t="s">
        <v>83</v>
      </c>
      <c r="K1498" s="7"/>
      <c r="L1498" s="7"/>
      <c r="M1498" s="7" t="str">
        <f>IF(C1498="Caixa","-",VLOOKUP(J1498,[1]Estrutura!C:E,3,FALSE))</f>
        <v>4.1</v>
      </c>
      <c r="N1498" s="7"/>
      <c r="O1498" s="7">
        <f t="shared" si="92"/>
        <v>22</v>
      </c>
      <c r="P1498" s="7">
        <f t="shared" si="93"/>
        <v>11</v>
      </c>
      <c r="Q1498" s="7">
        <f t="shared" si="94"/>
        <v>2026</v>
      </c>
      <c r="R1498" s="6">
        <f t="shared" si="95"/>
        <v>-8391.68</v>
      </c>
      <c r="S1498" s="16">
        <v>46351</v>
      </c>
    </row>
    <row r="1499" spans="1:19">
      <c r="A1499" s="16">
        <v>46348</v>
      </c>
      <c r="B1499" s="8" t="s">
        <v>14</v>
      </c>
      <c r="C1499" s="8" t="s">
        <v>9</v>
      </c>
      <c r="D1499" s="15"/>
      <c r="E1499" s="15">
        <v>300</v>
      </c>
      <c r="F1499" s="15" t="s">
        <v>82</v>
      </c>
      <c r="G1499" s="8" t="s">
        <v>241</v>
      </c>
      <c r="H1499" s="14"/>
      <c r="I1499" s="13"/>
      <c r="J1499" s="8" t="s">
        <v>80</v>
      </c>
      <c r="K1499" s="8"/>
      <c r="L1499" s="8"/>
      <c r="M1499" s="8" t="str">
        <f>IF(C1499="Caixa","-",VLOOKUP(J1499,[1]Estrutura!C:E,3,FALSE))</f>
        <v>4.5</v>
      </c>
      <c r="N1499" s="8"/>
      <c r="O1499" s="7">
        <f t="shared" si="92"/>
        <v>22</v>
      </c>
      <c r="P1499" s="7">
        <f t="shared" si="93"/>
        <v>11</v>
      </c>
      <c r="Q1499" s="7">
        <f t="shared" si="94"/>
        <v>2026</v>
      </c>
      <c r="R1499" s="6">
        <f t="shared" si="95"/>
        <v>-300</v>
      </c>
      <c r="S1499" s="19">
        <v>46351</v>
      </c>
    </row>
    <row r="1500" spans="1:19">
      <c r="A1500" s="16">
        <v>46348</v>
      </c>
      <c r="B1500" s="7" t="s">
        <v>7</v>
      </c>
      <c r="C1500" s="7" t="s">
        <v>9</v>
      </c>
      <c r="D1500" s="15">
        <v>3509.29</v>
      </c>
      <c r="E1500" s="15"/>
      <c r="F1500" s="15"/>
      <c r="G1500" s="8" t="s">
        <v>11</v>
      </c>
      <c r="H1500" s="8"/>
      <c r="I1500" s="17"/>
      <c r="J1500" s="8" t="s">
        <v>10</v>
      </c>
      <c r="K1500" s="8"/>
      <c r="L1500" s="7"/>
      <c r="M1500" s="7" t="str">
        <f>IF(C1500="Caixa","-",VLOOKUP(J1500,[1]Estrutura!C:E,3,FALSE))</f>
        <v>1.1</v>
      </c>
      <c r="N1500" s="7"/>
      <c r="O1500" s="7">
        <f t="shared" si="92"/>
        <v>22</v>
      </c>
      <c r="P1500" s="7">
        <f t="shared" si="93"/>
        <v>11</v>
      </c>
      <c r="Q1500" s="7">
        <f t="shared" si="94"/>
        <v>2026</v>
      </c>
      <c r="R1500" s="6">
        <f t="shared" si="95"/>
        <v>3509.29</v>
      </c>
      <c r="S1500" s="19">
        <v>46351</v>
      </c>
    </row>
    <row r="1501" spans="1:19">
      <c r="A1501" s="16">
        <v>46349</v>
      </c>
      <c r="B1501" s="8" t="s">
        <v>14</v>
      </c>
      <c r="C1501" s="8" t="s">
        <v>9</v>
      </c>
      <c r="D1501" s="15"/>
      <c r="E1501" s="15">
        <v>1442</v>
      </c>
      <c r="F1501" s="11" t="s">
        <v>109</v>
      </c>
      <c r="G1501" s="8" t="s">
        <v>75</v>
      </c>
      <c r="H1501" s="14"/>
      <c r="I1501" s="13"/>
      <c r="J1501" s="8" t="s">
        <v>74</v>
      </c>
      <c r="K1501" s="8"/>
      <c r="L1501" s="8"/>
      <c r="M1501" s="8" t="str">
        <f>IF(C1501="Caixa","-",VLOOKUP(J1501,[1]Estrutura!C:E,3,FALSE))</f>
        <v>4.1</v>
      </c>
      <c r="N1501" s="8"/>
      <c r="O1501" s="7">
        <f t="shared" si="92"/>
        <v>23</v>
      </c>
      <c r="P1501" s="7">
        <f t="shared" si="93"/>
        <v>11</v>
      </c>
      <c r="Q1501" s="7">
        <f t="shared" si="94"/>
        <v>2026</v>
      </c>
      <c r="R1501" s="6">
        <f t="shared" si="95"/>
        <v>-1442</v>
      </c>
      <c r="S1501" s="19">
        <v>46351</v>
      </c>
    </row>
    <row r="1502" spans="1:19">
      <c r="A1502" s="12">
        <v>46349</v>
      </c>
      <c r="B1502" s="7" t="s">
        <v>14</v>
      </c>
      <c r="C1502" s="7" t="s">
        <v>9</v>
      </c>
      <c r="D1502" s="11"/>
      <c r="E1502" s="11">
        <v>610.6</v>
      </c>
      <c r="F1502" s="11" t="s">
        <v>73</v>
      </c>
      <c r="G1502" s="7" t="s">
        <v>72</v>
      </c>
      <c r="H1502" s="10"/>
      <c r="I1502" s="9"/>
      <c r="J1502" s="7" t="s">
        <v>22</v>
      </c>
      <c r="K1502" s="7"/>
      <c r="L1502" s="7"/>
      <c r="M1502" s="7" t="str">
        <f>IF(C1502="Caixa","-",VLOOKUP(J1502,[1]Estrutura!C:E,3,FALSE))</f>
        <v>4.3</v>
      </c>
      <c r="N1502" s="7"/>
      <c r="O1502" s="7">
        <f t="shared" si="92"/>
        <v>23</v>
      </c>
      <c r="P1502" s="7">
        <f t="shared" si="93"/>
        <v>11</v>
      </c>
      <c r="Q1502" s="7">
        <f t="shared" si="94"/>
        <v>2026</v>
      </c>
      <c r="R1502" s="6">
        <f t="shared" si="95"/>
        <v>-610.6</v>
      </c>
      <c r="S1502" s="16">
        <v>46351</v>
      </c>
    </row>
    <row r="1503" spans="1:19">
      <c r="A1503" s="23">
        <v>46349</v>
      </c>
      <c r="B1503" s="7" t="s">
        <v>26</v>
      </c>
      <c r="C1503" s="18" t="s">
        <v>6</v>
      </c>
      <c r="D1503" s="11"/>
      <c r="E1503" s="11">
        <v>2172</v>
      </c>
      <c r="F1503" s="11" t="s">
        <v>71</v>
      </c>
      <c r="G1503" s="7" t="s">
        <v>92</v>
      </c>
      <c r="H1503" s="10"/>
      <c r="I1503" s="22"/>
      <c r="J1503" s="8" t="s">
        <v>92</v>
      </c>
      <c r="K1503" s="8" t="s">
        <v>40</v>
      </c>
      <c r="L1503" s="8"/>
      <c r="M1503" s="8" t="str">
        <f>IF(C1503="Caixa","-",VLOOKUP(J1503,[1]Estrutura!C:E,3,FALSE))</f>
        <v>4.1</v>
      </c>
      <c r="N1503" s="8"/>
      <c r="O1503" s="7">
        <f t="shared" si="92"/>
        <v>23</v>
      </c>
      <c r="P1503" s="7">
        <f t="shared" si="93"/>
        <v>11</v>
      </c>
      <c r="Q1503" s="7">
        <f t="shared" si="94"/>
        <v>2026</v>
      </c>
      <c r="R1503" s="6">
        <f t="shared" si="95"/>
        <v>-2172</v>
      </c>
      <c r="S1503" s="12">
        <v>46351</v>
      </c>
    </row>
    <row r="1504" spans="1:19">
      <c r="A1504" s="23">
        <v>46349</v>
      </c>
      <c r="B1504" s="7" t="s">
        <v>26</v>
      </c>
      <c r="C1504" s="18" t="s">
        <v>6</v>
      </c>
      <c r="D1504" s="11"/>
      <c r="E1504" s="11">
        <v>2174</v>
      </c>
      <c r="F1504" s="11" t="s">
        <v>71</v>
      </c>
      <c r="G1504" s="11" t="s">
        <v>70</v>
      </c>
      <c r="H1504" s="10"/>
      <c r="I1504" s="22"/>
      <c r="J1504" s="7" t="s">
        <v>35</v>
      </c>
      <c r="K1504" s="8" t="s">
        <v>40</v>
      </c>
      <c r="L1504" s="7"/>
      <c r="M1504" s="7" t="str">
        <f>IF(C1504="Caixa","-",VLOOKUP(J1504,[1]Estrutura!C:E,3,FALSE))</f>
        <v>4.1</v>
      </c>
      <c r="N1504" s="7"/>
      <c r="O1504" s="7">
        <f t="shared" si="92"/>
        <v>23</v>
      </c>
      <c r="P1504" s="7">
        <f t="shared" si="93"/>
        <v>11</v>
      </c>
      <c r="Q1504" s="7">
        <f t="shared" si="94"/>
        <v>2026</v>
      </c>
      <c r="R1504" s="6">
        <f t="shared" si="95"/>
        <v>-2174</v>
      </c>
      <c r="S1504" s="16">
        <v>46351</v>
      </c>
    </row>
    <row r="1505" spans="1:19">
      <c r="A1505" s="12">
        <v>46349</v>
      </c>
      <c r="B1505" s="7" t="s">
        <v>26</v>
      </c>
      <c r="C1505" s="7" t="s">
        <v>6</v>
      </c>
      <c r="D1505" s="11"/>
      <c r="E1505" s="11">
        <v>9762</v>
      </c>
      <c r="F1505" s="11" t="s">
        <v>69</v>
      </c>
      <c r="G1505" s="7" t="s">
        <v>68</v>
      </c>
      <c r="H1505" s="10"/>
      <c r="I1505" s="9"/>
      <c r="J1505" s="21" t="s">
        <v>67</v>
      </c>
      <c r="K1505" s="7" t="s">
        <v>21</v>
      </c>
      <c r="L1505" s="8"/>
      <c r="M1505" s="8" t="str">
        <f>IF(C1505="Caixa","-",VLOOKUP(J1505,[1]Estrutura!C:E,3,FALSE))</f>
        <v>4.5</v>
      </c>
      <c r="N1505" s="8"/>
      <c r="O1505" s="7">
        <f t="shared" si="92"/>
        <v>23</v>
      </c>
      <c r="P1505" s="7">
        <f t="shared" si="93"/>
        <v>11</v>
      </c>
      <c r="Q1505" s="7">
        <f t="shared" si="94"/>
        <v>2026</v>
      </c>
      <c r="R1505" s="6">
        <f t="shared" si="95"/>
        <v>-9762</v>
      </c>
      <c r="S1505" s="16">
        <v>46351</v>
      </c>
    </row>
    <row r="1506" spans="1:19">
      <c r="A1506" s="16">
        <v>46349</v>
      </c>
      <c r="B1506" s="7" t="s">
        <v>7</v>
      </c>
      <c r="C1506" s="7" t="s">
        <v>9</v>
      </c>
      <c r="D1506" s="15">
        <v>7297.46</v>
      </c>
      <c r="E1506" s="15"/>
      <c r="F1506" s="15"/>
      <c r="G1506" s="8" t="s">
        <v>11</v>
      </c>
      <c r="H1506" s="8"/>
      <c r="I1506" s="17"/>
      <c r="J1506" s="8" t="s">
        <v>10</v>
      </c>
      <c r="K1506" s="8"/>
      <c r="L1506" s="7"/>
      <c r="M1506" s="7" t="str">
        <f>IF(C1506="Caixa","-",VLOOKUP(J1506,[1]Estrutura!C:E,3,FALSE))</f>
        <v>1.1</v>
      </c>
      <c r="N1506" s="7"/>
      <c r="O1506" s="7">
        <f t="shared" si="92"/>
        <v>23</v>
      </c>
      <c r="P1506" s="7">
        <f t="shared" si="93"/>
        <v>11</v>
      </c>
      <c r="Q1506" s="7">
        <f t="shared" si="94"/>
        <v>2026</v>
      </c>
      <c r="R1506" s="6">
        <f t="shared" si="95"/>
        <v>7297.46</v>
      </c>
      <c r="S1506" s="16">
        <v>46351</v>
      </c>
    </row>
    <row r="1507" spans="1:19">
      <c r="A1507" s="12">
        <v>46349</v>
      </c>
      <c r="B1507" s="7" t="s">
        <v>7</v>
      </c>
      <c r="C1507" s="7" t="s">
        <v>9</v>
      </c>
      <c r="D1507" s="11"/>
      <c r="E1507" s="11">
        <v>207.3</v>
      </c>
      <c r="F1507" s="11" t="s">
        <v>66</v>
      </c>
      <c r="G1507" s="7" t="s">
        <v>65</v>
      </c>
      <c r="H1507" s="10"/>
      <c r="I1507" s="9"/>
      <c r="J1507" s="7" t="s">
        <v>64</v>
      </c>
      <c r="K1507" s="7"/>
      <c r="L1507" s="8"/>
      <c r="M1507" s="8" t="str">
        <f>IF(C1507="Caixa","-",VLOOKUP(J1507,[1]Estrutura!C:E,3,FALSE))</f>
        <v>4.4</v>
      </c>
      <c r="N1507" s="8"/>
      <c r="O1507" s="7">
        <f t="shared" si="92"/>
        <v>23</v>
      </c>
      <c r="P1507" s="7">
        <f t="shared" si="93"/>
        <v>11</v>
      </c>
      <c r="Q1507" s="7">
        <f t="shared" si="94"/>
        <v>2026</v>
      </c>
      <c r="R1507" s="6">
        <f t="shared" si="95"/>
        <v>-207.3</v>
      </c>
      <c r="S1507" s="12">
        <v>46351</v>
      </c>
    </row>
    <row r="1508" spans="1:19">
      <c r="A1508" s="16">
        <v>46349</v>
      </c>
      <c r="B1508" s="8" t="s">
        <v>7</v>
      </c>
      <c r="C1508" s="8" t="s">
        <v>9</v>
      </c>
      <c r="D1508" s="15"/>
      <c r="E1508" s="15">
        <v>1000</v>
      </c>
      <c r="F1508" s="15" t="s">
        <v>63</v>
      </c>
      <c r="G1508" s="8" t="s">
        <v>62</v>
      </c>
      <c r="H1508" s="14"/>
      <c r="I1508" s="13"/>
      <c r="J1508" s="8" t="s">
        <v>62</v>
      </c>
      <c r="K1508" s="8"/>
      <c r="L1508" s="7"/>
      <c r="M1508" s="7" t="str">
        <f>IF(C1508="Caixa","-",VLOOKUP(J1508,[1]Estrutura!C:E,3,FALSE))</f>
        <v>4.5</v>
      </c>
      <c r="N1508" s="7"/>
      <c r="O1508" s="7">
        <f t="shared" si="92"/>
        <v>23</v>
      </c>
      <c r="P1508" s="7">
        <f t="shared" si="93"/>
        <v>11</v>
      </c>
      <c r="Q1508" s="7">
        <f t="shared" si="94"/>
        <v>2026</v>
      </c>
      <c r="R1508" s="6">
        <f t="shared" si="95"/>
        <v>-1000</v>
      </c>
      <c r="S1508" s="16">
        <v>46351</v>
      </c>
    </row>
    <row r="1509" spans="1:19">
      <c r="A1509" s="16">
        <v>46350</v>
      </c>
      <c r="B1509" s="8" t="s">
        <v>14</v>
      </c>
      <c r="C1509" s="7" t="s">
        <v>9</v>
      </c>
      <c r="D1509" s="15">
        <v>5712.34</v>
      </c>
      <c r="E1509" s="15"/>
      <c r="F1509" s="15"/>
      <c r="G1509" s="8" t="s">
        <v>11</v>
      </c>
      <c r="H1509" s="8"/>
      <c r="I1509" s="17"/>
      <c r="J1509" s="8" t="s">
        <v>10</v>
      </c>
      <c r="K1509" s="8"/>
      <c r="L1509" s="8"/>
      <c r="M1509" s="8" t="str">
        <f>IF(C1509="Caixa","-",VLOOKUP(J1509,[1]Estrutura!C:E,3,FALSE))</f>
        <v>1.1</v>
      </c>
      <c r="N1509" s="8"/>
      <c r="O1509" s="7">
        <f t="shared" si="92"/>
        <v>24</v>
      </c>
      <c r="P1509" s="7">
        <f t="shared" si="93"/>
        <v>11</v>
      </c>
      <c r="Q1509" s="7">
        <f t="shared" si="94"/>
        <v>2026</v>
      </c>
      <c r="R1509" s="6">
        <f t="shared" si="95"/>
        <v>5712.34</v>
      </c>
      <c r="S1509" s="12">
        <v>46351</v>
      </c>
    </row>
    <row r="1510" spans="1:19">
      <c r="A1510" s="12">
        <v>46350</v>
      </c>
      <c r="B1510" s="7" t="s">
        <v>14</v>
      </c>
      <c r="C1510" s="7" t="s">
        <v>9</v>
      </c>
      <c r="D1510" s="11"/>
      <c r="E1510" s="11">
        <v>531.45000000000005</v>
      </c>
      <c r="F1510" s="15" t="s">
        <v>240</v>
      </c>
      <c r="G1510" s="7" t="s">
        <v>239</v>
      </c>
      <c r="H1510" s="10">
        <v>113766</v>
      </c>
      <c r="I1510" s="9"/>
      <c r="J1510" s="7" t="s">
        <v>15</v>
      </c>
      <c r="K1510" s="7"/>
      <c r="L1510" s="7"/>
      <c r="M1510" s="7" t="str">
        <f>IF(C1510="Caixa","-",VLOOKUP(J1510,[1]Estrutura!C:E,3,FALSE))</f>
        <v>4.7</v>
      </c>
      <c r="N1510" s="7"/>
      <c r="O1510" s="7">
        <f t="shared" si="92"/>
        <v>24</v>
      </c>
      <c r="P1510" s="7">
        <f t="shared" si="93"/>
        <v>11</v>
      </c>
      <c r="Q1510" s="7">
        <f t="shared" si="94"/>
        <v>2026</v>
      </c>
      <c r="R1510" s="6">
        <f t="shared" si="95"/>
        <v>-531.45000000000005</v>
      </c>
      <c r="S1510" s="12">
        <v>46352</v>
      </c>
    </row>
    <row r="1511" spans="1:19">
      <c r="A1511" s="16">
        <v>46350</v>
      </c>
      <c r="B1511" s="8" t="s">
        <v>14</v>
      </c>
      <c r="C1511" s="8" t="s">
        <v>9</v>
      </c>
      <c r="D1511" s="15"/>
      <c r="E1511" s="15">
        <v>519.07000000000005</v>
      </c>
      <c r="F1511" s="15" t="s">
        <v>240</v>
      </c>
      <c r="G1511" s="8" t="s">
        <v>239</v>
      </c>
      <c r="H1511" s="14">
        <v>83736</v>
      </c>
      <c r="I1511" s="13"/>
      <c r="J1511" s="8" t="s">
        <v>15</v>
      </c>
      <c r="K1511" s="8"/>
      <c r="L1511" s="8"/>
      <c r="M1511" s="8" t="str">
        <f>IF(C1511="Caixa","-",VLOOKUP(J1511,[1]Estrutura!C:E,3,FALSE))</f>
        <v>4.7</v>
      </c>
      <c r="N1511" s="8"/>
      <c r="O1511" s="7">
        <f t="shared" si="92"/>
        <v>24</v>
      </c>
      <c r="P1511" s="7">
        <f t="shared" si="93"/>
        <v>11</v>
      </c>
      <c r="Q1511" s="7">
        <f t="shared" si="94"/>
        <v>2026</v>
      </c>
      <c r="R1511" s="6">
        <f t="shared" si="95"/>
        <v>-519.07000000000005</v>
      </c>
      <c r="S1511" s="16">
        <v>46352</v>
      </c>
    </row>
    <row r="1512" spans="1:19">
      <c r="A1512" s="12">
        <v>46350</v>
      </c>
      <c r="B1512" s="7" t="s">
        <v>26</v>
      </c>
      <c r="C1512" s="7" t="s">
        <v>6</v>
      </c>
      <c r="D1512" s="11"/>
      <c r="E1512" s="11">
        <v>10000</v>
      </c>
      <c r="F1512" s="11" t="s">
        <v>238</v>
      </c>
      <c r="G1512" s="11" t="s">
        <v>237</v>
      </c>
      <c r="H1512" s="10"/>
      <c r="I1512" s="9"/>
      <c r="J1512" s="7" t="s">
        <v>116</v>
      </c>
      <c r="K1512" s="7" t="s">
        <v>21</v>
      </c>
      <c r="L1512" s="7"/>
      <c r="M1512" s="7" t="str">
        <f>IF(C1512="Caixa","-",VLOOKUP(J1512,[1]Estrutura!C:E,3,FALSE))</f>
        <v>4.12</v>
      </c>
      <c r="N1512" s="7"/>
      <c r="O1512" s="7">
        <f t="shared" si="92"/>
        <v>24</v>
      </c>
      <c r="P1512" s="7">
        <f t="shared" si="93"/>
        <v>11</v>
      </c>
      <c r="Q1512" s="7">
        <f t="shared" si="94"/>
        <v>2026</v>
      </c>
      <c r="R1512" s="6">
        <f t="shared" si="95"/>
        <v>-10000</v>
      </c>
      <c r="S1512" s="16">
        <v>46353</v>
      </c>
    </row>
    <row r="1513" spans="1:19">
      <c r="A1513" s="16">
        <v>46350</v>
      </c>
      <c r="B1513" s="8" t="s">
        <v>7</v>
      </c>
      <c r="C1513" s="8" t="s">
        <v>9</v>
      </c>
      <c r="D1513" s="15"/>
      <c r="E1513" s="15">
        <v>1500</v>
      </c>
      <c r="F1513" s="15" t="s">
        <v>63</v>
      </c>
      <c r="G1513" s="15" t="s">
        <v>236</v>
      </c>
      <c r="H1513" s="14">
        <v>716</v>
      </c>
      <c r="I1513" s="13"/>
      <c r="J1513" s="8" t="s">
        <v>62</v>
      </c>
      <c r="K1513" s="8"/>
      <c r="L1513" s="8"/>
      <c r="M1513" s="8" t="str">
        <f>IF(C1513="Caixa","-",VLOOKUP(J1513,[1]Estrutura!C:E,3,FALSE))</f>
        <v>4.5</v>
      </c>
      <c r="N1513" s="8"/>
      <c r="O1513" s="7">
        <f t="shared" si="92"/>
        <v>24</v>
      </c>
      <c r="P1513" s="7">
        <f t="shared" si="93"/>
        <v>11</v>
      </c>
      <c r="Q1513" s="7">
        <f t="shared" si="94"/>
        <v>2026</v>
      </c>
      <c r="R1513" s="6">
        <f t="shared" si="95"/>
        <v>-1500</v>
      </c>
      <c r="S1513" s="16">
        <v>46353</v>
      </c>
    </row>
    <row r="1514" spans="1:19">
      <c r="A1514" s="16">
        <v>46351</v>
      </c>
      <c r="B1514" s="8" t="s">
        <v>14</v>
      </c>
      <c r="C1514" s="7" t="s">
        <v>9</v>
      </c>
      <c r="D1514" s="15">
        <v>4745.43</v>
      </c>
      <c r="E1514" s="15"/>
      <c r="F1514" s="15"/>
      <c r="G1514" s="8" t="s">
        <v>11</v>
      </c>
      <c r="H1514" s="8"/>
      <c r="I1514" s="17"/>
      <c r="J1514" s="8" t="s">
        <v>10</v>
      </c>
      <c r="K1514" s="8"/>
      <c r="L1514" s="7"/>
      <c r="M1514" s="7" t="str">
        <f>IF(C1514="Caixa","-",VLOOKUP(J1514,[1]Estrutura!C:E,3,FALSE))</f>
        <v>1.1</v>
      </c>
      <c r="N1514" s="7"/>
      <c r="O1514" s="7">
        <f t="shared" si="92"/>
        <v>25</v>
      </c>
      <c r="P1514" s="7">
        <f t="shared" si="93"/>
        <v>11</v>
      </c>
      <c r="Q1514" s="7">
        <f t="shared" si="94"/>
        <v>2026</v>
      </c>
      <c r="R1514" s="6">
        <f t="shared" si="95"/>
        <v>4745.43</v>
      </c>
      <c r="S1514" s="12">
        <v>46353</v>
      </c>
    </row>
    <row r="1515" spans="1:19">
      <c r="A1515" s="12">
        <v>46351</v>
      </c>
      <c r="B1515" s="7" t="s">
        <v>14</v>
      </c>
      <c r="C1515" s="7" t="s">
        <v>9</v>
      </c>
      <c r="D1515" s="11"/>
      <c r="E1515" s="11">
        <v>3147.81</v>
      </c>
      <c r="F1515" s="11" t="s">
        <v>32</v>
      </c>
      <c r="G1515" s="7" t="s">
        <v>33</v>
      </c>
      <c r="H1515" s="10"/>
      <c r="I1515" s="9"/>
      <c r="J1515" s="7" t="s">
        <v>33</v>
      </c>
      <c r="K1515" s="7"/>
      <c r="L1515" s="8"/>
      <c r="M1515" s="8" t="str">
        <f>IF(C1515="Caixa","-",VLOOKUP(J1515,[1]Estrutura!C:E,3,FALSE))</f>
        <v>2.1</v>
      </c>
      <c r="N1515" s="8"/>
      <c r="O1515" s="7">
        <f t="shared" si="92"/>
        <v>25</v>
      </c>
      <c r="P1515" s="7">
        <f t="shared" si="93"/>
        <v>11</v>
      </c>
      <c r="Q1515" s="7">
        <f t="shared" si="94"/>
        <v>2026</v>
      </c>
      <c r="R1515" s="6">
        <f t="shared" si="95"/>
        <v>-3147.81</v>
      </c>
      <c r="S1515" s="16">
        <v>46353</v>
      </c>
    </row>
    <row r="1516" spans="1:19">
      <c r="A1516" s="16">
        <v>46351</v>
      </c>
      <c r="B1516" s="8" t="s">
        <v>14</v>
      </c>
      <c r="C1516" s="8" t="s">
        <v>9</v>
      </c>
      <c r="D1516" s="15"/>
      <c r="E1516" s="15">
        <v>681.09</v>
      </c>
      <c r="F1516" s="15" t="s">
        <v>32</v>
      </c>
      <c r="G1516" s="8" t="s">
        <v>31</v>
      </c>
      <c r="H1516" s="14"/>
      <c r="I1516" s="13"/>
      <c r="J1516" s="8" t="s">
        <v>31</v>
      </c>
      <c r="K1516" s="8"/>
      <c r="L1516" s="7"/>
      <c r="M1516" s="7" t="str">
        <f>IF(C1516="Caixa","-",VLOOKUP(J1516,[1]Estrutura!C:E,3,FALSE))</f>
        <v>2.1</v>
      </c>
      <c r="N1516" s="7"/>
      <c r="O1516" s="7">
        <f t="shared" si="92"/>
        <v>25</v>
      </c>
      <c r="P1516" s="7">
        <f t="shared" si="93"/>
        <v>11</v>
      </c>
      <c r="Q1516" s="7">
        <f t="shared" si="94"/>
        <v>2026</v>
      </c>
      <c r="R1516" s="6">
        <f t="shared" si="95"/>
        <v>-681.09</v>
      </c>
      <c r="S1516" s="16">
        <v>46354</v>
      </c>
    </row>
    <row r="1517" spans="1:19">
      <c r="A1517" s="16">
        <v>46351</v>
      </c>
      <c r="B1517" s="7" t="s">
        <v>14</v>
      </c>
      <c r="C1517" s="7" t="s">
        <v>9</v>
      </c>
      <c r="D1517" s="11"/>
      <c r="E1517" s="15">
        <v>5000</v>
      </c>
      <c r="F1517" s="11"/>
      <c r="G1517" s="8" t="s">
        <v>61</v>
      </c>
      <c r="H1517" s="7"/>
      <c r="I1517" s="30"/>
      <c r="J1517" s="7" t="s">
        <v>35</v>
      </c>
      <c r="K1517" s="7"/>
      <c r="L1517" s="8"/>
      <c r="M1517" s="8" t="str">
        <f>IF(C1517="Caixa","-",VLOOKUP(J1517,[1]Estrutura!C:E,3,FALSE))</f>
        <v>4.1</v>
      </c>
      <c r="N1517" s="8"/>
      <c r="O1517" s="7">
        <f t="shared" si="92"/>
        <v>25</v>
      </c>
      <c r="P1517" s="7">
        <f t="shared" si="93"/>
        <v>11</v>
      </c>
      <c r="Q1517" s="7">
        <f t="shared" si="94"/>
        <v>2026</v>
      </c>
      <c r="R1517" s="6">
        <f t="shared" si="95"/>
        <v>-5000</v>
      </c>
      <c r="S1517" s="16">
        <v>46354</v>
      </c>
    </row>
    <row r="1518" spans="1:19">
      <c r="A1518" s="19">
        <v>46351</v>
      </c>
      <c r="B1518" s="8" t="s">
        <v>26</v>
      </c>
      <c r="C1518" s="8" t="s">
        <v>6</v>
      </c>
      <c r="D1518" s="15"/>
      <c r="E1518" s="15">
        <v>1000</v>
      </c>
      <c r="F1518" s="15" t="s">
        <v>60</v>
      </c>
      <c r="G1518" s="8" t="s">
        <v>57</v>
      </c>
      <c r="H1518" s="14"/>
      <c r="I1518" s="13"/>
      <c r="J1518" s="8" t="s">
        <v>56</v>
      </c>
      <c r="K1518" s="8" t="s">
        <v>21</v>
      </c>
      <c r="L1518" s="7"/>
      <c r="M1518" s="7" t="str">
        <f>IF(C1518="Caixa","-",VLOOKUP(J1518,[1]Estrutura!C:E,3,FALSE))</f>
        <v>6.1</v>
      </c>
      <c r="N1518" s="7"/>
      <c r="O1518" s="7">
        <f t="shared" si="92"/>
        <v>25</v>
      </c>
      <c r="P1518" s="7">
        <f t="shared" si="93"/>
        <v>11</v>
      </c>
      <c r="Q1518" s="7">
        <f t="shared" si="94"/>
        <v>2026</v>
      </c>
      <c r="R1518" s="6">
        <f t="shared" si="95"/>
        <v>-1000</v>
      </c>
      <c r="S1518" s="16">
        <v>46354</v>
      </c>
    </row>
    <row r="1519" spans="1:19">
      <c r="A1519" s="19">
        <v>46351</v>
      </c>
      <c r="B1519" s="8" t="s">
        <v>26</v>
      </c>
      <c r="C1519" s="8" t="s">
        <v>6</v>
      </c>
      <c r="D1519" s="15"/>
      <c r="E1519" s="15">
        <v>1000</v>
      </c>
      <c r="F1519" s="15" t="s">
        <v>59</v>
      </c>
      <c r="G1519" s="8" t="s">
        <v>57</v>
      </c>
      <c r="H1519" s="14"/>
      <c r="I1519" s="13"/>
      <c r="J1519" s="8" t="s">
        <v>56</v>
      </c>
      <c r="K1519" s="8" t="s">
        <v>21</v>
      </c>
      <c r="L1519" s="8"/>
      <c r="M1519" s="8" t="str">
        <f>IF(C1519="Caixa","-",VLOOKUP(J1519,[1]Estrutura!C:E,3,FALSE))</f>
        <v>6.1</v>
      </c>
      <c r="N1519" s="8"/>
      <c r="O1519" s="7">
        <f t="shared" si="92"/>
        <v>25</v>
      </c>
      <c r="P1519" s="7">
        <f t="shared" si="93"/>
        <v>11</v>
      </c>
      <c r="Q1519" s="7">
        <f t="shared" si="94"/>
        <v>2026</v>
      </c>
      <c r="R1519" s="6">
        <f t="shared" si="95"/>
        <v>-1000</v>
      </c>
      <c r="S1519" s="12">
        <v>46354</v>
      </c>
    </row>
    <row r="1520" spans="1:19">
      <c r="A1520" s="19">
        <v>46351</v>
      </c>
      <c r="B1520" s="7" t="s">
        <v>26</v>
      </c>
      <c r="C1520" s="7" t="s">
        <v>6</v>
      </c>
      <c r="D1520" s="11"/>
      <c r="E1520" s="11">
        <v>1000</v>
      </c>
      <c r="F1520" s="11" t="s">
        <v>58</v>
      </c>
      <c r="G1520" s="7" t="s">
        <v>57</v>
      </c>
      <c r="H1520" s="10"/>
      <c r="I1520" s="9"/>
      <c r="J1520" s="7" t="s">
        <v>56</v>
      </c>
      <c r="K1520" s="7" t="s">
        <v>21</v>
      </c>
      <c r="L1520" s="7"/>
      <c r="M1520" s="7" t="str">
        <f>IF(C1520="Caixa","-",VLOOKUP(J1520,[1]Estrutura!C:E,3,FALSE))</f>
        <v>6.1</v>
      </c>
      <c r="N1520" s="7"/>
      <c r="O1520" s="7">
        <f t="shared" si="92"/>
        <v>25</v>
      </c>
      <c r="P1520" s="7">
        <f t="shared" si="93"/>
        <v>11</v>
      </c>
      <c r="Q1520" s="7">
        <f t="shared" si="94"/>
        <v>2026</v>
      </c>
      <c r="R1520" s="6">
        <f t="shared" si="95"/>
        <v>-1000</v>
      </c>
      <c r="S1520" s="16">
        <v>46355</v>
      </c>
    </row>
    <row r="1521" spans="1:19">
      <c r="A1521" s="16">
        <v>46351</v>
      </c>
      <c r="B1521" s="8" t="s">
        <v>26</v>
      </c>
      <c r="C1521" s="8" t="s">
        <v>6</v>
      </c>
      <c r="D1521" s="15"/>
      <c r="E1521" s="15">
        <v>4050</v>
      </c>
      <c r="F1521" s="15"/>
      <c r="G1521" s="7" t="s">
        <v>55</v>
      </c>
      <c r="H1521" s="10"/>
      <c r="I1521" s="9"/>
      <c r="J1521" s="7" t="s">
        <v>54</v>
      </c>
      <c r="K1521" s="7" t="s">
        <v>34</v>
      </c>
      <c r="L1521" s="8"/>
      <c r="M1521" s="8" t="str">
        <f>IF(C1521="Caixa","-",VLOOKUP(J1521,[1]Estrutura!C:E,3,FALSE))</f>
        <v>4.11</v>
      </c>
      <c r="N1521" s="8"/>
      <c r="O1521" s="7">
        <f t="shared" si="92"/>
        <v>25</v>
      </c>
      <c r="P1521" s="7">
        <f t="shared" si="93"/>
        <v>11</v>
      </c>
      <c r="Q1521" s="7">
        <f t="shared" si="94"/>
        <v>2026</v>
      </c>
      <c r="R1521" s="6">
        <f t="shared" si="95"/>
        <v>-4050</v>
      </c>
      <c r="S1521" s="16">
        <v>46355</v>
      </c>
    </row>
    <row r="1522" spans="1:19">
      <c r="A1522" s="12">
        <v>46351</v>
      </c>
      <c r="B1522" s="7" t="s">
        <v>26</v>
      </c>
      <c r="C1522" s="7" t="s">
        <v>6</v>
      </c>
      <c r="D1522" s="11"/>
      <c r="E1522" s="11">
        <v>5000</v>
      </c>
      <c r="F1522" s="11"/>
      <c r="G1522" s="7" t="s">
        <v>53</v>
      </c>
      <c r="H1522" s="10"/>
      <c r="I1522" s="9"/>
      <c r="J1522" s="7" t="s">
        <v>52</v>
      </c>
      <c r="K1522" s="7" t="s">
        <v>21</v>
      </c>
      <c r="L1522" s="7"/>
      <c r="M1522" s="7" t="str">
        <f>IF(C1522="Caixa","-",VLOOKUP(J1522,[1]Estrutura!C:E,3,FALSE))</f>
        <v>4.2</v>
      </c>
      <c r="N1522" s="7"/>
      <c r="O1522" s="7">
        <f t="shared" si="92"/>
        <v>25</v>
      </c>
      <c r="P1522" s="7">
        <f t="shared" si="93"/>
        <v>11</v>
      </c>
      <c r="Q1522" s="7">
        <f t="shared" si="94"/>
        <v>2026</v>
      </c>
      <c r="R1522" s="6">
        <f t="shared" si="95"/>
        <v>-5000</v>
      </c>
      <c r="S1522" s="16">
        <v>46356</v>
      </c>
    </row>
    <row r="1523" spans="1:19">
      <c r="A1523" s="16">
        <v>46351</v>
      </c>
      <c r="B1523" s="8" t="s">
        <v>26</v>
      </c>
      <c r="C1523" s="8" t="s">
        <v>6</v>
      </c>
      <c r="D1523" s="15"/>
      <c r="E1523" s="11">
        <v>2040</v>
      </c>
      <c r="F1523" s="15" t="s">
        <v>38</v>
      </c>
      <c r="G1523" s="8" t="s">
        <v>235</v>
      </c>
      <c r="H1523" s="14"/>
      <c r="I1523" s="13"/>
      <c r="J1523" s="7" t="s">
        <v>35</v>
      </c>
      <c r="K1523" s="18" t="s">
        <v>34</v>
      </c>
      <c r="L1523" s="8"/>
      <c r="M1523" s="8" t="str">
        <f>IF(C1523="Caixa","-",VLOOKUP(J1523,[1]Estrutura!C:E,3,FALSE))</f>
        <v>4.1</v>
      </c>
      <c r="N1523" s="8"/>
      <c r="O1523" s="7">
        <f t="shared" si="92"/>
        <v>25</v>
      </c>
      <c r="P1523" s="7">
        <f t="shared" si="93"/>
        <v>11</v>
      </c>
      <c r="Q1523" s="7">
        <f t="shared" si="94"/>
        <v>2026</v>
      </c>
      <c r="R1523" s="6">
        <f t="shared" si="95"/>
        <v>-2040</v>
      </c>
      <c r="S1523" s="12">
        <v>46356</v>
      </c>
    </row>
    <row r="1524" spans="1:19">
      <c r="A1524" s="16">
        <v>46351</v>
      </c>
      <c r="B1524" s="8" t="s">
        <v>26</v>
      </c>
      <c r="C1524" s="8" t="s">
        <v>6</v>
      </c>
      <c r="D1524" s="15"/>
      <c r="E1524" s="15">
        <v>2940</v>
      </c>
      <c r="F1524" s="15" t="s">
        <v>37</v>
      </c>
      <c r="G1524" s="8" t="s">
        <v>235</v>
      </c>
      <c r="H1524" s="14"/>
      <c r="I1524" s="13"/>
      <c r="J1524" s="7" t="s">
        <v>35</v>
      </c>
      <c r="K1524" s="18" t="s">
        <v>34</v>
      </c>
      <c r="L1524" s="7"/>
      <c r="M1524" s="7" t="str">
        <f>IF(C1524="Caixa","-",VLOOKUP(J1524,[1]Estrutura!C:E,3,FALSE))</f>
        <v>4.1</v>
      </c>
      <c r="N1524" s="7"/>
      <c r="O1524" s="7">
        <f t="shared" si="92"/>
        <v>25</v>
      </c>
      <c r="P1524" s="7">
        <f t="shared" si="93"/>
        <v>11</v>
      </c>
      <c r="Q1524" s="7">
        <f t="shared" si="94"/>
        <v>2026</v>
      </c>
      <c r="R1524" s="6">
        <f t="shared" si="95"/>
        <v>-2940</v>
      </c>
      <c r="S1524" s="16">
        <v>46356</v>
      </c>
    </row>
    <row r="1525" spans="1:19">
      <c r="A1525" s="16">
        <v>46351</v>
      </c>
      <c r="B1525" s="7" t="s">
        <v>7</v>
      </c>
      <c r="C1525" s="7" t="s">
        <v>9</v>
      </c>
      <c r="D1525" s="15">
        <v>1735.42</v>
      </c>
      <c r="E1525" s="15"/>
      <c r="F1525" s="15"/>
      <c r="G1525" s="8" t="s">
        <v>11</v>
      </c>
      <c r="H1525" s="8"/>
      <c r="I1525" s="17"/>
      <c r="J1525" s="8" t="s">
        <v>10</v>
      </c>
      <c r="K1525" s="8"/>
      <c r="L1525" s="8"/>
      <c r="M1525" s="8" t="str">
        <f>IF(C1525="Caixa","-",VLOOKUP(J1525,[1]Estrutura!C:E,3,FALSE))</f>
        <v>1.1</v>
      </c>
      <c r="N1525" s="8"/>
      <c r="O1525" s="7">
        <f t="shared" si="92"/>
        <v>25</v>
      </c>
      <c r="P1525" s="7">
        <f t="shared" si="93"/>
        <v>11</v>
      </c>
      <c r="Q1525" s="7">
        <f t="shared" si="94"/>
        <v>2026</v>
      </c>
      <c r="R1525" s="6">
        <f t="shared" si="95"/>
        <v>1735.42</v>
      </c>
      <c r="S1525" s="12">
        <v>46356</v>
      </c>
    </row>
    <row r="1526" spans="1:19">
      <c r="A1526" s="12">
        <v>46351</v>
      </c>
      <c r="B1526" s="7" t="s">
        <v>7</v>
      </c>
      <c r="C1526" s="7" t="s">
        <v>9</v>
      </c>
      <c r="D1526" s="11"/>
      <c r="E1526" s="11">
        <v>3275</v>
      </c>
      <c r="F1526" s="11" t="s">
        <v>32</v>
      </c>
      <c r="G1526" s="7" t="s">
        <v>33</v>
      </c>
      <c r="H1526" s="10"/>
      <c r="I1526" s="9"/>
      <c r="J1526" s="7" t="s">
        <v>33</v>
      </c>
      <c r="K1526" s="7"/>
      <c r="L1526" s="7"/>
      <c r="M1526" s="7" t="str">
        <f>IF(C1526="Caixa","-",VLOOKUP(J1526,[1]Estrutura!C:E,3,FALSE))</f>
        <v>2.1</v>
      </c>
      <c r="N1526" s="7"/>
      <c r="O1526" s="7">
        <f t="shared" si="92"/>
        <v>25</v>
      </c>
      <c r="P1526" s="7">
        <f t="shared" si="93"/>
        <v>11</v>
      </c>
      <c r="Q1526" s="7">
        <f t="shared" si="94"/>
        <v>2026</v>
      </c>
      <c r="R1526" s="6">
        <f t="shared" si="95"/>
        <v>-3275</v>
      </c>
      <c r="S1526" s="12">
        <v>46356</v>
      </c>
    </row>
    <row r="1527" spans="1:19">
      <c r="A1527" s="16">
        <v>46351</v>
      </c>
      <c r="B1527" s="8" t="s">
        <v>7</v>
      </c>
      <c r="C1527" s="8" t="s">
        <v>9</v>
      </c>
      <c r="D1527" s="15"/>
      <c r="E1527" s="15">
        <v>709</v>
      </c>
      <c r="F1527" s="15" t="s">
        <v>32</v>
      </c>
      <c r="G1527" s="8" t="s">
        <v>31</v>
      </c>
      <c r="H1527" s="14"/>
      <c r="I1527" s="13"/>
      <c r="J1527" s="8" t="s">
        <v>31</v>
      </c>
      <c r="K1527" s="8"/>
      <c r="L1527" s="8"/>
      <c r="M1527" s="8" t="str">
        <f>IF(C1527="Caixa","-",VLOOKUP(J1527,[1]Estrutura!C:E,3,FALSE))</f>
        <v>2.1</v>
      </c>
      <c r="N1527" s="8"/>
      <c r="O1527" s="7">
        <f t="shared" si="92"/>
        <v>25</v>
      </c>
      <c r="P1527" s="7">
        <f t="shared" si="93"/>
        <v>11</v>
      </c>
      <c r="Q1527" s="7">
        <f t="shared" si="94"/>
        <v>2026</v>
      </c>
      <c r="R1527" s="6">
        <f t="shared" si="95"/>
        <v>-709</v>
      </c>
      <c r="S1527" s="12">
        <v>46356</v>
      </c>
    </row>
    <row r="1528" spans="1:19">
      <c r="A1528" s="12">
        <v>46351</v>
      </c>
      <c r="B1528" s="7" t="s">
        <v>7</v>
      </c>
      <c r="C1528" s="7" t="s">
        <v>9</v>
      </c>
      <c r="D1528" s="11"/>
      <c r="E1528" s="11">
        <v>33333</v>
      </c>
      <c r="F1528" s="11"/>
      <c r="G1528" s="7" t="s">
        <v>30</v>
      </c>
      <c r="H1528" s="10"/>
      <c r="I1528" s="9"/>
      <c r="J1528" s="7" t="s">
        <v>29</v>
      </c>
      <c r="K1528" s="7"/>
      <c r="L1528" s="7"/>
      <c r="M1528" s="7" t="str">
        <f>IF(C1528="Caixa","-",VLOOKUP(J1528,[1]Estrutura!C:E,3,FALSE))</f>
        <v>4.8</v>
      </c>
      <c r="N1528" s="7"/>
      <c r="O1528" s="7">
        <f t="shared" si="92"/>
        <v>25</v>
      </c>
      <c r="P1528" s="7">
        <f t="shared" si="93"/>
        <v>11</v>
      </c>
      <c r="Q1528" s="7">
        <f t="shared" si="94"/>
        <v>2026</v>
      </c>
      <c r="R1528" s="6">
        <f t="shared" si="95"/>
        <v>-33333</v>
      </c>
      <c r="S1528" s="16">
        <v>46356</v>
      </c>
    </row>
    <row r="1529" spans="1:19">
      <c r="A1529" s="16">
        <v>46351</v>
      </c>
      <c r="B1529" s="8" t="s">
        <v>7</v>
      </c>
      <c r="C1529" s="8" t="s">
        <v>9</v>
      </c>
      <c r="D1529" s="15"/>
      <c r="E1529" s="15">
        <v>8000</v>
      </c>
      <c r="F1529" s="15"/>
      <c r="G1529" s="8" t="s">
        <v>28</v>
      </c>
      <c r="H1529" s="8"/>
      <c r="I1529" s="13"/>
      <c r="J1529" s="8" t="s">
        <v>27</v>
      </c>
      <c r="K1529" s="8"/>
      <c r="L1529" s="8"/>
      <c r="M1529" s="8" t="str">
        <f>IF(C1529="Caixa","-",VLOOKUP(J1529,[1]Estrutura!C:E,3,FALSE))</f>
        <v>7.3</v>
      </c>
      <c r="N1529" s="8"/>
      <c r="O1529" s="7">
        <f t="shared" si="92"/>
        <v>25</v>
      </c>
      <c r="P1529" s="7">
        <f t="shared" si="93"/>
        <v>11</v>
      </c>
      <c r="Q1529" s="7">
        <f t="shared" si="94"/>
        <v>2026</v>
      </c>
      <c r="R1529" s="6">
        <f t="shared" si="95"/>
        <v>-8000</v>
      </c>
      <c r="S1529" s="12">
        <v>46356</v>
      </c>
    </row>
    <row r="1530" spans="1:19">
      <c r="A1530" s="12">
        <v>46352</v>
      </c>
      <c r="B1530" s="8" t="s">
        <v>26</v>
      </c>
      <c r="C1530" s="8" t="s">
        <v>25</v>
      </c>
      <c r="D1530" s="15">
        <v>1442</v>
      </c>
      <c r="E1530" s="15"/>
      <c r="F1530" s="15" t="s">
        <v>109</v>
      </c>
      <c r="G1530" s="8" t="s">
        <v>108</v>
      </c>
      <c r="H1530" s="14"/>
      <c r="I1530" s="13"/>
      <c r="J1530" s="8" t="s">
        <v>107</v>
      </c>
      <c r="K1530" s="24" t="s">
        <v>21</v>
      </c>
      <c r="L1530" s="7"/>
      <c r="M1530" s="7" t="str">
        <f>IF(C1530="Caixa","-",VLOOKUP(J1530,[1]Estrutura!C:E,3,FALSE))</f>
        <v>1.4</v>
      </c>
      <c r="N1530" s="7"/>
      <c r="O1530" s="7">
        <f t="shared" si="92"/>
        <v>26</v>
      </c>
      <c r="P1530" s="7">
        <f t="shared" si="93"/>
        <v>11</v>
      </c>
      <c r="Q1530" s="7">
        <f t="shared" si="94"/>
        <v>2026</v>
      </c>
      <c r="R1530" s="6">
        <f t="shared" si="95"/>
        <v>1442</v>
      </c>
      <c r="S1530" s="16">
        <v>46356</v>
      </c>
    </row>
    <row r="1531" spans="1:19">
      <c r="A1531" s="16">
        <v>46352</v>
      </c>
      <c r="B1531" s="7" t="s">
        <v>7</v>
      </c>
      <c r="C1531" s="7" t="s">
        <v>9</v>
      </c>
      <c r="D1531" s="15">
        <v>17339.330000000002</v>
      </c>
      <c r="E1531" s="15"/>
      <c r="F1531" s="15"/>
      <c r="G1531" s="8" t="s">
        <v>11</v>
      </c>
      <c r="H1531" s="8"/>
      <c r="I1531" s="17"/>
      <c r="J1531" s="8" t="s">
        <v>10</v>
      </c>
      <c r="K1531" s="8"/>
      <c r="L1531" s="8"/>
      <c r="M1531" s="8" t="str">
        <f>IF(C1531="Caixa","-",VLOOKUP(J1531,[1]Estrutura!C:E,3,FALSE))</f>
        <v>1.1</v>
      </c>
      <c r="N1531" s="8"/>
      <c r="O1531" s="7">
        <f t="shared" si="92"/>
        <v>26</v>
      </c>
      <c r="P1531" s="7">
        <f t="shared" si="93"/>
        <v>11</v>
      </c>
      <c r="Q1531" s="7">
        <f t="shared" si="94"/>
        <v>2026</v>
      </c>
      <c r="R1531" s="6">
        <f t="shared" si="95"/>
        <v>17339.330000000002</v>
      </c>
      <c r="S1531" s="12">
        <v>46356</v>
      </c>
    </row>
    <row r="1532" spans="1:19">
      <c r="A1532" s="16">
        <v>46353</v>
      </c>
      <c r="B1532" s="8" t="s">
        <v>14</v>
      </c>
      <c r="C1532" s="7" t="s">
        <v>9</v>
      </c>
      <c r="D1532" s="15">
        <v>5091.26</v>
      </c>
      <c r="E1532" s="15"/>
      <c r="F1532" s="15"/>
      <c r="G1532" s="8" t="s">
        <v>11</v>
      </c>
      <c r="H1532" s="8"/>
      <c r="I1532" s="17"/>
      <c r="J1532" s="8" t="s">
        <v>10</v>
      </c>
      <c r="K1532" s="8"/>
      <c r="L1532" s="7"/>
      <c r="M1532" s="7" t="str">
        <f>IF(C1532="Caixa","-",VLOOKUP(J1532,[1]Estrutura!C:E,3,FALSE))</f>
        <v>1.1</v>
      </c>
      <c r="N1532" s="7"/>
      <c r="O1532" s="7">
        <f t="shared" si="92"/>
        <v>27</v>
      </c>
      <c r="P1532" s="7">
        <f t="shared" si="93"/>
        <v>11</v>
      </c>
      <c r="Q1532" s="7">
        <f t="shared" si="94"/>
        <v>2026</v>
      </c>
      <c r="R1532" s="6">
        <f t="shared" si="95"/>
        <v>5091.26</v>
      </c>
      <c r="S1532" s="12">
        <v>46356</v>
      </c>
    </row>
    <row r="1533" spans="1:19">
      <c r="A1533" s="16">
        <v>46353</v>
      </c>
      <c r="B1533" s="8" t="s">
        <v>14</v>
      </c>
      <c r="C1533" s="8" t="s">
        <v>9</v>
      </c>
      <c r="D1533" s="15"/>
      <c r="E1533" s="15">
        <v>80.58</v>
      </c>
      <c r="F1533" s="15" t="s">
        <v>24</v>
      </c>
      <c r="G1533" s="8" t="s">
        <v>234</v>
      </c>
      <c r="H1533" s="14"/>
      <c r="I1533" s="13"/>
      <c r="J1533" s="8" t="s">
        <v>77</v>
      </c>
      <c r="K1533" s="8"/>
      <c r="L1533" s="8"/>
      <c r="M1533" s="8" t="str">
        <f>IF(C1533="Caixa","-",VLOOKUP(J1533,[1]Estrutura!C:E,3,FALSE))</f>
        <v>4.3</v>
      </c>
      <c r="N1533" s="8"/>
      <c r="O1533" s="7">
        <f t="shared" si="92"/>
        <v>27</v>
      </c>
      <c r="P1533" s="7">
        <f t="shared" si="93"/>
        <v>11</v>
      </c>
      <c r="Q1533" s="7">
        <f t="shared" si="94"/>
        <v>2026</v>
      </c>
      <c r="R1533" s="6">
        <f t="shared" si="95"/>
        <v>-80.58</v>
      </c>
      <c r="S1533" s="12">
        <v>46356</v>
      </c>
    </row>
    <row r="1534" spans="1:19">
      <c r="A1534" s="12">
        <v>46353</v>
      </c>
      <c r="B1534" s="7" t="s">
        <v>14</v>
      </c>
      <c r="C1534" s="7" t="s">
        <v>9</v>
      </c>
      <c r="D1534" s="11"/>
      <c r="E1534" s="11">
        <v>33.909999999999997</v>
      </c>
      <c r="F1534" s="11" t="s">
        <v>79</v>
      </c>
      <c r="G1534" s="7" t="s">
        <v>78</v>
      </c>
      <c r="H1534" s="10"/>
      <c r="I1534" s="9"/>
      <c r="J1534" s="7" t="s">
        <v>77</v>
      </c>
      <c r="K1534" s="7"/>
      <c r="L1534" s="7"/>
      <c r="M1534" s="7" t="str">
        <f>IF(C1534="Caixa","-",VLOOKUP(J1534,[1]Estrutura!C:E,3,FALSE))</f>
        <v>4.3</v>
      </c>
      <c r="N1534" s="7"/>
      <c r="O1534" s="7">
        <f t="shared" si="92"/>
        <v>27</v>
      </c>
      <c r="P1534" s="7">
        <f t="shared" si="93"/>
        <v>11</v>
      </c>
      <c r="Q1534" s="7">
        <f t="shared" si="94"/>
        <v>2026</v>
      </c>
      <c r="R1534" s="6">
        <f t="shared" si="95"/>
        <v>-33.909999999999997</v>
      </c>
      <c r="S1534" s="16">
        <v>46356</v>
      </c>
    </row>
    <row r="1535" spans="1:19">
      <c r="A1535" s="16">
        <v>46353</v>
      </c>
      <c r="B1535" s="7" t="s">
        <v>7</v>
      </c>
      <c r="C1535" s="7" t="s">
        <v>9</v>
      </c>
      <c r="D1535" s="15">
        <v>10172.130000000001</v>
      </c>
      <c r="E1535" s="15"/>
      <c r="F1535" s="15"/>
      <c r="G1535" s="8" t="s">
        <v>11</v>
      </c>
      <c r="H1535" s="8"/>
      <c r="I1535" s="17"/>
      <c r="J1535" s="8" t="s">
        <v>10</v>
      </c>
      <c r="K1535" s="8"/>
      <c r="L1535" s="8"/>
      <c r="M1535" s="8" t="str">
        <f>IF(C1535="Caixa","-",VLOOKUP(J1535,[1]Estrutura!C:E,3,FALSE))</f>
        <v>1.1</v>
      </c>
      <c r="N1535" s="8"/>
      <c r="O1535" s="7">
        <f t="shared" si="92"/>
        <v>27</v>
      </c>
      <c r="P1535" s="7">
        <f t="shared" si="93"/>
        <v>11</v>
      </c>
      <c r="Q1535" s="7">
        <f t="shared" si="94"/>
        <v>2026</v>
      </c>
      <c r="R1535" s="6">
        <f t="shared" si="95"/>
        <v>10172.130000000001</v>
      </c>
      <c r="S1535" s="12">
        <v>46356</v>
      </c>
    </row>
    <row r="1536" spans="1:19">
      <c r="A1536" s="16">
        <v>46354</v>
      </c>
      <c r="B1536" s="8" t="s">
        <v>14</v>
      </c>
      <c r="C1536" s="7" t="s">
        <v>9</v>
      </c>
      <c r="D1536" s="15">
        <v>4647.9400000000005</v>
      </c>
      <c r="E1536" s="15"/>
      <c r="F1536" s="15"/>
      <c r="G1536" s="8" t="s">
        <v>11</v>
      </c>
      <c r="H1536" s="8"/>
      <c r="I1536" s="17"/>
      <c r="J1536" s="8" t="s">
        <v>10</v>
      </c>
      <c r="K1536" s="8"/>
      <c r="L1536" s="7"/>
      <c r="M1536" s="7" t="str">
        <f>IF(C1536="Caixa","-",VLOOKUP(J1536,[1]Estrutura!C:E,3,FALSE))</f>
        <v>1.1</v>
      </c>
      <c r="N1536" s="7"/>
      <c r="O1536" s="7">
        <f t="shared" si="92"/>
        <v>28</v>
      </c>
      <c r="P1536" s="7">
        <f t="shared" si="93"/>
        <v>11</v>
      </c>
      <c r="Q1536" s="7">
        <f t="shared" si="94"/>
        <v>2026</v>
      </c>
      <c r="R1536" s="6">
        <f t="shared" si="95"/>
        <v>4647.9400000000005</v>
      </c>
      <c r="S1536" s="12">
        <v>46356</v>
      </c>
    </row>
    <row r="1537" spans="1:19">
      <c r="A1537" s="16">
        <v>46354</v>
      </c>
      <c r="B1537" s="8" t="s">
        <v>26</v>
      </c>
      <c r="C1537" s="8" t="s">
        <v>25</v>
      </c>
      <c r="D1537" s="15"/>
      <c r="E1537" s="15">
        <v>112.4</v>
      </c>
      <c r="F1537" s="15" t="s">
        <v>24</v>
      </c>
      <c r="G1537" s="8" t="s">
        <v>23</v>
      </c>
      <c r="H1537" s="14"/>
      <c r="I1537" s="13"/>
      <c r="J1537" s="8" t="s">
        <v>22</v>
      </c>
      <c r="K1537" s="8" t="s">
        <v>21</v>
      </c>
      <c r="L1537" s="8"/>
      <c r="M1537" s="8" t="str">
        <f>IF(C1537="Caixa","-",VLOOKUP(J1537,[1]Estrutura!C:E,3,FALSE))</f>
        <v>4.3</v>
      </c>
      <c r="N1537" s="8"/>
      <c r="O1537" s="7">
        <f t="shared" si="92"/>
        <v>28</v>
      </c>
      <c r="P1537" s="7">
        <f t="shared" si="93"/>
        <v>11</v>
      </c>
      <c r="Q1537" s="7">
        <f t="shared" si="94"/>
        <v>2026</v>
      </c>
      <c r="R1537" s="6">
        <f t="shared" si="95"/>
        <v>-112.4</v>
      </c>
      <c r="S1537" s="12">
        <v>46356</v>
      </c>
    </row>
    <row r="1538" spans="1:19">
      <c r="A1538" s="16">
        <v>46354</v>
      </c>
      <c r="B1538" s="7" t="s">
        <v>7</v>
      </c>
      <c r="C1538" s="7" t="s">
        <v>9</v>
      </c>
      <c r="D1538" s="15">
        <v>9951.630000000001</v>
      </c>
      <c r="E1538" s="15"/>
      <c r="F1538" s="15"/>
      <c r="G1538" s="8" t="s">
        <v>11</v>
      </c>
      <c r="H1538" s="8"/>
      <c r="I1538" s="17"/>
      <c r="J1538" s="8" t="s">
        <v>10</v>
      </c>
      <c r="K1538" s="8"/>
      <c r="L1538" s="7"/>
      <c r="M1538" s="7" t="str">
        <f>IF(C1538="Caixa","-",VLOOKUP(J1538,[1]Estrutura!C:E,3,FALSE))</f>
        <v>1.1</v>
      </c>
      <c r="N1538" s="7"/>
      <c r="O1538" s="7">
        <f t="shared" si="92"/>
        <v>28</v>
      </c>
      <c r="P1538" s="7">
        <f t="shared" si="93"/>
        <v>11</v>
      </c>
      <c r="Q1538" s="7">
        <f t="shared" si="94"/>
        <v>2026</v>
      </c>
      <c r="R1538" s="6">
        <f t="shared" si="95"/>
        <v>9951.630000000001</v>
      </c>
      <c r="S1538" s="16">
        <v>46356</v>
      </c>
    </row>
    <row r="1539" spans="1:19">
      <c r="A1539" s="12">
        <v>46354</v>
      </c>
      <c r="B1539" s="8" t="s">
        <v>7</v>
      </c>
      <c r="C1539" s="8" t="s">
        <v>9</v>
      </c>
      <c r="D1539" s="11"/>
      <c r="E1539" s="11">
        <v>47373.33</v>
      </c>
      <c r="F1539" s="11"/>
      <c r="G1539" s="7" t="s">
        <v>20</v>
      </c>
      <c r="H1539" s="10"/>
      <c r="I1539" s="9"/>
      <c r="J1539" s="7" t="s">
        <v>19</v>
      </c>
      <c r="K1539" s="7"/>
      <c r="L1539" s="8"/>
      <c r="M1539" s="8" t="str">
        <f>IF(C1539="Caixa","-",VLOOKUP(J1539,[1]Estrutura!C:E,3,FALSE))</f>
        <v>8.7</v>
      </c>
      <c r="N1539" s="8"/>
      <c r="O1539" s="7">
        <f t="shared" si="92"/>
        <v>28</v>
      </c>
      <c r="P1539" s="7">
        <f t="shared" si="93"/>
        <v>11</v>
      </c>
      <c r="Q1539" s="7">
        <f t="shared" si="94"/>
        <v>2026</v>
      </c>
      <c r="R1539" s="6">
        <f t="shared" si="95"/>
        <v>-47373.33</v>
      </c>
      <c r="S1539" s="12">
        <v>46356</v>
      </c>
    </row>
    <row r="1540" spans="1:19">
      <c r="A1540" s="16">
        <v>46355</v>
      </c>
      <c r="B1540" s="8" t="s">
        <v>14</v>
      </c>
      <c r="C1540" s="7" t="s">
        <v>9</v>
      </c>
      <c r="D1540" s="15">
        <v>6057.92</v>
      </c>
      <c r="E1540" s="15"/>
      <c r="F1540" s="15"/>
      <c r="G1540" s="8" t="s">
        <v>11</v>
      </c>
      <c r="H1540" s="8"/>
      <c r="I1540" s="17"/>
      <c r="J1540" s="8" t="s">
        <v>10</v>
      </c>
      <c r="K1540" s="8"/>
      <c r="L1540" s="7"/>
      <c r="M1540" s="7" t="str">
        <f>IF(C1540="Caixa","-",VLOOKUP(J1540,[1]Estrutura!C:E,3,FALSE))</f>
        <v>1.1</v>
      </c>
      <c r="N1540" s="7"/>
      <c r="O1540" s="7">
        <f t="shared" si="92"/>
        <v>29</v>
      </c>
      <c r="P1540" s="7">
        <f t="shared" si="93"/>
        <v>11</v>
      </c>
      <c r="Q1540" s="7">
        <f t="shared" si="94"/>
        <v>2026</v>
      </c>
      <c r="R1540" s="6">
        <f t="shared" si="95"/>
        <v>6057.92</v>
      </c>
      <c r="S1540" s="16">
        <v>46357</v>
      </c>
    </row>
    <row r="1541" spans="1:19">
      <c r="A1541" s="12">
        <v>46355</v>
      </c>
      <c r="B1541" s="8" t="s">
        <v>14</v>
      </c>
      <c r="C1541" s="8" t="s">
        <v>9</v>
      </c>
      <c r="D1541" s="11"/>
      <c r="E1541" s="15">
        <v>1800</v>
      </c>
      <c r="F1541" s="11"/>
      <c r="G1541" s="8" t="s">
        <v>18</v>
      </c>
      <c r="H1541" s="10"/>
      <c r="I1541" s="9"/>
      <c r="J1541" s="8" t="s">
        <v>17</v>
      </c>
      <c r="K1541" s="7"/>
      <c r="L1541" s="8"/>
      <c r="M1541" s="8" t="str">
        <f>IF(C1541="Caixa","-",VLOOKUP(J1541,[1]Estrutura!C:E,3,FALSE))</f>
        <v>4.4</v>
      </c>
      <c r="N1541" s="8"/>
      <c r="O1541" s="7">
        <f t="shared" si="92"/>
        <v>29</v>
      </c>
      <c r="P1541" s="7">
        <f t="shared" si="93"/>
        <v>11</v>
      </c>
      <c r="Q1541" s="7">
        <f t="shared" si="94"/>
        <v>2026</v>
      </c>
      <c r="R1541" s="6">
        <f t="shared" si="95"/>
        <v>-1800</v>
      </c>
      <c r="S1541" s="12">
        <v>46357</v>
      </c>
    </row>
    <row r="1542" spans="1:19">
      <c r="A1542" s="16">
        <v>46355</v>
      </c>
      <c r="B1542" s="7" t="s">
        <v>7</v>
      </c>
      <c r="C1542" s="7" t="s">
        <v>9</v>
      </c>
      <c r="D1542" s="15">
        <v>4068.53</v>
      </c>
      <c r="E1542" s="15"/>
      <c r="F1542" s="15"/>
      <c r="G1542" s="8" t="s">
        <v>11</v>
      </c>
      <c r="H1542" s="8"/>
      <c r="I1542" s="17"/>
      <c r="J1542" s="8" t="s">
        <v>10</v>
      </c>
      <c r="K1542" s="8"/>
      <c r="L1542" s="7"/>
      <c r="M1542" s="7" t="str">
        <f>IF(C1542="Caixa","-",VLOOKUP(J1542,[1]Estrutura!C:E,3,FALSE))</f>
        <v>1.1</v>
      </c>
      <c r="N1542" s="7"/>
      <c r="O1542" s="7">
        <f t="shared" si="92"/>
        <v>29</v>
      </c>
      <c r="P1542" s="7">
        <f t="shared" si="93"/>
        <v>11</v>
      </c>
      <c r="Q1542" s="7">
        <f t="shared" si="94"/>
        <v>2026</v>
      </c>
      <c r="R1542" s="6">
        <f t="shared" si="95"/>
        <v>4068.53</v>
      </c>
      <c r="S1542" s="16">
        <v>46357</v>
      </c>
    </row>
    <row r="1543" spans="1:19">
      <c r="A1543" s="16">
        <v>46356</v>
      </c>
      <c r="B1543" s="8" t="s">
        <v>14</v>
      </c>
      <c r="C1543" s="7" t="s">
        <v>9</v>
      </c>
      <c r="D1543" s="15">
        <v>1569.63</v>
      </c>
      <c r="E1543" s="15"/>
      <c r="F1543" s="15"/>
      <c r="G1543" s="8" t="s">
        <v>11</v>
      </c>
      <c r="H1543" s="8"/>
      <c r="I1543" s="17"/>
      <c r="J1543" s="8" t="s">
        <v>10</v>
      </c>
      <c r="K1543" s="8"/>
      <c r="L1543" s="8"/>
      <c r="M1543" s="8" t="str">
        <f>IF(C1543="Caixa","-",VLOOKUP(J1543,[1]Estrutura!C:E,3,FALSE))</f>
        <v>1.1</v>
      </c>
      <c r="N1543" s="8"/>
      <c r="O1543" s="7">
        <f t="shared" si="92"/>
        <v>30</v>
      </c>
      <c r="P1543" s="7">
        <f t="shared" si="93"/>
        <v>11</v>
      </c>
      <c r="Q1543" s="7">
        <f t="shared" si="94"/>
        <v>2026</v>
      </c>
      <c r="R1543" s="6">
        <f t="shared" si="95"/>
        <v>1569.63</v>
      </c>
      <c r="S1543" s="12">
        <v>46357</v>
      </c>
    </row>
    <row r="1544" spans="1:19">
      <c r="A1544" s="12">
        <v>46356</v>
      </c>
      <c r="B1544" s="7" t="s">
        <v>14</v>
      </c>
      <c r="C1544" s="7" t="s">
        <v>9</v>
      </c>
      <c r="D1544" s="11"/>
      <c r="E1544" s="11">
        <v>2815</v>
      </c>
      <c r="F1544" s="11" t="s">
        <v>51</v>
      </c>
      <c r="G1544" s="7" t="s">
        <v>92</v>
      </c>
      <c r="H1544" s="10"/>
      <c r="I1544" s="9"/>
      <c r="J1544" s="7" t="s">
        <v>92</v>
      </c>
      <c r="K1544" s="7"/>
      <c r="L1544" s="7"/>
      <c r="M1544" s="7" t="str">
        <f>IF(C1544="Caixa","-",VLOOKUP(J1544,[1]Estrutura!C:E,3,FALSE))</f>
        <v>4.1</v>
      </c>
      <c r="N1544" s="7"/>
      <c r="O1544" s="7">
        <f t="shared" si="92"/>
        <v>30</v>
      </c>
      <c r="P1544" s="7">
        <f t="shared" si="93"/>
        <v>11</v>
      </c>
      <c r="Q1544" s="7">
        <f t="shared" si="94"/>
        <v>2026</v>
      </c>
      <c r="R1544" s="6">
        <f t="shared" si="95"/>
        <v>-2815</v>
      </c>
      <c r="S1544" s="16">
        <v>46357</v>
      </c>
    </row>
    <row r="1545" spans="1:19">
      <c r="A1545" s="16">
        <v>46356</v>
      </c>
      <c r="B1545" s="8" t="s">
        <v>14</v>
      </c>
      <c r="C1545" s="8" t="s">
        <v>9</v>
      </c>
      <c r="D1545" s="15"/>
      <c r="E1545" s="15">
        <v>5227</v>
      </c>
      <c r="F1545" s="15" t="s">
        <v>50</v>
      </c>
      <c r="G1545" s="7" t="s">
        <v>92</v>
      </c>
      <c r="H1545" s="14"/>
      <c r="I1545" s="13"/>
      <c r="J1545" s="8" t="s">
        <v>92</v>
      </c>
      <c r="K1545" s="8"/>
      <c r="L1545" s="8"/>
      <c r="M1545" s="8" t="str">
        <f>IF(C1545="Caixa","-",VLOOKUP(J1545,[1]Estrutura!C:E,3,FALSE))</f>
        <v>4.1</v>
      </c>
      <c r="N1545" s="8"/>
      <c r="O1545" s="7">
        <f t="shared" si="92"/>
        <v>30</v>
      </c>
      <c r="P1545" s="7">
        <f t="shared" si="93"/>
        <v>11</v>
      </c>
      <c r="Q1545" s="7">
        <f t="shared" si="94"/>
        <v>2026</v>
      </c>
      <c r="R1545" s="6">
        <f t="shared" si="95"/>
        <v>-5227</v>
      </c>
      <c r="S1545" s="12">
        <v>46357</v>
      </c>
    </row>
    <row r="1546" spans="1:19">
      <c r="A1546" s="12">
        <v>46356</v>
      </c>
      <c r="B1546" s="7" t="s">
        <v>14</v>
      </c>
      <c r="C1546" s="7" t="s">
        <v>9</v>
      </c>
      <c r="D1546" s="11"/>
      <c r="E1546" s="11">
        <v>8400</v>
      </c>
      <c r="F1546" s="11" t="s">
        <v>49</v>
      </c>
      <c r="G1546" s="7" t="s">
        <v>92</v>
      </c>
      <c r="H1546" s="10"/>
      <c r="I1546" s="9"/>
      <c r="J1546" s="7" t="s">
        <v>92</v>
      </c>
      <c r="K1546" s="7"/>
      <c r="L1546" s="7"/>
      <c r="M1546" s="7" t="str">
        <f>IF(C1546="Caixa","-",VLOOKUP(J1546,[1]Estrutura!C:E,3,FALSE))</f>
        <v>4.1</v>
      </c>
      <c r="N1546" s="7"/>
      <c r="O1546" s="7">
        <f t="shared" si="92"/>
        <v>30</v>
      </c>
      <c r="P1546" s="7">
        <f t="shared" si="93"/>
        <v>11</v>
      </c>
      <c r="Q1546" s="7">
        <f t="shared" si="94"/>
        <v>2026</v>
      </c>
      <c r="R1546" s="6">
        <f t="shared" si="95"/>
        <v>-8400</v>
      </c>
      <c r="S1546" s="16">
        <v>46357</v>
      </c>
    </row>
    <row r="1547" spans="1:19">
      <c r="A1547" s="12">
        <v>46356</v>
      </c>
      <c r="B1547" s="7" t="s">
        <v>14</v>
      </c>
      <c r="C1547" s="7" t="s">
        <v>9</v>
      </c>
      <c r="D1547" s="11"/>
      <c r="E1547" s="11">
        <v>1000</v>
      </c>
      <c r="F1547" s="11"/>
      <c r="G1547" s="7" t="s">
        <v>13</v>
      </c>
      <c r="H1547" s="10"/>
      <c r="I1547" s="9"/>
      <c r="J1547" s="7" t="s">
        <v>12</v>
      </c>
      <c r="K1547" s="7"/>
      <c r="L1547" s="8"/>
      <c r="M1547" s="8" t="str">
        <f>IF(C1547="Caixa","-",VLOOKUP(J1547,[1]Estrutura!C:E,3,FALSE))</f>
        <v>4.9</v>
      </c>
      <c r="N1547" s="8"/>
      <c r="O1547" s="7">
        <f t="shared" si="92"/>
        <v>30</v>
      </c>
      <c r="P1547" s="7">
        <f t="shared" si="93"/>
        <v>11</v>
      </c>
      <c r="Q1547" s="7">
        <f t="shared" si="94"/>
        <v>2026</v>
      </c>
      <c r="R1547" s="6">
        <f t="shared" si="95"/>
        <v>-1000</v>
      </c>
      <c r="S1547" s="12">
        <v>46357</v>
      </c>
    </row>
    <row r="1548" spans="1:19">
      <c r="A1548" s="12">
        <v>46356</v>
      </c>
      <c r="B1548" s="7" t="s">
        <v>26</v>
      </c>
      <c r="C1548" s="7" t="s">
        <v>6</v>
      </c>
      <c r="D1548" s="11"/>
      <c r="E1548" s="11">
        <v>2321</v>
      </c>
      <c r="F1548" s="11" t="s">
        <v>41</v>
      </c>
      <c r="G1548" s="7" t="s">
        <v>92</v>
      </c>
      <c r="H1548" s="10"/>
      <c r="I1548" s="9"/>
      <c r="J1548" s="7" t="s">
        <v>92</v>
      </c>
      <c r="K1548" s="8" t="s">
        <v>40</v>
      </c>
      <c r="L1548" s="7"/>
      <c r="M1548" s="7" t="str">
        <f>IF(C1548="Caixa","-",VLOOKUP(J1548,[1]Estrutura!C:E,3,FALSE))</f>
        <v>4.1</v>
      </c>
      <c r="N1548" s="7"/>
      <c r="O1548" s="7">
        <f t="shared" si="92"/>
        <v>30</v>
      </c>
      <c r="P1548" s="7">
        <f t="shared" si="93"/>
        <v>11</v>
      </c>
      <c r="Q1548" s="7">
        <f t="shared" si="94"/>
        <v>2026</v>
      </c>
      <c r="R1548" s="6">
        <f t="shared" si="95"/>
        <v>-2321</v>
      </c>
      <c r="S1548" s="16">
        <v>46357</v>
      </c>
    </row>
    <row r="1549" spans="1:19">
      <c r="A1549" s="16">
        <v>46356</v>
      </c>
      <c r="B1549" s="8" t="s">
        <v>26</v>
      </c>
      <c r="C1549" s="8" t="s">
        <v>6</v>
      </c>
      <c r="D1549" s="15"/>
      <c r="E1549" s="15">
        <v>1875</v>
      </c>
      <c r="F1549" s="15" t="s">
        <v>48</v>
      </c>
      <c r="G1549" s="7" t="s">
        <v>92</v>
      </c>
      <c r="H1549" s="14"/>
      <c r="I1549" s="13"/>
      <c r="J1549" s="8" t="s">
        <v>92</v>
      </c>
      <c r="K1549" s="8" t="s">
        <v>40</v>
      </c>
      <c r="L1549" s="8"/>
      <c r="M1549" s="8" t="str">
        <f>IF(C1549="Caixa","-",VLOOKUP(J1549,[1]Estrutura!C:E,3,FALSE))</f>
        <v>4.1</v>
      </c>
      <c r="N1549" s="8"/>
      <c r="O1549" s="7">
        <f t="shared" si="92"/>
        <v>30</v>
      </c>
      <c r="P1549" s="7">
        <f t="shared" si="93"/>
        <v>11</v>
      </c>
      <c r="Q1549" s="7">
        <f t="shared" si="94"/>
        <v>2026</v>
      </c>
      <c r="R1549" s="6">
        <f t="shared" si="95"/>
        <v>-1875</v>
      </c>
      <c r="S1549" s="12">
        <v>46357</v>
      </c>
    </row>
    <row r="1550" spans="1:19">
      <c r="A1550" s="12">
        <v>46356</v>
      </c>
      <c r="B1550" s="7" t="s">
        <v>26</v>
      </c>
      <c r="C1550" s="7" t="s">
        <v>6</v>
      </c>
      <c r="D1550" s="11"/>
      <c r="E1550" s="11">
        <v>2040</v>
      </c>
      <c r="F1550" s="11" t="s">
        <v>38</v>
      </c>
      <c r="G1550" s="7" t="s">
        <v>92</v>
      </c>
      <c r="H1550" s="10"/>
      <c r="I1550" s="9"/>
      <c r="J1550" s="7" t="s">
        <v>92</v>
      </c>
      <c r="K1550" s="18" t="s">
        <v>34</v>
      </c>
      <c r="L1550" s="7"/>
      <c r="M1550" s="7" t="str">
        <f>IF(C1550="Caixa","-",VLOOKUP(J1550,[1]Estrutura!C:E,3,FALSE))</f>
        <v>4.1</v>
      </c>
      <c r="N1550" s="7"/>
      <c r="O1550" s="7">
        <f t="shared" ref="O1550:O1613" si="96">DAY(A1550)</f>
        <v>30</v>
      </c>
      <c r="P1550" s="7">
        <f t="shared" ref="P1550:P1613" si="97">MONTH(A1550)</f>
        <v>11</v>
      </c>
      <c r="Q1550" s="7">
        <f t="shared" ref="Q1550:Q1613" si="98">YEAR(A1550)</f>
        <v>2026</v>
      </c>
      <c r="R1550" s="6">
        <f t="shared" ref="R1550:R1613" si="99">D1550-E1550</f>
        <v>-2040</v>
      </c>
      <c r="S1550" s="16">
        <v>46357</v>
      </c>
    </row>
    <row r="1551" spans="1:19">
      <c r="A1551" s="16">
        <v>46356</v>
      </c>
      <c r="B1551" s="8" t="s">
        <v>26</v>
      </c>
      <c r="C1551" s="8" t="s">
        <v>6</v>
      </c>
      <c r="D1551" s="15"/>
      <c r="E1551" s="11">
        <v>1926</v>
      </c>
      <c r="F1551" s="15" t="s">
        <v>43</v>
      </c>
      <c r="G1551" s="7" t="s">
        <v>92</v>
      </c>
      <c r="H1551" s="14"/>
      <c r="I1551" s="13"/>
      <c r="J1551" s="8" t="s">
        <v>92</v>
      </c>
      <c r="K1551" s="8" t="s">
        <v>40</v>
      </c>
      <c r="L1551" s="8"/>
      <c r="M1551" s="8" t="str">
        <f>IF(C1551="Caixa","-",VLOOKUP(J1551,[1]Estrutura!C:E,3,FALSE))</f>
        <v>4.1</v>
      </c>
      <c r="N1551" s="8"/>
      <c r="O1551" s="7">
        <f t="shared" si="96"/>
        <v>30</v>
      </c>
      <c r="P1551" s="7">
        <f t="shared" si="97"/>
        <v>11</v>
      </c>
      <c r="Q1551" s="7">
        <f t="shared" si="98"/>
        <v>2026</v>
      </c>
      <c r="R1551" s="6">
        <f t="shared" si="99"/>
        <v>-1926</v>
      </c>
      <c r="S1551" s="12">
        <v>46357</v>
      </c>
    </row>
    <row r="1552" spans="1:19">
      <c r="A1552" s="12">
        <v>46356</v>
      </c>
      <c r="B1552" s="7" t="s">
        <v>26</v>
      </c>
      <c r="C1552" s="7" t="s">
        <v>6</v>
      </c>
      <c r="D1552" s="11"/>
      <c r="E1552" s="15">
        <v>2321</v>
      </c>
      <c r="F1552" s="11" t="s">
        <v>42</v>
      </c>
      <c r="G1552" s="7" t="s">
        <v>92</v>
      </c>
      <c r="H1552" s="10"/>
      <c r="I1552" s="9"/>
      <c r="J1552" s="7" t="s">
        <v>92</v>
      </c>
      <c r="K1552" s="18" t="s">
        <v>34</v>
      </c>
      <c r="L1552" s="7"/>
      <c r="M1552" s="7" t="str">
        <f>IF(C1552="Caixa","-",VLOOKUP(J1552,[1]Estrutura!C:E,3,FALSE))</f>
        <v>4.1</v>
      </c>
      <c r="N1552" s="7"/>
      <c r="O1552" s="7">
        <f t="shared" si="96"/>
        <v>30</v>
      </c>
      <c r="P1552" s="7">
        <f t="shared" si="97"/>
        <v>11</v>
      </c>
      <c r="Q1552" s="7">
        <f t="shared" si="98"/>
        <v>2026</v>
      </c>
      <c r="R1552" s="6">
        <f t="shared" si="99"/>
        <v>-2321</v>
      </c>
      <c r="S1552" s="16">
        <v>46358</v>
      </c>
    </row>
    <row r="1553" spans="1:19">
      <c r="A1553" s="12">
        <v>46356</v>
      </c>
      <c r="B1553" s="7" t="s">
        <v>26</v>
      </c>
      <c r="C1553" s="7" t="s">
        <v>6</v>
      </c>
      <c r="D1553" s="11"/>
      <c r="E1553" s="15">
        <v>2940</v>
      </c>
      <c r="F1553" s="15" t="s">
        <v>37</v>
      </c>
      <c r="G1553" s="7" t="s">
        <v>92</v>
      </c>
      <c r="H1553" s="10"/>
      <c r="I1553" s="9"/>
      <c r="J1553" s="7" t="s">
        <v>92</v>
      </c>
      <c r="K1553" s="18" t="s">
        <v>34</v>
      </c>
      <c r="L1553" s="8"/>
      <c r="M1553" s="8" t="str">
        <f>IF(C1553="Caixa","-",VLOOKUP(J1553,[1]Estrutura!C:E,3,FALSE))</f>
        <v>4.1</v>
      </c>
      <c r="N1553" s="8"/>
      <c r="O1553" s="7">
        <f t="shared" si="96"/>
        <v>30</v>
      </c>
      <c r="P1553" s="7">
        <f t="shared" si="97"/>
        <v>11</v>
      </c>
      <c r="Q1553" s="7">
        <f t="shared" si="98"/>
        <v>2026</v>
      </c>
      <c r="R1553" s="6">
        <f t="shared" si="99"/>
        <v>-2940</v>
      </c>
      <c r="S1553" s="16">
        <v>46358</v>
      </c>
    </row>
    <row r="1554" spans="1:19">
      <c r="A1554" s="12">
        <v>46356</v>
      </c>
      <c r="B1554" s="7" t="s">
        <v>26</v>
      </c>
      <c r="C1554" s="7" t="s">
        <v>6</v>
      </c>
      <c r="D1554" s="11"/>
      <c r="E1554" s="11">
        <v>933.33333333333337</v>
      </c>
      <c r="F1554" s="15" t="s">
        <v>37</v>
      </c>
      <c r="G1554" s="7" t="s">
        <v>70</v>
      </c>
      <c r="H1554" s="15"/>
      <c r="I1554" s="9"/>
      <c r="J1554" s="8" t="s">
        <v>115</v>
      </c>
      <c r="K1554" s="18" t="s">
        <v>34</v>
      </c>
      <c r="L1554" s="7"/>
      <c r="M1554" s="7" t="str">
        <f>IF(C1554="Caixa","-",VLOOKUP(J1554,[1]Estrutura!C:E,3,FALSE))</f>
        <v>4.1</v>
      </c>
      <c r="N1554" s="7"/>
      <c r="O1554" s="7">
        <f t="shared" si="96"/>
        <v>30</v>
      </c>
      <c r="P1554" s="7">
        <f t="shared" si="97"/>
        <v>11</v>
      </c>
      <c r="Q1554" s="7">
        <f t="shared" si="98"/>
        <v>2026</v>
      </c>
      <c r="R1554" s="6">
        <f t="shared" si="99"/>
        <v>-933.33333333333337</v>
      </c>
      <c r="S1554" s="12">
        <v>46358</v>
      </c>
    </row>
    <row r="1555" spans="1:19">
      <c r="A1555" s="16">
        <v>46356</v>
      </c>
      <c r="B1555" s="7" t="s">
        <v>7</v>
      </c>
      <c r="C1555" s="7" t="s">
        <v>9</v>
      </c>
      <c r="D1555" s="15">
        <v>7741.7099999999991</v>
      </c>
      <c r="E1555" s="15"/>
      <c r="F1555" s="15"/>
      <c r="G1555" s="8" t="s">
        <v>11</v>
      </c>
      <c r="H1555" s="8"/>
      <c r="I1555" s="17"/>
      <c r="J1555" s="8" t="s">
        <v>10</v>
      </c>
      <c r="K1555" s="8"/>
      <c r="L1555" s="8"/>
      <c r="M1555" s="8" t="str">
        <f>IF(C1555="Caixa","-",VLOOKUP(J1555,[1]Estrutura!C:E,3,FALSE))</f>
        <v>1.1</v>
      </c>
      <c r="N1555" s="8"/>
      <c r="O1555" s="7">
        <f t="shared" si="96"/>
        <v>30</v>
      </c>
      <c r="P1555" s="7">
        <f t="shared" si="97"/>
        <v>11</v>
      </c>
      <c r="Q1555" s="7">
        <f t="shared" si="98"/>
        <v>2026</v>
      </c>
      <c r="R1555" s="6">
        <f t="shared" si="99"/>
        <v>7741.7099999999991</v>
      </c>
      <c r="S1555" s="16">
        <v>46358</v>
      </c>
    </row>
    <row r="1556" spans="1:19">
      <c r="A1556" s="12">
        <v>46356</v>
      </c>
      <c r="B1556" s="8" t="s">
        <v>7</v>
      </c>
      <c r="C1556" s="8" t="s">
        <v>2</v>
      </c>
      <c r="D1556" s="15">
        <v>15892.369999998249</v>
      </c>
      <c r="E1556" s="15"/>
      <c r="F1556" s="15"/>
      <c r="G1556" s="8" t="s">
        <v>1</v>
      </c>
      <c r="H1556" s="14"/>
      <c r="I1556" s="13"/>
      <c r="J1556" s="8" t="s">
        <v>0</v>
      </c>
      <c r="K1556" s="7"/>
      <c r="L1556" s="7"/>
      <c r="M1556" s="7" t="str">
        <f>IF(C1556="Caixa","-",VLOOKUP(J1556,[1]Estrutura!C:E,3,FALSE))</f>
        <v>5.1</v>
      </c>
      <c r="N1556" s="7"/>
      <c r="O1556" s="7">
        <f t="shared" si="96"/>
        <v>30</v>
      </c>
      <c r="P1556" s="7">
        <f t="shared" si="97"/>
        <v>11</v>
      </c>
      <c r="Q1556" s="7">
        <f t="shared" si="98"/>
        <v>2026</v>
      </c>
      <c r="R1556" s="6">
        <f t="shared" si="99"/>
        <v>15892.369999998249</v>
      </c>
      <c r="S1556" s="16">
        <v>46359</v>
      </c>
    </row>
    <row r="1557" spans="1:19">
      <c r="A1557" s="12">
        <v>46356</v>
      </c>
      <c r="B1557" s="7" t="s">
        <v>7</v>
      </c>
      <c r="C1557" s="7" t="s">
        <v>6</v>
      </c>
      <c r="D1557" s="11"/>
      <c r="E1557" s="11">
        <v>512.15</v>
      </c>
      <c r="F1557" s="11"/>
      <c r="G1557" s="7" t="s">
        <v>5</v>
      </c>
      <c r="H1557" s="10"/>
      <c r="I1557" s="9"/>
      <c r="J1557" s="7" t="s">
        <v>4</v>
      </c>
      <c r="K1557" s="7"/>
      <c r="L1557" s="8"/>
      <c r="M1557" s="8" t="str">
        <f>IF(C1557="Caixa","-",VLOOKUP(J1557,[1]Estrutura!C:E,3,FALSE))</f>
        <v>5.2</v>
      </c>
      <c r="N1557" s="8"/>
      <c r="O1557" s="7">
        <f t="shared" si="96"/>
        <v>30</v>
      </c>
      <c r="P1557" s="7">
        <f t="shared" si="97"/>
        <v>11</v>
      </c>
      <c r="Q1557" s="7">
        <f t="shared" si="98"/>
        <v>2026</v>
      </c>
      <c r="R1557" s="6">
        <f t="shared" si="99"/>
        <v>-512.15</v>
      </c>
      <c r="S1557" s="16">
        <v>46359</v>
      </c>
    </row>
    <row r="1558" spans="1:19">
      <c r="A1558" s="12">
        <v>46356</v>
      </c>
      <c r="B1558" s="8" t="s">
        <v>7</v>
      </c>
      <c r="C1558" s="8" t="s">
        <v>6</v>
      </c>
      <c r="D1558" s="15"/>
      <c r="E1558" s="15">
        <v>486.42</v>
      </c>
      <c r="F1558" s="15"/>
      <c r="G1558" s="8" t="s">
        <v>5</v>
      </c>
      <c r="H1558" s="14"/>
      <c r="I1558" s="13"/>
      <c r="J1558" s="8" t="s">
        <v>4</v>
      </c>
      <c r="K1558" s="7"/>
      <c r="L1558" s="7"/>
      <c r="M1558" s="7" t="str">
        <f>IF(C1558="Caixa","-",VLOOKUP(J1558,[1]Estrutura!C:E,3,FALSE))</f>
        <v>5.2</v>
      </c>
      <c r="N1558" s="7"/>
      <c r="O1558" s="7">
        <f t="shared" si="96"/>
        <v>30</v>
      </c>
      <c r="P1558" s="7">
        <f t="shared" si="97"/>
        <v>11</v>
      </c>
      <c r="Q1558" s="7">
        <f t="shared" si="98"/>
        <v>2026</v>
      </c>
      <c r="R1558" s="6">
        <f t="shared" si="99"/>
        <v>-486.42</v>
      </c>
      <c r="S1558" s="12">
        <v>46359</v>
      </c>
    </row>
    <row r="1559" spans="1:19">
      <c r="A1559" s="16">
        <v>46356</v>
      </c>
      <c r="B1559" s="8" t="s">
        <v>7</v>
      </c>
      <c r="C1559" s="8" t="s">
        <v>9</v>
      </c>
      <c r="D1559" s="15"/>
      <c r="E1559" s="15">
        <v>1444.22</v>
      </c>
      <c r="F1559" s="15"/>
      <c r="G1559" s="8" t="s">
        <v>8</v>
      </c>
      <c r="H1559" s="14"/>
      <c r="I1559" s="13"/>
      <c r="J1559" s="8" t="s">
        <v>4</v>
      </c>
      <c r="K1559" s="8"/>
      <c r="L1559" s="8"/>
      <c r="M1559" s="8" t="str">
        <f>IF(C1559="Caixa","-",VLOOKUP(J1559,[1]Estrutura!C:E,3,FALSE))</f>
        <v>5.2</v>
      </c>
      <c r="N1559" s="8"/>
      <c r="O1559" s="7">
        <f t="shared" si="96"/>
        <v>30</v>
      </c>
      <c r="P1559" s="7">
        <f t="shared" si="97"/>
        <v>11</v>
      </c>
      <c r="Q1559" s="7">
        <f t="shared" si="98"/>
        <v>2026</v>
      </c>
      <c r="R1559" s="6">
        <f t="shared" si="99"/>
        <v>-1444.22</v>
      </c>
      <c r="S1559" s="16">
        <v>46359</v>
      </c>
    </row>
    <row r="1560" spans="1:19">
      <c r="A1560" s="12">
        <v>46356</v>
      </c>
      <c r="B1560" s="7" t="s">
        <v>3</v>
      </c>
      <c r="C1560" s="7" t="s">
        <v>2</v>
      </c>
      <c r="D1560" s="11">
        <v>7181.359999999986</v>
      </c>
      <c r="E1560" s="11"/>
      <c r="F1560" s="11"/>
      <c r="G1560" s="7" t="s">
        <v>1</v>
      </c>
      <c r="H1560" s="10"/>
      <c r="I1560" s="9"/>
      <c r="J1560" s="7" t="s">
        <v>0</v>
      </c>
      <c r="K1560" s="7"/>
      <c r="L1560" s="7"/>
      <c r="M1560" s="7" t="str">
        <f>IF(C1560="Caixa","-",VLOOKUP(J1560,[1]Estrutura!C:E,3,FALSE))</f>
        <v>5.1</v>
      </c>
      <c r="N1560" s="7"/>
      <c r="O1560" s="7">
        <f t="shared" si="96"/>
        <v>30</v>
      </c>
      <c r="P1560" s="7">
        <f t="shared" si="97"/>
        <v>11</v>
      </c>
      <c r="Q1560" s="7">
        <f t="shared" si="98"/>
        <v>2026</v>
      </c>
      <c r="R1560" s="6">
        <f t="shared" si="99"/>
        <v>7181.359999999986</v>
      </c>
      <c r="S1560" s="12">
        <v>46359</v>
      </c>
    </row>
    <row r="1561" spans="1:19">
      <c r="A1561" s="16">
        <v>46357</v>
      </c>
      <c r="B1561" s="8" t="s">
        <v>122</v>
      </c>
      <c r="C1561" s="8" t="s">
        <v>9</v>
      </c>
      <c r="D1561" s="15"/>
      <c r="E1561" s="15">
        <v>131.68</v>
      </c>
      <c r="F1561" s="15" t="s">
        <v>228</v>
      </c>
      <c r="G1561" s="8" t="s">
        <v>233</v>
      </c>
      <c r="H1561" s="14"/>
      <c r="I1561" s="13"/>
      <c r="J1561" s="8" t="s">
        <v>144</v>
      </c>
      <c r="K1561" s="8"/>
      <c r="L1561" s="8"/>
      <c r="M1561" s="8" t="str">
        <f>IF(C1561="Caixa","-",VLOOKUP(J1561,[1]Estrutura!C:E,3,FALSE))</f>
        <v>4.2</v>
      </c>
      <c r="N1561" s="8"/>
      <c r="O1561" s="7">
        <f t="shared" si="96"/>
        <v>1</v>
      </c>
      <c r="P1561" s="7">
        <f t="shared" si="97"/>
        <v>12</v>
      </c>
      <c r="Q1561" s="7">
        <f t="shared" si="98"/>
        <v>2026</v>
      </c>
      <c r="R1561" s="6">
        <f t="shared" si="99"/>
        <v>-131.68</v>
      </c>
      <c r="S1561" s="16">
        <v>46359</v>
      </c>
    </row>
    <row r="1562" spans="1:19">
      <c r="A1562" s="12">
        <v>46357</v>
      </c>
      <c r="B1562" s="8" t="s">
        <v>122</v>
      </c>
      <c r="C1562" s="7" t="s">
        <v>9</v>
      </c>
      <c r="D1562" s="11"/>
      <c r="E1562" s="11">
        <v>5.73</v>
      </c>
      <c r="F1562" s="11" t="s">
        <v>228</v>
      </c>
      <c r="G1562" s="7" t="s">
        <v>232</v>
      </c>
      <c r="H1562" s="10"/>
      <c r="I1562" s="9"/>
      <c r="J1562" s="7" t="s">
        <v>144</v>
      </c>
      <c r="K1562" s="7"/>
      <c r="L1562" s="7"/>
      <c r="M1562" s="7" t="str">
        <f>IF(C1562="Caixa","-",VLOOKUP(J1562,[1]Estrutura!C:E,3,FALSE))</f>
        <v>4.2</v>
      </c>
      <c r="N1562" s="7"/>
      <c r="O1562" s="7">
        <f t="shared" si="96"/>
        <v>1</v>
      </c>
      <c r="P1562" s="7">
        <f t="shared" si="97"/>
        <v>12</v>
      </c>
      <c r="Q1562" s="7">
        <f t="shared" si="98"/>
        <v>2026</v>
      </c>
      <c r="R1562" s="6">
        <f t="shared" si="99"/>
        <v>-5.73</v>
      </c>
      <c r="S1562" s="12">
        <v>46359</v>
      </c>
    </row>
    <row r="1563" spans="1:19">
      <c r="A1563" s="16">
        <v>46357</v>
      </c>
      <c r="B1563" s="8" t="s">
        <v>122</v>
      </c>
      <c r="C1563" s="8" t="s">
        <v>9</v>
      </c>
      <c r="D1563" s="15"/>
      <c r="E1563" s="15">
        <v>3458.51</v>
      </c>
      <c r="F1563" s="15" t="s">
        <v>228</v>
      </c>
      <c r="G1563" s="8" t="s">
        <v>231</v>
      </c>
      <c r="H1563" s="14"/>
      <c r="I1563" s="13"/>
      <c r="J1563" s="8" t="s">
        <v>144</v>
      </c>
      <c r="K1563" s="8"/>
      <c r="L1563" s="8"/>
      <c r="M1563" s="8" t="str">
        <f>IF(C1563="Caixa","-",VLOOKUP(J1563,[1]Estrutura!C:E,3,FALSE))</f>
        <v>4.2</v>
      </c>
      <c r="N1563" s="8"/>
      <c r="O1563" s="7">
        <f t="shared" si="96"/>
        <v>1</v>
      </c>
      <c r="P1563" s="7">
        <f t="shared" si="97"/>
        <v>12</v>
      </c>
      <c r="Q1563" s="7">
        <f t="shared" si="98"/>
        <v>2026</v>
      </c>
      <c r="R1563" s="6">
        <f t="shared" si="99"/>
        <v>-3458.51</v>
      </c>
      <c r="S1563" s="16">
        <v>46359</v>
      </c>
    </row>
    <row r="1564" spans="1:19">
      <c r="A1564" s="12">
        <v>46357</v>
      </c>
      <c r="B1564" s="8" t="s">
        <v>122</v>
      </c>
      <c r="C1564" s="7" t="s">
        <v>9</v>
      </c>
      <c r="D1564" s="11"/>
      <c r="E1564" s="11">
        <v>140.83000000000001</v>
      </c>
      <c r="F1564" s="11" t="s">
        <v>228</v>
      </c>
      <c r="G1564" s="7" t="s">
        <v>230</v>
      </c>
      <c r="H1564" s="10"/>
      <c r="I1564" s="9"/>
      <c r="J1564" s="7" t="s">
        <v>144</v>
      </c>
      <c r="K1564" s="7"/>
      <c r="L1564" s="7"/>
      <c r="M1564" s="7" t="str">
        <f>IF(C1564="Caixa","-",VLOOKUP(J1564,[1]Estrutura!C:E,3,FALSE))</f>
        <v>4.2</v>
      </c>
      <c r="N1564" s="7"/>
      <c r="O1564" s="7">
        <f t="shared" si="96"/>
        <v>1</v>
      </c>
      <c r="P1564" s="7">
        <f t="shared" si="97"/>
        <v>12</v>
      </c>
      <c r="Q1564" s="7">
        <f t="shared" si="98"/>
        <v>2026</v>
      </c>
      <c r="R1564" s="6">
        <f t="shared" si="99"/>
        <v>-140.83000000000001</v>
      </c>
      <c r="S1564" s="12">
        <v>46359</v>
      </c>
    </row>
    <row r="1565" spans="1:19">
      <c r="A1565" s="16">
        <v>46357</v>
      </c>
      <c r="B1565" s="8" t="s">
        <v>122</v>
      </c>
      <c r="C1565" s="8" t="s">
        <v>9</v>
      </c>
      <c r="D1565" s="15"/>
      <c r="E1565" s="15">
        <v>424.97</v>
      </c>
      <c r="F1565" s="15" t="s">
        <v>228</v>
      </c>
      <c r="G1565" s="8" t="s">
        <v>229</v>
      </c>
      <c r="H1565" s="14"/>
      <c r="I1565" s="13"/>
      <c r="J1565" s="8" t="s">
        <v>144</v>
      </c>
      <c r="K1565" s="8"/>
      <c r="L1565" s="8"/>
      <c r="M1565" s="8" t="str">
        <f>IF(C1565="Caixa","-",VLOOKUP(J1565,[1]Estrutura!C:E,3,FALSE))</f>
        <v>4.2</v>
      </c>
      <c r="N1565" s="8"/>
      <c r="O1565" s="7">
        <f t="shared" si="96"/>
        <v>1</v>
      </c>
      <c r="P1565" s="7">
        <f t="shared" si="97"/>
        <v>12</v>
      </c>
      <c r="Q1565" s="7">
        <f t="shared" si="98"/>
        <v>2026</v>
      </c>
      <c r="R1565" s="6">
        <f t="shared" si="99"/>
        <v>-424.97</v>
      </c>
      <c r="S1565" s="16">
        <v>46359</v>
      </c>
    </row>
    <row r="1566" spans="1:19">
      <c r="A1566" s="12">
        <v>46357</v>
      </c>
      <c r="B1566" s="8" t="s">
        <v>122</v>
      </c>
      <c r="C1566" s="7" t="s">
        <v>9</v>
      </c>
      <c r="D1566" s="11"/>
      <c r="E1566" s="11">
        <v>247.75</v>
      </c>
      <c r="F1566" s="11" t="s">
        <v>228</v>
      </c>
      <c r="G1566" s="7" t="s">
        <v>227</v>
      </c>
      <c r="H1566" s="10"/>
      <c r="I1566" s="9"/>
      <c r="J1566" s="7" t="s">
        <v>144</v>
      </c>
      <c r="K1566" s="7"/>
      <c r="L1566" s="7"/>
      <c r="M1566" s="7" t="str">
        <f>IF(C1566="Caixa","-",VLOOKUP(J1566,[1]Estrutura!C:E,3,FALSE))</f>
        <v>4.2</v>
      </c>
      <c r="N1566" s="7"/>
      <c r="O1566" s="7">
        <f t="shared" si="96"/>
        <v>1</v>
      </c>
      <c r="P1566" s="7">
        <f t="shared" si="97"/>
        <v>12</v>
      </c>
      <c r="Q1566" s="7">
        <f t="shared" si="98"/>
        <v>2026</v>
      </c>
      <c r="R1566" s="6">
        <f t="shared" si="99"/>
        <v>-247.75</v>
      </c>
      <c r="S1566" s="12">
        <v>46359</v>
      </c>
    </row>
    <row r="1567" spans="1:19">
      <c r="A1567" s="16">
        <v>46357</v>
      </c>
      <c r="B1567" s="8" t="s">
        <v>14</v>
      </c>
      <c r="C1567" s="8" t="s">
        <v>9</v>
      </c>
      <c r="D1567" s="15"/>
      <c r="E1567" s="15">
        <v>950</v>
      </c>
      <c r="F1567" s="15" t="s">
        <v>226</v>
      </c>
      <c r="G1567" s="8" t="s">
        <v>225</v>
      </c>
      <c r="H1567" s="14"/>
      <c r="I1567" s="13"/>
      <c r="J1567" s="8" t="s">
        <v>17</v>
      </c>
      <c r="K1567" s="8"/>
      <c r="L1567" s="8"/>
      <c r="M1567" s="8" t="str">
        <f>IF(C1567="Caixa","-",VLOOKUP(J1567,[1]Estrutura!C:E,3,FALSE))</f>
        <v>4.4</v>
      </c>
      <c r="N1567" s="8"/>
      <c r="O1567" s="7">
        <f t="shared" si="96"/>
        <v>1</v>
      </c>
      <c r="P1567" s="7">
        <f t="shared" si="97"/>
        <v>12</v>
      </c>
      <c r="Q1567" s="7">
        <f t="shared" si="98"/>
        <v>2026</v>
      </c>
      <c r="R1567" s="6">
        <f t="shared" si="99"/>
        <v>-950</v>
      </c>
      <c r="S1567" s="16">
        <v>46359</v>
      </c>
    </row>
    <row r="1568" spans="1:19">
      <c r="A1568" s="12">
        <v>46357</v>
      </c>
      <c r="B1568" s="7" t="s">
        <v>26</v>
      </c>
      <c r="C1568" s="7" t="s">
        <v>6</v>
      </c>
      <c r="D1568" s="11"/>
      <c r="E1568" s="11">
        <v>800</v>
      </c>
      <c r="F1568" s="11" t="s">
        <v>223</v>
      </c>
      <c r="G1568" s="7" t="s">
        <v>224</v>
      </c>
      <c r="H1568" s="10"/>
      <c r="I1568" s="9"/>
      <c r="J1568" s="18" t="s">
        <v>201</v>
      </c>
      <c r="K1568" s="7" t="s">
        <v>21</v>
      </c>
      <c r="L1568" s="7"/>
      <c r="M1568" s="7" t="str">
        <f>IF(C1568="Caixa","-",VLOOKUP(J1568,[1]Estrutura!C:E,3,FALSE))</f>
        <v>4.4</v>
      </c>
      <c r="N1568" s="7"/>
      <c r="O1568" s="7">
        <f t="shared" si="96"/>
        <v>1</v>
      </c>
      <c r="P1568" s="7">
        <f t="shared" si="97"/>
        <v>12</v>
      </c>
      <c r="Q1568" s="7">
        <f t="shared" si="98"/>
        <v>2026</v>
      </c>
      <c r="R1568" s="6">
        <f t="shared" si="99"/>
        <v>-800</v>
      </c>
      <c r="S1568" s="12">
        <v>46359</v>
      </c>
    </row>
    <row r="1569" spans="1:19">
      <c r="A1569" s="16">
        <v>46357</v>
      </c>
      <c r="B1569" s="8" t="s">
        <v>26</v>
      </c>
      <c r="C1569" s="8" t="s">
        <v>6</v>
      </c>
      <c r="D1569" s="15"/>
      <c r="E1569" s="15">
        <v>800</v>
      </c>
      <c r="F1569" s="15" t="s">
        <v>223</v>
      </c>
      <c r="G1569" s="8" t="s">
        <v>222</v>
      </c>
      <c r="H1569" s="14"/>
      <c r="I1569" s="13"/>
      <c r="J1569" s="24" t="s">
        <v>201</v>
      </c>
      <c r="K1569" s="8" t="s">
        <v>21</v>
      </c>
      <c r="L1569" s="8"/>
      <c r="M1569" s="8" t="str">
        <f>IF(C1569="Caixa","-",VLOOKUP(J1569,[1]Estrutura!C:E,3,FALSE))</f>
        <v>4.4</v>
      </c>
      <c r="N1569" s="8"/>
      <c r="O1569" s="7">
        <f t="shared" si="96"/>
        <v>1</v>
      </c>
      <c r="P1569" s="7">
        <f t="shared" si="97"/>
        <v>12</v>
      </c>
      <c r="Q1569" s="7">
        <f t="shared" si="98"/>
        <v>2026</v>
      </c>
      <c r="R1569" s="6">
        <f t="shared" si="99"/>
        <v>-800</v>
      </c>
      <c r="S1569" s="12">
        <v>46359</v>
      </c>
    </row>
    <row r="1570" spans="1:19">
      <c r="A1570" s="12">
        <v>46357</v>
      </c>
      <c r="B1570" s="7" t="s">
        <v>26</v>
      </c>
      <c r="C1570" s="7" t="s">
        <v>6</v>
      </c>
      <c r="D1570" s="11"/>
      <c r="E1570" s="11">
        <v>283.32</v>
      </c>
      <c r="F1570" s="11" t="s">
        <v>219</v>
      </c>
      <c r="G1570" s="7" t="s">
        <v>221</v>
      </c>
      <c r="H1570" s="10"/>
      <c r="I1570" s="9"/>
      <c r="J1570" s="7" t="s">
        <v>144</v>
      </c>
      <c r="K1570" s="7" t="s">
        <v>21</v>
      </c>
      <c r="L1570" s="7"/>
      <c r="M1570" s="7" t="str">
        <f>IF(C1570="Caixa","-",VLOOKUP(J1570,[1]Estrutura!C:E,3,FALSE))</f>
        <v>4.2</v>
      </c>
      <c r="N1570" s="7"/>
      <c r="O1570" s="7">
        <f t="shared" si="96"/>
        <v>1</v>
      </c>
      <c r="P1570" s="7">
        <f t="shared" si="97"/>
        <v>12</v>
      </c>
      <c r="Q1570" s="7">
        <f t="shared" si="98"/>
        <v>2026</v>
      </c>
      <c r="R1570" s="6">
        <f t="shared" si="99"/>
        <v>-283.32</v>
      </c>
      <c r="S1570" s="16">
        <v>46359</v>
      </c>
    </row>
    <row r="1571" spans="1:19">
      <c r="A1571" s="16">
        <v>46357</v>
      </c>
      <c r="B1571" s="8" t="s">
        <v>26</v>
      </c>
      <c r="C1571" s="8" t="s">
        <v>6</v>
      </c>
      <c r="D1571" s="15"/>
      <c r="E1571" s="15">
        <v>7515.24</v>
      </c>
      <c r="F1571" s="15" t="s">
        <v>219</v>
      </c>
      <c r="G1571" s="8" t="s">
        <v>220</v>
      </c>
      <c r="H1571" s="14"/>
      <c r="I1571" s="13"/>
      <c r="J1571" s="8" t="s">
        <v>144</v>
      </c>
      <c r="K1571" s="8" t="s">
        <v>21</v>
      </c>
      <c r="L1571" s="8"/>
      <c r="M1571" s="8" t="str">
        <f>IF(C1571="Caixa","-",VLOOKUP(J1571,[1]Estrutura!C:E,3,FALSE))</f>
        <v>4.2</v>
      </c>
      <c r="N1571" s="8"/>
      <c r="O1571" s="7">
        <f t="shared" si="96"/>
        <v>1</v>
      </c>
      <c r="P1571" s="7">
        <f t="shared" si="97"/>
        <v>12</v>
      </c>
      <c r="Q1571" s="7">
        <f t="shared" si="98"/>
        <v>2026</v>
      </c>
      <c r="R1571" s="6">
        <f t="shared" si="99"/>
        <v>-7515.24</v>
      </c>
      <c r="S1571" s="16">
        <v>46359</v>
      </c>
    </row>
    <row r="1572" spans="1:19">
      <c r="A1572" s="12">
        <v>46357</v>
      </c>
      <c r="B1572" s="7" t="s">
        <v>26</v>
      </c>
      <c r="C1572" s="7" t="s">
        <v>6</v>
      </c>
      <c r="D1572" s="11"/>
      <c r="E1572" s="11">
        <v>681.34</v>
      </c>
      <c r="F1572" s="11" t="s">
        <v>219</v>
      </c>
      <c r="G1572" s="7" t="s">
        <v>218</v>
      </c>
      <c r="H1572" s="10"/>
      <c r="I1572" s="9"/>
      <c r="J1572" s="7" t="s">
        <v>144</v>
      </c>
      <c r="K1572" s="7" t="s">
        <v>21</v>
      </c>
      <c r="L1572" s="7"/>
      <c r="M1572" s="7" t="str">
        <f>IF(C1572="Caixa","-",VLOOKUP(J1572,[1]Estrutura!C:E,3,FALSE))</f>
        <v>4.2</v>
      </c>
      <c r="N1572" s="7"/>
      <c r="O1572" s="7">
        <f t="shared" si="96"/>
        <v>1</v>
      </c>
      <c r="P1572" s="7">
        <f t="shared" si="97"/>
        <v>12</v>
      </c>
      <c r="Q1572" s="7">
        <f t="shared" si="98"/>
        <v>2026</v>
      </c>
      <c r="R1572" s="6">
        <f t="shared" si="99"/>
        <v>-681.34</v>
      </c>
      <c r="S1572" s="12">
        <v>46360</v>
      </c>
    </row>
    <row r="1573" spans="1:19">
      <c r="A1573" s="16">
        <v>46358</v>
      </c>
      <c r="B1573" s="8" t="s">
        <v>14</v>
      </c>
      <c r="C1573" s="7" t="s">
        <v>9</v>
      </c>
      <c r="D1573" s="15">
        <v>6457.1</v>
      </c>
      <c r="E1573" s="15"/>
      <c r="F1573" s="15"/>
      <c r="G1573" s="8" t="s">
        <v>11</v>
      </c>
      <c r="H1573" s="8"/>
      <c r="I1573" s="17"/>
      <c r="J1573" s="8" t="s">
        <v>10</v>
      </c>
      <c r="K1573" s="8"/>
      <c r="L1573" s="8"/>
      <c r="M1573" s="8" t="str">
        <f>IF(C1573="Caixa","-",VLOOKUP(J1573,[1]Estrutura!C:E,3,FALSE))</f>
        <v>1.1</v>
      </c>
      <c r="N1573" s="8"/>
      <c r="O1573" s="7">
        <f t="shared" si="96"/>
        <v>2</v>
      </c>
      <c r="P1573" s="7">
        <f t="shared" si="97"/>
        <v>12</v>
      </c>
      <c r="Q1573" s="7">
        <f t="shared" si="98"/>
        <v>2026</v>
      </c>
      <c r="R1573" s="6">
        <f t="shared" si="99"/>
        <v>6457.1</v>
      </c>
      <c r="S1573" s="16">
        <v>46361</v>
      </c>
    </row>
    <row r="1574" spans="1:19">
      <c r="A1574" s="16">
        <v>46358</v>
      </c>
      <c r="B1574" s="8" t="s">
        <v>14</v>
      </c>
      <c r="C1574" s="8" t="s">
        <v>9</v>
      </c>
      <c r="D1574" s="15"/>
      <c r="E1574" s="15">
        <v>35838.239999999998</v>
      </c>
      <c r="F1574" s="15" t="s">
        <v>212</v>
      </c>
      <c r="G1574" s="8" t="s">
        <v>217</v>
      </c>
      <c r="H1574" s="14"/>
      <c r="I1574" s="13"/>
      <c r="J1574" s="21" t="s">
        <v>210</v>
      </c>
      <c r="K1574" s="8"/>
      <c r="L1574" s="7"/>
      <c r="M1574" s="7" t="str">
        <f>IF(C1574="Caixa","-",VLOOKUP(J1574,[1]Estrutura!C:E,3,FALSE))</f>
        <v>4.12</v>
      </c>
      <c r="N1574" s="7"/>
      <c r="O1574" s="7">
        <f t="shared" si="96"/>
        <v>2</v>
      </c>
      <c r="P1574" s="7">
        <f t="shared" si="97"/>
        <v>12</v>
      </c>
      <c r="Q1574" s="7">
        <f t="shared" si="98"/>
        <v>2026</v>
      </c>
      <c r="R1574" s="6">
        <f t="shared" si="99"/>
        <v>-35838.239999999998</v>
      </c>
      <c r="S1574" s="16">
        <v>46361</v>
      </c>
    </row>
    <row r="1575" spans="1:19">
      <c r="A1575" s="12">
        <v>46358</v>
      </c>
      <c r="B1575" s="7" t="s">
        <v>26</v>
      </c>
      <c r="C1575" s="7" t="s">
        <v>6</v>
      </c>
      <c r="D1575" s="11"/>
      <c r="E1575" s="11">
        <v>661.45</v>
      </c>
      <c r="F1575" s="11" t="s">
        <v>32</v>
      </c>
      <c r="G1575" s="7" t="s">
        <v>216</v>
      </c>
      <c r="H1575" s="10"/>
      <c r="I1575" s="9"/>
      <c r="J1575" s="7" t="s">
        <v>95</v>
      </c>
      <c r="K1575" s="7" t="s">
        <v>21</v>
      </c>
      <c r="L1575" s="8"/>
      <c r="M1575" s="8" t="str">
        <f>IF(C1575="Caixa","-",VLOOKUP(J1575,[1]Estrutura!C:E,3,FALSE))</f>
        <v>4.1</v>
      </c>
      <c r="N1575" s="8"/>
      <c r="O1575" s="7">
        <f t="shared" si="96"/>
        <v>2</v>
      </c>
      <c r="P1575" s="7">
        <f t="shared" si="97"/>
        <v>12</v>
      </c>
      <c r="Q1575" s="7">
        <f t="shared" si="98"/>
        <v>2026</v>
      </c>
      <c r="R1575" s="6">
        <f t="shared" si="99"/>
        <v>-661.45</v>
      </c>
      <c r="S1575" s="12">
        <v>46361</v>
      </c>
    </row>
    <row r="1576" spans="1:19">
      <c r="A1576" s="16">
        <v>46358</v>
      </c>
      <c r="B1576" s="7" t="s">
        <v>7</v>
      </c>
      <c r="C1576" s="7" t="s">
        <v>9</v>
      </c>
      <c r="D1576" s="15">
        <v>1194.29</v>
      </c>
      <c r="E1576" s="15"/>
      <c r="F1576" s="15"/>
      <c r="G1576" s="8" t="s">
        <v>11</v>
      </c>
      <c r="H1576" s="8"/>
      <c r="I1576" s="17"/>
      <c r="J1576" s="8" t="s">
        <v>10</v>
      </c>
      <c r="K1576" s="8"/>
      <c r="L1576" s="7"/>
      <c r="M1576" s="7" t="str">
        <f>IF(C1576="Caixa","-",VLOOKUP(J1576,[1]Estrutura!C:E,3,FALSE))</f>
        <v>1.1</v>
      </c>
      <c r="N1576" s="7"/>
      <c r="O1576" s="7">
        <f t="shared" si="96"/>
        <v>2</v>
      </c>
      <c r="P1576" s="7">
        <f t="shared" si="97"/>
        <v>12</v>
      </c>
      <c r="Q1576" s="7">
        <f t="shared" si="98"/>
        <v>2026</v>
      </c>
      <c r="R1576" s="6">
        <f t="shared" si="99"/>
        <v>1194.29</v>
      </c>
      <c r="S1576" s="16">
        <v>46361</v>
      </c>
    </row>
    <row r="1577" spans="1:19">
      <c r="A1577" s="16">
        <v>46359</v>
      </c>
      <c r="B1577" s="8" t="s">
        <v>14</v>
      </c>
      <c r="C1577" s="7" t="s">
        <v>9</v>
      </c>
      <c r="D1577" s="15">
        <v>1593.26</v>
      </c>
      <c r="E1577" s="15"/>
      <c r="F1577" s="15"/>
      <c r="G1577" s="8" t="s">
        <v>11</v>
      </c>
      <c r="H1577" s="8"/>
      <c r="I1577" s="17"/>
      <c r="J1577" s="8" t="s">
        <v>10</v>
      </c>
      <c r="K1577" s="8"/>
      <c r="L1577" s="8"/>
      <c r="M1577" s="8" t="str">
        <f>IF(C1577="Caixa","-",VLOOKUP(J1577,[1]Estrutura!C:E,3,FALSE))</f>
        <v>1.1</v>
      </c>
      <c r="N1577" s="8"/>
      <c r="O1577" s="7">
        <f t="shared" si="96"/>
        <v>3</v>
      </c>
      <c r="P1577" s="7">
        <f t="shared" si="97"/>
        <v>12</v>
      </c>
      <c r="Q1577" s="7">
        <f t="shared" si="98"/>
        <v>2026</v>
      </c>
      <c r="R1577" s="6">
        <f t="shared" si="99"/>
        <v>1593.26</v>
      </c>
      <c r="S1577" s="12">
        <v>46361</v>
      </c>
    </row>
    <row r="1578" spans="1:19">
      <c r="A1578" s="16">
        <v>46359</v>
      </c>
      <c r="B1578" s="8" t="s">
        <v>14</v>
      </c>
      <c r="C1578" s="8" t="s">
        <v>9</v>
      </c>
      <c r="D1578" s="15"/>
      <c r="E1578" s="15">
        <v>4953</v>
      </c>
      <c r="F1578" s="15" t="s">
        <v>146</v>
      </c>
      <c r="G1578" s="8" t="s">
        <v>215</v>
      </c>
      <c r="H1578" s="14"/>
      <c r="I1578" s="13"/>
      <c r="J1578" s="8" t="s">
        <v>144</v>
      </c>
      <c r="K1578" s="8"/>
      <c r="L1578" s="7"/>
      <c r="M1578" s="7" t="str">
        <f>IF(C1578="Caixa","-",VLOOKUP(J1578,[1]Estrutura!C:E,3,FALSE))</f>
        <v>4.2</v>
      </c>
      <c r="N1578" s="7"/>
      <c r="O1578" s="7">
        <f t="shared" si="96"/>
        <v>3</v>
      </c>
      <c r="P1578" s="7">
        <f t="shared" si="97"/>
        <v>12</v>
      </c>
      <c r="Q1578" s="7">
        <f t="shared" si="98"/>
        <v>2026</v>
      </c>
      <c r="R1578" s="6">
        <f t="shared" si="99"/>
        <v>-4953</v>
      </c>
      <c r="S1578" s="16">
        <v>46361</v>
      </c>
    </row>
    <row r="1579" spans="1:19">
      <c r="A1579" s="12">
        <v>46359</v>
      </c>
      <c r="B1579" s="7" t="s">
        <v>14</v>
      </c>
      <c r="C1579" s="7" t="s">
        <v>9</v>
      </c>
      <c r="D1579" s="11"/>
      <c r="E1579" s="15">
        <v>4953</v>
      </c>
      <c r="F1579" s="15" t="s">
        <v>146</v>
      </c>
      <c r="G1579" s="7" t="s">
        <v>214</v>
      </c>
      <c r="H1579" s="10"/>
      <c r="I1579" s="9"/>
      <c r="J1579" s="7" t="s">
        <v>144</v>
      </c>
      <c r="K1579" s="7"/>
      <c r="L1579" s="8"/>
      <c r="M1579" s="8" t="str">
        <f>IF(C1579="Caixa","-",VLOOKUP(J1579,[1]Estrutura!C:E,3,FALSE))</f>
        <v>4.2</v>
      </c>
      <c r="N1579" s="8"/>
      <c r="O1579" s="7">
        <f t="shared" si="96"/>
        <v>3</v>
      </c>
      <c r="P1579" s="7">
        <f t="shared" si="97"/>
        <v>12</v>
      </c>
      <c r="Q1579" s="7">
        <f t="shared" si="98"/>
        <v>2026</v>
      </c>
      <c r="R1579" s="6">
        <f t="shared" si="99"/>
        <v>-4953</v>
      </c>
      <c r="S1579" s="16">
        <v>46361</v>
      </c>
    </row>
    <row r="1580" spans="1:19">
      <c r="A1580" s="16">
        <v>46359</v>
      </c>
      <c r="B1580" s="8" t="s">
        <v>14</v>
      </c>
      <c r="C1580" s="8" t="s">
        <v>9</v>
      </c>
      <c r="D1580" s="15"/>
      <c r="E1580" s="11">
        <v>100</v>
      </c>
      <c r="F1580" s="15" t="s">
        <v>146</v>
      </c>
      <c r="G1580" s="7" t="s">
        <v>213</v>
      </c>
      <c r="H1580" s="10"/>
      <c r="I1580" s="13"/>
      <c r="J1580" s="8" t="s">
        <v>144</v>
      </c>
      <c r="K1580" s="8"/>
      <c r="L1580" s="7"/>
      <c r="M1580" s="7" t="str">
        <f>IF(C1580="Caixa","-",VLOOKUP(J1580,[1]Estrutura!C:E,3,FALSE))</f>
        <v>4.2</v>
      </c>
      <c r="N1580" s="7"/>
      <c r="O1580" s="7">
        <f t="shared" si="96"/>
        <v>3</v>
      </c>
      <c r="P1580" s="7">
        <f t="shared" si="97"/>
        <v>12</v>
      </c>
      <c r="Q1580" s="7">
        <f t="shared" si="98"/>
        <v>2026</v>
      </c>
      <c r="R1580" s="6">
        <f t="shared" si="99"/>
        <v>-100</v>
      </c>
      <c r="S1580" s="16">
        <v>46361</v>
      </c>
    </row>
    <row r="1581" spans="1:19">
      <c r="A1581" s="12">
        <v>46359</v>
      </c>
      <c r="B1581" s="7" t="s">
        <v>14</v>
      </c>
      <c r="C1581" s="7" t="s">
        <v>9</v>
      </c>
      <c r="D1581" s="11"/>
      <c r="E1581" s="15">
        <v>100</v>
      </c>
      <c r="F1581" s="15" t="s">
        <v>146</v>
      </c>
      <c r="G1581" s="8" t="s">
        <v>213</v>
      </c>
      <c r="H1581" s="14"/>
      <c r="I1581" s="9"/>
      <c r="J1581" s="7" t="s">
        <v>144</v>
      </c>
      <c r="K1581" s="7"/>
      <c r="L1581" s="8"/>
      <c r="M1581" s="8" t="str">
        <f>IF(C1581="Caixa","-",VLOOKUP(J1581,[1]Estrutura!C:E,3,FALSE))</f>
        <v>4.2</v>
      </c>
      <c r="N1581" s="8"/>
      <c r="O1581" s="7">
        <f t="shared" si="96"/>
        <v>3</v>
      </c>
      <c r="P1581" s="7">
        <f t="shared" si="97"/>
        <v>12</v>
      </c>
      <c r="Q1581" s="7">
        <f t="shared" si="98"/>
        <v>2026</v>
      </c>
      <c r="R1581" s="6">
        <f t="shared" si="99"/>
        <v>-100</v>
      </c>
      <c r="S1581" s="12">
        <v>46362</v>
      </c>
    </row>
    <row r="1582" spans="1:19">
      <c r="A1582" s="16">
        <v>46359</v>
      </c>
      <c r="B1582" s="8" t="s">
        <v>14</v>
      </c>
      <c r="C1582" s="8" t="s">
        <v>9</v>
      </c>
      <c r="D1582" s="15"/>
      <c r="E1582" s="15">
        <v>35838.239999999998</v>
      </c>
      <c r="F1582" s="15" t="s">
        <v>212</v>
      </c>
      <c r="G1582" s="8" t="s">
        <v>211</v>
      </c>
      <c r="H1582" s="14">
        <v>63900784</v>
      </c>
      <c r="I1582" s="13"/>
      <c r="J1582" s="21" t="s">
        <v>210</v>
      </c>
      <c r="K1582" s="8"/>
      <c r="L1582" s="7"/>
      <c r="M1582" s="7" t="str">
        <f>IF(C1582="Caixa","-",VLOOKUP(J1582,[1]Estrutura!C:E,3,FALSE))</f>
        <v>4.12</v>
      </c>
      <c r="N1582" s="7"/>
      <c r="O1582" s="7">
        <f t="shared" si="96"/>
        <v>3</v>
      </c>
      <c r="P1582" s="7">
        <f t="shared" si="97"/>
        <v>12</v>
      </c>
      <c r="Q1582" s="7">
        <f t="shared" si="98"/>
        <v>2026</v>
      </c>
      <c r="R1582" s="6">
        <f t="shared" si="99"/>
        <v>-35838.239999999998</v>
      </c>
      <c r="S1582" s="16">
        <v>46362</v>
      </c>
    </row>
    <row r="1583" spans="1:19">
      <c r="A1583" s="12">
        <v>46359</v>
      </c>
      <c r="B1583" s="7" t="s">
        <v>14</v>
      </c>
      <c r="C1583" s="7" t="s">
        <v>25</v>
      </c>
      <c r="D1583" s="11"/>
      <c r="E1583" s="11">
        <v>570.83000000000004</v>
      </c>
      <c r="F1583" s="11" t="s">
        <v>125</v>
      </c>
      <c r="G1583" s="7" t="s">
        <v>209</v>
      </c>
      <c r="H1583" s="10"/>
      <c r="I1583" s="9"/>
      <c r="J1583" s="8" t="s">
        <v>99</v>
      </c>
      <c r="K1583" s="7"/>
      <c r="L1583" s="8"/>
      <c r="M1583" s="8" t="str">
        <f>IF(C1583="Caixa","-",VLOOKUP(J1583,[1]Estrutura!C:E,3,FALSE))</f>
        <v>4.3</v>
      </c>
      <c r="N1583" s="8"/>
      <c r="O1583" s="7">
        <f t="shared" si="96"/>
        <v>3</v>
      </c>
      <c r="P1583" s="7">
        <f t="shared" si="97"/>
        <v>12</v>
      </c>
      <c r="Q1583" s="7">
        <f t="shared" si="98"/>
        <v>2026</v>
      </c>
      <c r="R1583" s="6">
        <f t="shared" si="99"/>
        <v>-570.83000000000004</v>
      </c>
      <c r="S1583" s="12">
        <v>46362</v>
      </c>
    </row>
    <row r="1584" spans="1:19">
      <c r="A1584" s="16">
        <v>46359</v>
      </c>
      <c r="B1584" s="8" t="s">
        <v>14</v>
      </c>
      <c r="C1584" s="8" t="s">
        <v>9</v>
      </c>
      <c r="D1584" s="15"/>
      <c r="E1584" s="15">
        <v>213.65</v>
      </c>
      <c r="F1584" s="15" t="s">
        <v>125</v>
      </c>
      <c r="G1584" s="15" t="s">
        <v>208</v>
      </c>
      <c r="H1584" s="14"/>
      <c r="I1584" s="13"/>
      <c r="J1584" s="8" t="s">
        <v>99</v>
      </c>
      <c r="K1584" s="8"/>
      <c r="L1584" s="7"/>
      <c r="M1584" s="7" t="str">
        <f>IF(C1584="Caixa","-",VLOOKUP(J1584,[1]Estrutura!C:E,3,FALSE))</f>
        <v>4.3</v>
      </c>
      <c r="N1584" s="7"/>
      <c r="O1584" s="7">
        <f t="shared" si="96"/>
        <v>3</v>
      </c>
      <c r="P1584" s="7">
        <f t="shared" si="97"/>
        <v>12</v>
      </c>
      <c r="Q1584" s="7">
        <f t="shared" si="98"/>
        <v>2026</v>
      </c>
      <c r="R1584" s="6">
        <f t="shared" si="99"/>
        <v>-213.65</v>
      </c>
      <c r="S1584" s="16">
        <v>46362</v>
      </c>
    </row>
    <row r="1585" spans="1:19">
      <c r="A1585" s="12">
        <v>46359</v>
      </c>
      <c r="B1585" s="7" t="s">
        <v>14</v>
      </c>
      <c r="C1585" s="7" t="s">
        <v>9</v>
      </c>
      <c r="D1585" s="11"/>
      <c r="E1585" s="11">
        <v>67.87</v>
      </c>
      <c r="F1585" s="11" t="s">
        <v>207</v>
      </c>
      <c r="G1585" s="7" t="s">
        <v>206</v>
      </c>
      <c r="H1585" s="10"/>
      <c r="I1585" s="9"/>
      <c r="J1585" s="21" t="s">
        <v>67</v>
      </c>
      <c r="K1585" s="7"/>
      <c r="L1585" s="8"/>
      <c r="M1585" s="8" t="str">
        <f>IF(C1585="Caixa","-",VLOOKUP(J1585,[1]Estrutura!C:E,3,FALSE))</f>
        <v>4.5</v>
      </c>
      <c r="N1585" s="8"/>
      <c r="O1585" s="7">
        <f t="shared" si="96"/>
        <v>3</v>
      </c>
      <c r="P1585" s="7">
        <f t="shared" si="97"/>
        <v>12</v>
      </c>
      <c r="Q1585" s="7">
        <f t="shared" si="98"/>
        <v>2026</v>
      </c>
      <c r="R1585" s="6">
        <f t="shared" si="99"/>
        <v>-67.87</v>
      </c>
      <c r="S1585" s="12">
        <v>46362</v>
      </c>
    </row>
    <row r="1586" spans="1:19">
      <c r="A1586" s="16">
        <v>46359</v>
      </c>
      <c r="B1586" s="8" t="s">
        <v>26</v>
      </c>
      <c r="C1586" s="8" t="s">
        <v>25</v>
      </c>
      <c r="D1586" s="34">
        <v>1518</v>
      </c>
      <c r="E1586" s="15"/>
      <c r="F1586" s="15" t="s">
        <v>95</v>
      </c>
      <c r="G1586" s="15" t="s">
        <v>205</v>
      </c>
      <c r="H1586" s="8"/>
      <c r="I1586" s="14"/>
      <c r="J1586" s="8" t="s">
        <v>107</v>
      </c>
      <c r="K1586" s="8" t="s">
        <v>21</v>
      </c>
      <c r="L1586" s="7"/>
      <c r="M1586" s="7" t="str">
        <f>IF(C1586="Caixa","-",VLOOKUP(J1586,[1]Estrutura!C:E,3,FALSE))</f>
        <v>1.4</v>
      </c>
      <c r="N1586" s="7"/>
      <c r="O1586" s="7">
        <f t="shared" si="96"/>
        <v>3</v>
      </c>
      <c r="P1586" s="7">
        <f t="shared" si="97"/>
        <v>12</v>
      </c>
      <c r="Q1586" s="7">
        <f t="shared" si="98"/>
        <v>2026</v>
      </c>
      <c r="R1586" s="6">
        <f t="shared" si="99"/>
        <v>1518</v>
      </c>
      <c r="S1586" s="16">
        <v>46362</v>
      </c>
    </row>
    <row r="1587" spans="1:19">
      <c r="A1587" s="12">
        <v>46359</v>
      </c>
      <c r="B1587" s="7" t="s">
        <v>26</v>
      </c>
      <c r="C1587" s="7" t="s">
        <v>25</v>
      </c>
      <c r="D1587" s="33">
        <v>6920.56</v>
      </c>
      <c r="E1587" s="11"/>
      <c r="F1587" s="11" t="s">
        <v>95</v>
      </c>
      <c r="G1587" s="11" t="s">
        <v>204</v>
      </c>
      <c r="H1587" s="10"/>
      <c r="I1587" s="10"/>
      <c r="J1587" s="7" t="s">
        <v>107</v>
      </c>
      <c r="K1587" s="7" t="s">
        <v>21</v>
      </c>
      <c r="L1587" s="8"/>
      <c r="M1587" s="8" t="str">
        <f>IF(C1587="Caixa","-",VLOOKUP(J1587,[1]Estrutura!C:E,3,FALSE))</f>
        <v>1.4</v>
      </c>
      <c r="N1587" s="8"/>
      <c r="O1587" s="7">
        <f t="shared" si="96"/>
        <v>3</v>
      </c>
      <c r="P1587" s="7">
        <f t="shared" si="97"/>
        <v>12</v>
      </c>
      <c r="Q1587" s="7">
        <f t="shared" si="98"/>
        <v>2026</v>
      </c>
      <c r="R1587" s="6">
        <f t="shared" si="99"/>
        <v>6920.56</v>
      </c>
      <c r="S1587" s="12">
        <v>46362</v>
      </c>
    </row>
    <row r="1588" spans="1:19">
      <c r="A1588" s="16">
        <v>46359</v>
      </c>
      <c r="B1588" s="8" t="s">
        <v>26</v>
      </c>
      <c r="C1588" s="8" t="s">
        <v>6</v>
      </c>
      <c r="D1588" s="15"/>
      <c r="E1588" s="15">
        <v>1197.47</v>
      </c>
      <c r="F1588" s="15" t="s">
        <v>203</v>
      </c>
      <c r="G1588" s="8" t="s">
        <v>202</v>
      </c>
      <c r="H1588" s="14"/>
      <c r="I1588" s="13"/>
      <c r="J1588" s="8" t="s">
        <v>201</v>
      </c>
      <c r="K1588" s="8" t="s">
        <v>21</v>
      </c>
      <c r="L1588" s="7"/>
      <c r="M1588" s="7" t="str">
        <f>IF(C1588="Caixa","-",VLOOKUP(J1588,[1]Estrutura!C:E,3,FALSE))</f>
        <v>4.4</v>
      </c>
      <c r="N1588" s="7"/>
      <c r="O1588" s="7">
        <f t="shared" si="96"/>
        <v>3</v>
      </c>
      <c r="P1588" s="7">
        <f t="shared" si="97"/>
        <v>12</v>
      </c>
      <c r="Q1588" s="7">
        <f t="shared" si="98"/>
        <v>2026</v>
      </c>
      <c r="R1588" s="6">
        <f t="shared" si="99"/>
        <v>-1197.47</v>
      </c>
      <c r="S1588" s="16">
        <v>46362</v>
      </c>
    </row>
    <row r="1589" spans="1:19">
      <c r="A1589" s="12">
        <v>46359</v>
      </c>
      <c r="B1589" s="8" t="s">
        <v>26</v>
      </c>
      <c r="C1589" s="8" t="s">
        <v>25</v>
      </c>
      <c r="D1589" s="15"/>
      <c r="E1589" s="15">
        <v>86.8</v>
      </c>
      <c r="F1589" s="15"/>
      <c r="G1589" s="8" t="s">
        <v>200</v>
      </c>
      <c r="H1589" s="14"/>
      <c r="I1589" s="13"/>
      <c r="J1589" s="8" t="s">
        <v>4</v>
      </c>
      <c r="K1589" s="7" t="s">
        <v>21</v>
      </c>
      <c r="L1589" s="8"/>
      <c r="M1589" s="8" t="str">
        <f>IF(C1589="Caixa","-",VLOOKUP(J1589,[1]Estrutura!C:E,3,FALSE))</f>
        <v>5.2</v>
      </c>
      <c r="N1589" s="8"/>
      <c r="O1589" s="7">
        <f t="shared" si="96"/>
        <v>3</v>
      </c>
      <c r="P1589" s="7">
        <f t="shared" si="97"/>
        <v>12</v>
      </c>
      <c r="Q1589" s="7">
        <f t="shared" si="98"/>
        <v>2026</v>
      </c>
      <c r="R1589" s="6">
        <f t="shared" si="99"/>
        <v>-86.8</v>
      </c>
      <c r="S1589" s="16">
        <v>46362</v>
      </c>
    </row>
    <row r="1590" spans="1:19">
      <c r="A1590" s="12">
        <v>46359</v>
      </c>
      <c r="B1590" s="7" t="s">
        <v>26</v>
      </c>
      <c r="C1590" s="7" t="s">
        <v>6</v>
      </c>
      <c r="D1590" s="11"/>
      <c r="E1590" s="11">
        <v>1000</v>
      </c>
      <c r="F1590" s="11" t="s">
        <v>199</v>
      </c>
      <c r="G1590" s="7" t="s">
        <v>57</v>
      </c>
      <c r="H1590" s="10"/>
      <c r="I1590" s="9"/>
      <c r="J1590" s="7" t="s">
        <v>56</v>
      </c>
      <c r="K1590" s="7" t="s">
        <v>21</v>
      </c>
      <c r="L1590" s="7"/>
      <c r="M1590" s="7" t="str">
        <f>IF(C1590="Caixa","-",VLOOKUP(J1590,[1]Estrutura!C:E,3,FALSE))</f>
        <v>6.1</v>
      </c>
      <c r="N1590" s="7"/>
      <c r="O1590" s="7">
        <f t="shared" si="96"/>
        <v>3</v>
      </c>
      <c r="P1590" s="7">
        <f t="shared" si="97"/>
        <v>12</v>
      </c>
      <c r="Q1590" s="7">
        <f t="shared" si="98"/>
        <v>2026</v>
      </c>
      <c r="R1590" s="6">
        <f t="shared" si="99"/>
        <v>-1000</v>
      </c>
      <c r="S1590" s="12">
        <v>46363</v>
      </c>
    </row>
    <row r="1591" spans="1:19">
      <c r="A1591" s="16">
        <v>46359</v>
      </c>
      <c r="B1591" s="7" t="s">
        <v>7</v>
      </c>
      <c r="C1591" s="7" t="s">
        <v>9</v>
      </c>
      <c r="D1591" s="15">
        <v>1142.57</v>
      </c>
      <c r="E1591" s="15"/>
      <c r="F1591" s="15"/>
      <c r="G1591" s="8" t="s">
        <v>11</v>
      </c>
      <c r="H1591" s="8"/>
      <c r="I1591" s="17"/>
      <c r="J1591" s="8" t="s">
        <v>10</v>
      </c>
      <c r="K1591" s="8"/>
      <c r="L1591" s="8"/>
      <c r="M1591" s="8" t="str">
        <f>IF(C1591="Caixa","-",VLOOKUP(J1591,[1]Estrutura!C:E,3,FALSE))</f>
        <v>1.1</v>
      </c>
      <c r="N1591" s="8"/>
      <c r="O1591" s="7">
        <f t="shared" si="96"/>
        <v>3</v>
      </c>
      <c r="P1591" s="7">
        <f t="shared" si="97"/>
        <v>12</v>
      </c>
      <c r="Q1591" s="7">
        <f t="shared" si="98"/>
        <v>2026</v>
      </c>
      <c r="R1591" s="6">
        <f t="shared" si="99"/>
        <v>1142.57</v>
      </c>
      <c r="S1591" s="16">
        <v>46363</v>
      </c>
    </row>
    <row r="1592" spans="1:19">
      <c r="A1592" s="16">
        <v>46359</v>
      </c>
      <c r="B1592" s="8" t="s">
        <v>7</v>
      </c>
      <c r="C1592" s="8" t="s">
        <v>9</v>
      </c>
      <c r="D1592" s="15"/>
      <c r="E1592" s="15">
        <v>125.94</v>
      </c>
      <c r="F1592" s="15" t="s">
        <v>198</v>
      </c>
      <c r="G1592" s="15" t="s">
        <v>197</v>
      </c>
      <c r="H1592" s="14"/>
      <c r="I1592" s="13"/>
      <c r="J1592" s="8" t="s">
        <v>196</v>
      </c>
      <c r="K1592" s="8"/>
      <c r="L1592" s="7"/>
      <c r="M1592" s="7" t="str">
        <f>IF(C1592="Caixa","-",VLOOKUP(J1592,[1]Estrutura!C:E,3,FALSE))</f>
        <v>4.3</v>
      </c>
      <c r="N1592" s="7"/>
      <c r="O1592" s="7">
        <f t="shared" si="96"/>
        <v>3</v>
      </c>
      <c r="P1592" s="7">
        <f t="shared" si="97"/>
        <v>12</v>
      </c>
      <c r="Q1592" s="7">
        <f t="shared" si="98"/>
        <v>2026</v>
      </c>
      <c r="R1592" s="6">
        <f t="shared" si="99"/>
        <v>-125.94</v>
      </c>
      <c r="S1592" s="16">
        <v>46363</v>
      </c>
    </row>
    <row r="1593" spans="1:19">
      <c r="A1593" s="12">
        <v>46360</v>
      </c>
      <c r="B1593" s="7" t="s">
        <v>14</v>
      </c>
      <c r="C1593" s="7" t="s">
        <v>9</v>
      </c>
      <c r="D1593" s="11"/>
      <c r="E1593" s="11">
        <v>150</v>
      </c>
      <c r="F1593" s="11" t="s">
        <v>24</v>
      </c>
      <c r="G1593" s="7" t="s">
        <v>195</v>
      </c>
      <c r="H1593" s="10"/>
      <c r="I1593" s="9"/>
      <c r="J1593" s="7" t="s">
        <v>22</v>
      </c>
      <c r="K1593" s="7"/>
      <c r="L1593" s="8"/>
      <c r="M1593" s="8" t="str">
        <f>IF(C1593="Caixa","-",VLOOKUP(J1593,[1]Estrutura!C:E,3,FALSE))</f>
        <v>4.3</v>
      </c>
      <c r="N1593" s="8"/>
      <c r="O1593" s="7">
        <f t="shared" si="96"/>
        <v>4</v>
      </c>
      <c r="P1593" s="7">
        <f t="shared" si="97"/>
        <v>12</v>
      </c>
      <c r="Q1593" s="7">
        <f t="shared" si="98"/>
        <v>2026</v>
      </c>
      <c r="R1593" s="6">
        <f t="shared" si="99"/>
        <v>-150</v>
      </c>
      <c r="S1593" s="16">
        <v>46364</v>
      </c>
    </row>
    <row r="1594" spans="1:19">
      <c r="A1594" s="16">
        <v>46361</v>
      </c>
      <c r="B1594" s="8" t="s">
        <v>14</v>
      </c>
      <c r="C1594" s="7" t="s">
        <v>9</v>
      </c>
      <c r="D1594" s="32">
        <v>4953</v>
      </c>
      <c r="E1594" s="32"/>
      <c r="F1594" s="32"/>
      <c r="G1594" s="8" t="s">
        <v>11</v>
      </c>
      <c r="H1594" s="8"/>
      <c r="I1594" s="17"/>
      <c r="J1594" s="8" t="s">
        <v>10</v>
      </c>
      <c r="K1594" s="8"/>
      <c r="L1594" s="7"/>
      <c r="M1594" s="7" t="str">
        <f>IF(C1594="Caixa","-",VLOOKUP(J1594,[1]Estrutura!C:E,3,FALSE))</f>
        <v>1.1</v>
      </c>
      <c r="N1594" s="7"/>
      <c r="O1594" s="7">
        <f t="shared" si="96"/>
        <v>5</v>
      </c>
      <c r="P1594" s="7">
        <f t="shared" si="97"/>
        <v>12</v>
      </c>
      <c r="Q1594" s="7">
        <f t="shared" si="98"/>
        <v>2026</v>
      </c>
      <c r="R1594" s="6">
        <f t="shared" si="99"/>
        <v>4953</v>
      </c>
      <c r="S1594" s="12">
        <v>46364</v>
      </c>
    </row>
    <row r="1595" spans="1:19">
      <c r="A1595" s="16">
        <v>46361</v>
      </c>
      <c r="B1595" s="8" t="s">
        <v>14</v>
      </c>
      <c r="C1595" s="8" t="s">
        <v>9</v>
      </c>
      <c r="D1595" s="15"/>
      <c r="E1595" s="15">
        <v>204.44</v>
      </c>
      <c r="F1595" s="15" t="s">
        <v>194</v>
      </c>
      <c r="G1595" s="8" t="s">
        <v>193</v>
      </c>
      <c r="H1595" s="14"/>
      <c r="I1595" s="13"/>
      <c r="J1595" s="21" t="s">
        <v>67</v>
      </c>
      <c r="K1595" s="8"/>
      <c r="L1595" s="8"/>
      <c r="M1595" s="8" t="str">
        <f>IF(C1595="Caixa","-",VLOOKUP(J1595,[1]Estrutura!C:E,3,FALSE))</f>
        <v>4.5</v>
      </c>
      <c r="N1595" s="8"/>
      <c r="O1595" s="7">
        <f t="shared" si="96"/>
        <v>5</v>
      </c>
      <c r="P1595" s="7">
        <f t="shared" si="97"/>
        <v>12</v>
      </c>
      <c r="Q1595" s="7">
        <f t="shared" si="98"/>
        <v>2026</v>
      </c>
      <c r="R1595" s="6">
        <f t="shared" si="99"/>
        <v>-204.44</v>
      </c>
      <c r="S1595" s="16">
        <v>46364</v>
      </c>
    </row>
    <row r="1596" spans="1:19">
      <c r="A1596" s="12">
        <v>46361</v>
      </c>
      <c r="B1596" s="7" t="s">
        <v>26</v>
      </c>
      <c r="C1596" s="7" t="s">
        <v>6</v>
      </c>
      <c r="D1596" s="11"/>
      <c r="E1596" s="11">
        <v>3300</v>
      </c>
      <c r="F1596" s="11"/>
      <c r="G1596" s="7" t="s">
        <v>55</v>
      </c>
      <c r="H1596" s="10"/>
      <c r="I1596" s="9"/>
      <c r="J1596" s="7" t="s">
        <v>116</v>
      </c>
      <c r="K1596" s="7" t="s">
        <v>21</v>
      </c>
      <c r="L1596" s="7"/>
      <c r="M1596" s="7" t="str">
        <f>IF(C1596="Caixa","-",VLOOKUP(J1596,[1]Estrutura!C:E,3,FALSE))</f>
        <v>4.12</v>
      </c>
      <c r="N1596" s="7"/>
      <c r="O1596" s="7">
        <f t="shared" si="96"/>
        <v>5</v>
      </c>
      <c r="P1596" s="7">
        <f t="shared" si="97"/>
        <v>12</v>
      </c>
      <c r="Q1596" s="7">
        <f t="shared" si="98"/>
        <v>2026</v>
      </c>
      <c r="R1596" s="6">
        <f t="shared" si="99"/>
        <v>-3300</v>
      </c>
      <c r="S1596" s="16">
        <v>46365</v>
      </c>
    </row>
    <row r="1597" spans="1:19">
      <c r="A1597" s="16">
        <v>46361</v>
      </c>
      <c r="B1597" s="8" t="s">
        <v>26</v>
      </c>
      <c r="C1597" s="8" t="s">
        <v>6</v>
      </c>
      <c r="D1597" s="15"/>
      <c r="E1597" s="15">
        <v>102.68</v>
      </c>
      <c r="F1597" s="15" t="s">
        <v>101</v>
      </c>
      <c r="G1597" s="8" t="s">
        <v>192</v>
      </c>
      <c r="H1597" s="14"/>
      <c r="I1597" s="13"/>
      <c r="J1597" s="8" t="s">
        <v>99</v>
      </c>
      <c r="K1597" s="8" t="s">
        <v>34</v>
      </c>
      <c r="L1597" s="8"/>
      <c r="M1597" s="8" t="str">
        <f>IF(C1597="Caixa","-",VLOOKUP(J1597,[1]Estrutura!C:E,3,FALSE))</f>
        <v>4.3</v>
      </c>
      <c r="N1597" s="8"/>
      <c r="O1597" s="7">
        <f t="shared" si="96"/>
        <v>5</v>
      </c>
      <c r="P1597" s="7">
        <f t="shared" si="97"/>
        <v>12</v>
      </c>
      <c r="Q1597" s="7">
        <f t="shared" si="98"/>
        <v>2026</v>
      </c>
      <c r="R1597" s="6">
        <f t="shared" si="99"/>
        <v>-102.68</v>
      </c>
      <c r="S1597" s="16">
        <v>46365</v>
      </c>
    </row>
    <row r="1598" spans="1:19">
      <c r="A1598" s="12">
        <v>46361</v>
      </c>
      <c r="B1598" s="7" t="s">
        <v>26</v>
      </c>
      <c r="C1598" s="7" t="s">
        <v>25</v>
      </c>
      <c r="D1598" s="11"/>
      <c r="E1598" s="11">
        <v>353.63</v>
      </c>
      <c r="F1598" s="11" t="s">
        <v>101</v>
      </c>
      <c r="G1598" s="7" t="s">
        <v>191</v>
      </c>
      <c r="H1598" s="10"/>
      <c r="I1598" s="9"/>
      <c r="J1598" s="8" t="s">
        <v>99</v>
      </c>
      <c r="K1598" s="7" t="s">
        <v>40</v>
      </c>
      <c r="L1598" s="7"/>
      <c r="M1598" s="7" t="str">
        <f>IF(C1598="Caixa","-",VLOOKUP(J1598,[1]Estrutura!C:E,3,FALSE))</f>
        <v>4.3</v>
      </c>
      <c r="N1598" s="7"/>
      <c r="O1598" s="7">
        <f t="shared" si="96"/>
        <v>5</v>
      </c>
      <c r="P1598" s="7">
        <f t="shared" si="97"/>
        <v>12</v>
      </c>
      <c r="Q1598" s="7">
        <f t="shared" si="98"/>
        <v>2026</v>
      </c>
      <c r="R1598" s="6">
        <f t="shared" si="99"/>
        <v>-353.63</v>
      </c>
      <c r="S1598" s="12">
        <v>46365</v>
      </c>
    </row>
    <row r="1599" spans="1:19">
      <c r="A1599" s="16">
        <v>46361</v>
      </c>
      <c r="B1599" s="8" t="s">
        <v>26</v>
      </c>
      <c r="C1599" s="8" t="s">
        <v>25</v>
      </c>
      <c r="D1599" s="15"/>
      <c r="E1599" s="15">
        <v>165.26</v>
      </c>
      <c r="F1599" s="15" t="s">
        <v>101</v>
      </c>
      <c r="G1599" s="8" t="s">
        <v>190</v>
      </c>
      <c r="H1599" s="14"/>
      <c r="I1599" s="13"/>
      <c r="J1599" s="8" t="s">
        <v>99</v>
      </c>
      <c r="K1599" s="8" t="s">
        <v>34</v>
      </c>
      <c r="L1599" s="8"/>
      <c r="M1599" s="8" t="str">
        <f>IF(C1599="Caixa","-",VLOOKUP(J1599,[1]Estrutura!C:E,3,FALSE))</f>
        <v>4.3</v>
      </c>
      <c r="N1599" s="8"/>
      <c r="O1599" s="7">
        <f t="shared" si="96"/>
        <v>5</v>
      </c>
      <c r="P1599" s="7">
        <f t="shared" si="97"/>
        <v>12</v>
      </c>
      <c r="Q1599" s="7">
        <f t="shared" si="98"/>
        <v>2026</v>
      </c>
      <c r="R1599" s="6">
        <f t="shared" si="99"/>
        <v>-165.26</v>
      </c>
      <c r="S1599" s="16">
        <v>46366</v>
      </c>
    </row>
    <row r="1600" spans="1:19">
      <c r="A1600" s="16">
        <v>46361</v>
      </c>
      <c r="B1600" s="7" t="s">
        <v>7</v>
      </c>
      <c r="C1600" s="7" t="s">
        <v>9</v>
      </c>
      <c r="D1600" s="15">
        <v>1386.9</v>
      </c>
      <c r="E1600" s="15"/>
      <c r="F1600" s="15"/>
      <c r="G1600" s="8" t="s">
        <v>11</v>
      </c>
      <c r="H1600" s="8"/>
      <c r="I1600" s="17"/>
      <c r="J1600" s="8" t="s">
        <v>10</v>
      </c>
      <c r="K1600" s="8"/>
      <c r="L1600" s="7"/>
      <c r="M1600" s="7" t="str">
        <f>IF(C1600="Caixa","-",VLOOKUP(J1600,[1]Estrutura!C:E,3,FALSE))</f>
        <v>1.1</v>
      </c>
      <c r="N1600" s="7"/>
      <c r="O1600" s="7">
        <f t="shared" si="96"/>
        <v>5</v>
      </c>
      <c r="P1600" s="7">
        <f t="shared" si="97"/>
        <v>12</v>
      </c>
      <c r="Q1600" s="7">
        <f t="shared" si="98"/>
        <v>2026</v>
      </c>
      <c r="R1600" s="6">
        <f t="shared" si="99"/>
        <v>1386.9</v>
      </c>
      <c r="S1600" s="16">
        <v>46366</v>
      </c>
    </row>
    <row r="1601" spans="1:19">
      <c r="A1601" s="16">
        <v>46361</v>
      </c>
      <c r="B1601" s="8" t="s">
        <v>7</v>
      </c>
      <c r="C1601" s="8" t="s">
        <v>9</v>
      </c>
      <c r="D1601" s="15"/>
      <c r="E1601" s="15">
        <v>265</v>
      </c>
      <c r="F1601" s="15" t="s">
        <v>152</v>
      </c>
      <c r="G1601" s="7" t="s">
        <v>151</v>
      </c>
      <c r="H1601" s="14"/>
      <c r="I1601" s="13"/>
      <c r="J1601" s="8" t="s">
        <v>150</v>
      </c>
      <c r="K1601" s="8" t="s">
        <v>21</v>
      </c>
      <c r="L1601" s="8"/>
      <c r="M1601" s="8" t="str">
        <f>IF(C1601="Caixa","-",VLOOKUP(J1601,[1]Estrutura!C:E,3,FALSE))</f>
        <v>4.4</v>
      </c>
      <c r="N1601" s="8"/>
      <c r="O1601" s="7">
        <f t="shared" si="96"/>
        <v>5</v>
      </c>
      <c r="P1601" s="7">
        <f t="shared" si="97"/>
        <v>12</v>
      </c>
      <c r="Q1601" s="7">
        <f t="shared" si="98"/>
        <v>2026</v>
      </c>
      <c r="R1601" s="6">
        <f t="shared" si="99"/>
        <v>-265</v>
      </c>
      <c r="S1601" s="12">
        <v>46366</v>
      </c>
    </row>
    <row r="1602" spans="1:19">
      <c r="A1602" s="12">
        <v>46362</v>
      </c>
      <c r="B1602" s="7" t="s">
        <v>122</v>
      </c>
      <c r="C1602" s="7" t="s">
        <v>6</v>
      </c>
      <c r="D1602" s="11"/>
      <c r="E1602" s="11">
        <v>137.22</v>
      </c>
      <c r="F1602" s="15" t="s">
        <v>184</v>
      </c>
      <c r="G1602" s="7" t="s">
        <v>189</v>
      </c>
      <c r="H1602" s="7"/>
      <c r="I1602" s="30"/>
      <c r="J1602" s="7" t="s">
        <v>144</v>
      </c>
      <c r="K1602" s="7"/>
      <c r="L1602" s="7"/>
      <c r="M1602" s="7" t="str">
        <f>IF(C1602="Caixa","-",VLOOKUP(J1602,[1]Estrutura!C:E,3,FALSE))</f>
        <v>4.2</v>
      </c>
      <c r="N1602" s="7"/>
      <c r="O1602" s="7">
        <f t="shared" si="96"/>
        <v>6</v>
      </c>
      <c r="P1602" s="7">
        <f t="shared" si="97"/>
        <v>12</v>
      </c>
      <c r="Q1602" s="7">
        <f t="shared" si="98"/>
        <v>2026</v>
      </c>
      <c r="R1602" s="6">
        <f t="shared" si="99"/>
        <v>-137.22</v>
      </c>
      <c r="S1602" s="16">
        <v>46366</v>
      </c>
    </row>
    <row r="1603" spans="1:19">
      <c r="A1603" s="16">
        <v>46362</v>
      </c>
      <c r="B1603" s="8" t="s">
        <v>122</v>
      </c>
      <c r="C1603" s="8" t="s">
        <v>6</v>
      </c>
      <c r="D1603" s="15"/>
      <c r="E1603" s="15">
        <v>282.07</v>
      </c>
      <c r="F1603" s="15" t="s">
        <v>184</v>
      </c>
      <c r="G1603" s="8" t="s">
        <v>188</v>
      </c>
      <c r="H1603" s="8"/>
      <c r="I1603" s="17"/>
      <c r="J1603" s="8" t="s">
        <v>144</v>
      </c>
      <c r="K1603" s="8"/>
      <c r="L1603" s="8"/>
      <c r="M1603" s="8" t="str">
        <f>IF(C1603="Caixa","-",VLOOKUP(J1603,[1]Estrutura!C:E,3,FALSE))</f>
        <v>4.2</v>
      </c>
      <c r="N1603" s="8"/>
      <c r="O1603" s="7">
        <f t="shared" si="96"/>
        <v>6</v>
      </c>
      <c r="P1603" s="7">
        <f t="shared" si="97"/>
        <v>12</v>
      </c>
      <c r="Q1603" s="7">
        <f t="shared" si="98"/>
        <v>2026</v>
      </c>
      <c r="R1603" s="6">
        <f t="shared" si="99"/>
        <v>-282.07</v>
      </c>
      <c r="S1603" s="12">
        <v>46366</v>
      </c>
    </row>
    <row r="1604" spans="1:19">
      <c r="A1604" s="12">
        <v>46362</v>
      </c>
      <c r="B1604" s="7" t="s">
        <v>122</v>
      </c>
      <c r="C1604" s="7" t="s">
        <v>6</v>
      </c>
      <c r="D1604" s="11"/>
      <c r="E1604" s="15">
        <v>5072.82</v>
      </c>
      <c r="F1604" s="15" t="s">
        <v>184</v>
      </c>
      <c r="G1604" s="7" t="s">
        <v>187</v>
      </c>
      <c r="H1604" s="7"/>
      <c r="I1604" s="30"/>
      <c r="J1604" s="7" t="s">
        <v>144</v>
      </c>
      <c r="K1604" s="7"/>
      <c r="L1604" s="7"/>
      <c r="M1604" s="7" t="str">
        <f>IF(C1604="Caixa","-",VLOOKUP(J1604,[1]Estrutura!C:E,3,FALSE))</f>
        <v>4.2</v>
      </c>
      <c r="N1604" s="7"/>
      <c r="O1604" s="7">
        <f t="shared" si="96"/>
        <v>6</v>
      </c>
      <c r="P1604" s="7">
        <f t="shared" si="97"/>
        <v>12</v>
      </c>
      <c r="Q1604" s="7">
        <f t="shared" si="98"/>
        <v>2026</v>
      </c>
      <c r="R1604" s="6">
        <f t="shared" si="99"/>
        <v>-5072.82</v>
      </c>
      <c r="S1604" s="16">
        <v>46366</v>
      </c>
    </row>
    <row r="1605" spans="1:19">
      <c r="A1605" s="16">
        <v>46362</v>
      </c>
      <c r="B1605" s="8" t="s">
        <v>122</v>
      </c>
      <c r="C1605" s="8" t="s">
        <v>6</v>
      </c>
      <c r="D1605" s="15"/>
      <c r="E1605" s="15">
        <v>200.49</v>
      </c>
      <c r="F1605" s="15" t="s">
        <v>184</v>
      </c>
      <c r="G1605" s="8" t="s">
        <v>186</v>
      </c>
      <c r="H1605" s="8"/>
      <c r="I1605" s="17"/>
      <c r="J1605" s="8" t="s">
        <v>144</v>
      </c>
      <c r="K1605" s="8"/>
      <c r="L1605" s="8"/>
      <c r="M1605" s="8" t="str">
        <f>IF(C1605="Caixa","-",VLOOKUP(J1605,[1]Estrutura!C:E,3,FALSE))</f>
        <v>4.2</v>
      </c>
      <c r="N1605" s="8"/>
      <c r="O1605" s="7">
        <f t="shared" si="96"/>
        <v>6</v>
      </c>
      <c r="P1605" s="7">
        <f t="shared" si="97"/>
        <v>12</v>
      </c>
      <c r="Q1605" s="7">
        <f t="shared" si="98"/>
        <v>2026</v>
      </c>
      <c r="R1605" s="6">
        <f t="shared" si="99"/>
        <v>-200.49</v>
      </c>
      <c r="S1605" s="12">
        <v>46366</v>
      </c>
    </row>
    <row r="1606" spans="1:19">
      <c r="A1606" s="12">
        <v>46362</v>
      </c>
      <c r="B1606" s="7" t="s">
        <v>122</v>
      </c>
      <c r="C1606" s="7" t="s">
        <v>6</v>
      </c>
      <c r="D1606" s="11"/>
      <c r="E1606" s="11">
        <v>233.18</v>
      </c>
      <c r="F1606" s="15" t="s">
        <v>184</v>
      </c>
      <c r="G1606" s="7" t="s">
        <v>185</v>
      </c>
      <c r="H1606" s="7"/>
      <c r="I1606" s="30"/>
      <c r="J1606" s="7" t="s">
        <v>144</v>
      </c>
      <c r="K1606" s="7"/>
      <c r="L1606" s="7"/>
      <c r="M1606" s="7" t="str">
        <f>IF(C1606="Caixa","-",VLOOKUP(J1606,[1]Estrutura!C:E,3,FALSE))</f>
        <v>4.2</v>
      </c>
      <c r="N1606" s="7"/>
      <c r="O1606" s="7">
        <f t="shared" si="96"/>
        <v>6</v>
      </c>
      <c r="P1606" s="7">
        <f t="shared" si="97"/>
        <v>12</v>
      </c>
      <c r="Q1606" s="7">
        <f t="shared" si="98"/>
        <v>2026</v>
      </c>
      <c r="R1606" s="6">
        <f t="shared" si="99"/>
        <v>-233.18</v>
      </c>
      <c r="S1606" s="12">
        <v>46366</v>
      </c>
    </row>
    <row r="1607" spans="1:19">
      <c r="A1607" s="16">
        <v>46362</v>
      </c>
      <c r="B1607" s="8" t="s">
        <v>122</v>
      </c>
      <c r="C1607" s="8" t="s">
        <v>6</v>
      </c>
      <c r="D1607" s="15"/>
      <c r="E1607" s="15">
        <v>200.49</v>
      </c>
      <c r="F1607" s="15" t="s">
        <v>184</v>
      </c>
      <c r="G1607" s="8" t="s">
        <v>183</v>
      </c>
      <c r="H1607" s="8"/>
      <c r="I1607" s="17"/>
      <c r="J1607" s="8" t="s">
        <v>144</v>
      </c>
      <c r="K1607" s="8"/>
      <c r="L1607" s="8"/>
      <c r="M1607" s="8" t="str">
        <f>IF(C1607="Caixa","-",VLOOKUP(J1607,[1]Estrutura!C:E,3,FALSE))</f>
        <v>4.2</v>
      </c>
      <c r="N1607" s="8"/>
      <c r="O1607" s="7">
        <f t="shared" si="96"/>
        <v>6</v>
      </c>
      <c r="P1607" s="7">
        <f t="shared" si="97"/>
        <v>12</v>
      </c>
      <c r="Q1607" s="7">
        <f t="shared" si="98"/>
        <v>2026</v>
      </c>
      <c r="R1607" s="6">
        <f t="shared" si="99"/>
        <v>-200.49</v>
      </c>
      <c r="S1607" s="16">
        <v>46366</v>
      </c>
    </row>
    <row r="1608" spans="1:19">
      <c r="A1608" s="12">
        <v>46362</v>
      </c>
      <c r="B1608" s="7" t="s">
        <v>122</v>
      </c>
      <c r="C1608" s="7" t="s">
        <v>6</v>
      </c>
      <c r="D1608" s="11"/>
      <c r="E1608" s="11">
        <v>310.05</v>
      </c>
      <c r="F1608" s="11" t="s">
        <v>125</v>
      </c>
      <c r="G1608" s="7" t="s">
        <v>182</v>
      </c>
      <c r="H1608" s="10"/>
      <c r="I1608" s="9"/>
      <c r="J1608" s="8" t="s">
        <v>99</v>
      </c>
      <c r="K1608" s="7"/>
      <c r="L1608" s="7"/>
      <c r="M1608" s="7" t="str">
        <f>IF(C1608="Caixa","-",VLOOKUP(J1608,[1]Estrutura!C:E,3,FALSE))</f>
        <v>4.3</v>
      </c>
      <c r="N1608" s="7"/>
      <c r="O1608" s="7">
        <f t="shared" si="96"/>
        <v>6</v>
      </c>
      <c r="P1608" s="7">
        <f t="shared" si="97"/>
        <v>12</v>
      </c>
      <c r="Q1608" s="7">
        <f t="shared" si="98"/>
        <v>2026</v>
      </c>
      <c r="R1608" s="6">
        <f t="shared" si="99"/>
        <v>-310.05</v>
      </c>
      <c r="S1608" s="12">
        <v>46366</v>
      </c>
    </row>
    <row r="1609" spans="1:19">
      <c r="A1609" s="16">
        <v>46362</v>
      </c>
      <c r="B1609" s="8" t="s">
        <v>14</v>
      </c>
      <c r="C1609" s="8" t="s">
        <v>9</v>
      </c>
      <c r="D1609" s="15">
        <v>9751.4500000000007</v>
      </c>
      <c r="E1609" s="15"/>
      <c r="F1609" s="15" t="s">
        <v>181</v>
      </c>
      <c r="G1609" s="8" t="s">
        <v>180</v>
      </c>
      <c r="H1609" s="14"/>
      <c r="I1609" s="13"/>
      <c r="J1609" s="8" t="s">
        <v>179</v>
      </c>
      <c r="K1609" s="8"/>
      <c r="L1609" s="8"/>
      <c r="M1609" s="8" t="str">
        <f>IF(C1609="Caixa","-",VLOOKUP(J1609,[1]Estrutura!C:E,3,FALSE))</f>
        <v>1.2</v>
      </c>
      <c r="N1609" s="8"/>
      <c r="O1609" s="7">
        <f t="shared" si="96"/>
        <v>6</v>
      </c>
      <c r="P1609" s="7">
        <f t="shared" si="97"/>
        <v>12</v>
      </c>
      <c r="Q1609" s="7">
        <f t="shared" si="98"/>
        <v>2026</v>
      </c>
      <c r="R1609" s="6">
        <f t="shared" si="99"/>
        <v>9751.4500000000007</v>
      </c>
      <c r="S1609" s="16">
        <v>46366</v>
      </c>
    </row>
    <row r="1610" spans="1:19">
      <c r="A1610" s="16">
        <v>46362</v>
      </c>
      <c r="B1610" s="7" t="s">
        <v>7</v>
      </c>
      <c r="C1610" s="7" t="s">
        <v>9</v>
      </c>
      <c r="D1610" s="15">
        <v>6640.24</v>
      </c>
      <c r="E1610" s="15"/>
      <c r="F1610" s="15"/>
      <c r="G1610" s="8" t="s">
        <v>11</v>
      </c>
      <c r="H1610" s="8"/>
      <c r="I1610" s="17"/>
      <c r="J1610" s="8" t="s">
        <v>10</v>
      </c>
      <c r="K1610" s="8"/>
      <c r="L1610" s="7"/>
      <c r="M1610" s="7" t="str">
        <f>IF(C1610="Caixa","-",VLOOKUP(J1610,[1]Estrutura!C:E,3,FALSE))</f>
        <v>1.1</v>
      </c>
      <c r="N1610" s="7"/>
      <c r="O1610" s="7">
        <f t="shared" si="96"/>
        <v>6</v>
      </c>
      <c r="P1610" s="7">
        <f t="shared" si="97"/>
        <v>12</v>
      </c>
      <c r="Q1610" s="7">
        <f t="shared" si="98"/>
        <v>2026</v>
      </c>
      <c r="R1610" s="6">
        <f t="shared" si="99"/>
        <v>6640.24</v>
      </c>
      <c r="S1610" s="12">
        <v>46366</v>
      </c>
    </row>
    <row r="1611" spans="1:19">
      <c r="A1611" s="12">
        <v>46363</v>
      </c>
      <c r="B1611" s="7" t="s">
        <v>14</v>
      </c>
      <c r="C1611" s="7" t="s">
        <v>9</v>
      </c>
      <c r="D1611" s="11"/>
      <c r="E1611" s="11">
        <v>774.44</v>
      </c>
      <c r="F1611" s="11" t="s">
        <v>178</v>
      </c>
      <c r="G1611" s="7" t="s">
        <v>178</v>
      </c>
      <c r="H1611" s="10"/>
      <c r="I1611" s="9"/>
      <c r="J1611" s="7" t="s">
        <v>178</v>
      </c>
      <c r="K1611" s="7"/>
      <c r="L1611" s="8"/>
      <c r="M1611" s="8" t="str">
        <f>IF(C1611="Caixa","-",VLOOKUP(J1611,[1]Estrutura!C:E,3,FALSE))</f>
        <v>4.1</v>
      </c>
      <c r="N1611" s="8"/>
      <c r="O1611" s="7">
        <f t="shared" si="96"/>
        <v>7</v>
      </c>
      <c r="P1611" s="7">
        <f t="shared" si="97"/>
        <v>12</v>
      </c>
      <c r="Q1611" s="7">
        <f t="shared" si="98"/>
        <v>2026</v>
      </c>
      <c r="R1611" s="6">
        <f t="shared" si="99"/>
        <v>-774.44</v>
      </c>
      <c r="S1611" s="16">
        <v>46366</v>
      </c>
    </row>
    <row r="1612" spans="1:19">
      <c r="A1612" s="16">
        <v>46363</v>
      </c>
      <c r="B1612" s="8" t="s">
        <v>26</v>
      </c>
      <c r="C1612" s="8" t="s">
        <v>6</v>
      </c>
      <c r="D1612" s="15"/>
      <c r="E1612" s="15">
        <v>1719.55</v>
      </c>
      <c r="F1612" s="15" t="s">
        <v>178</v>
      </c>
      <c r="G1612" s="8" t="s">
        <v>178</v>
      </c>
      <c r="H1612" s="14"/>
      <c r="I1612" s="13"/>
      <c r="J1612" s="8" t="s">
        <v>178</v>
      </c>
      <c r="K1612" s="8" t="s">
        <v>21</v>
      </c>
      <c r="L1612" s="7"/>
      <c r="M1612" s="7" t="str">
        <f>IF(C1612="Caixa","-",VLOOKUP(J1612,[1]Estrutura!C:E,3,FALSE))</f>
        <v>4.1</v>
      </c>
      <c r="N1612" s="7"/>
      <c r="O1612" s="7">
        <f t="shared" si="96"/>
        <v>7</v>
      </c>
      <c r="P1612" s="7">
        <f t="shared" si="97"/>
        <v>12</v>
      </c>
      <c r="Q1612" s="7">
        <f t="shared" si="98"/>
        <v>2026</v>
      </c>
      <c r="R1612" s="6">
        <f t="shared" si="99"/>
        <v>-1719.55</v>
      </c>
      <c r="S1612" s="16">
        <v>46366</v>
      </c>
    </row>
    <row r="1613" spans="1:19">
      <c r="A1613" s="16">
        <v>46363</v>
      </c>
      <c r="B1613" s="7" t="s">
        <v>7</v>
      </c>
      <c r="C1613" s="7" t="s">
        <v>9</v>
      </c>
      <c r="D1613" s="15">
        <v>1248.33</v>
      </c>
      <c r="E1613" s="15"/>
      <c r="F1613" s="15"/>
      <c r="G1613" s="8" t="s">
        <v>11</v>
      </c>
      <c r="H1613" s="8"/>
      <c r="I1613" s="17"/>
      <c r="J1613" s="8" t="s">
        <v>10</v>
      </c>
      <c r="K1613" s="8"/>
      <c r="L1613" s="8"/>
      <c r="M1613" s="8" t="str">
        <f>IF(C1613="Caixa","-",VLOOKUP(J1613,[1]Estrutura!C:E,3,FALSE))</f>
        <v>1.1</v>
      </c>
      <c r="N1613" s="8"/>
      <c r="O1613" s="7">
        <f t="shared" si="96"/>
        <v>7</v>
      </c>
      <c r="P1613" s="7">
        <f t="shared" si="97"/>
        <v>12</v>
      </c>
      <c r="Q1613" s="7">
        <f t="shared" si="98"/>
        <v>2026</v>
      </c>
      <c r="R1613" s="6">
        <f t="shared" si="99"/>
        <v>1248.33</v>
      </c>
      <c r="S1613" s="16">
        <v>46366</v>
      </c>
    </row>
    <row r="1614" spans="1:19">
      <c r="A1614" s="16">
        <v>46364</v>
      </c>
      <c r="B1614" s="8" t="s">
        <v>14</v>
      </c>
      <c r="C1614" s="7" t="s">
        <v>9</v>
      </c>
      <c r="D1614" s="15">
        <v>1273.52</v>
      </c>
      <c r="E1614" s="15"/>
      <c r="F1614" s="15"/>
      <c r="G1614" s="8" t="s">
        <v>11</v>
      </c>
      <c r="H1614" s="8"/>
      <c r="I1614" s="17"/>
      <c r="J1614" s="8" t="s">
        <v>10</v>
      </c>
      <c r="K1614" s="8"/>
      <c r="L1614" s="7"/>
      <c r="M1614" s="7" t="str">
        <f>IF(C1614="Caixa","-",VLOOKUP(J1614,[1]Estrutura!C:E,3,FALSE))</f>
        <v>1.1</v>
      </c>
      <c r="N1614" s="7"/>
      <c r="O1614" s="7">
        <f t="shared" ref="O1614:O1677" si="100">DAY(A1614)</f>
        <v>8</v>
      </c>
      <c r="P1614" s="7">
        <f t="shared" ref="P1614:P1677" si="101">MONTH(A1614)</f>
        <v>12</v>
      </c>
      <c r="Q1614" s="7">
        <f t="shared" ref="Q1614:Q1677" si="102">YEAR(A1614)</f>
        <v>2026</v>
      </c>
      <c r="R1614" s="6">
        <f t="shared" ref="R1614:R1677" si="103">D1614-E1614</f>
        <v>1273.52</v>
      </c>
      <c r="S1614" s="16">
        <v>46366</v>
      </c>
    </row>
    <row r="1615" spans="1:19">
      <c r="A1615" s="12">
        <v>46364</v>
      </c>
      <c r="B1615" s="7" t="s">
        <v>14</v>
      </c>
      <c r="C1615" s="7" t="s">
        <v>9</v>
      </c>
      <c r="D1615" s="11"/>
      <c r="E1615" s="11">
        <v>410</v>
      </c>
      <c r="F1615" s="11" t="s">
        <v>177</v>
      </c>
      <c r="G1615" s="7" t="s">
        <v>176</v>
      </c>
      <c r="H1615" s="10"/>
      <c r="I1615" s="9"/>
      <c r="J1615" s="7" t="s">
        <v>22</v>
      </c>
      <c r="K1615" s="7"/>
      <c r="L1615" s="8"/>
      <c r="M1615" s="8" t="str">
        <f>IF(C1615="Caixa","-",VLOOKUP(J1615,[1]Estrutura!C:E,3,FALSE))</f>
        <v>4.3</v>
      </c>
      <c r="N1615" s="8"/>
      <c r="O1615" s="7">
        <f t="shared" si="100"/>
        <v>8</v>
      </c>
      <c r="P1615" s="7">
        <f t="shared" si="101"/>
        <v>12</v>
      </c>
      <c r="Q1615" s="7">
        <f t="shared" si="102"/>
        <v>2026</v>
      </c>
      <c r="R1615" s="6">
        <f t="shared" si="103"/>
        <v>-410</v>
      </c>
      <c r="S1615" s="16">
        <v>46366</v>
      </c>
    </row>
    <row r="1616" spans="1:19">
      <c r="A1616" s="16">
        <v>46364</v>
      </c>
      <c r="B1616" s="7" t="s">
        <v>7</v>
      </c>
      <c r="C1616" s="7" t="s">
        <v>9</v>
      </c>
      <c r="D1616" s="15">
        <v>911.88</v>
      </c>
      <c r="E1616" s="15"/>
      <c r="F1616" s="15"/>
      <c r="G1616" s="8" t="s">
        <v>11</v>
      </c>
      <c r="H1616" s="8"/>
      <c r="I1616" s="17"/>
      <c r="J1616" s="8" t="s">
        <v>10</v>
      </c>
      <c r="K1616" s="8"/>
      <c r="L1616" s="7"/>
      <c r="M1616" s="7" t="str">
        <f>IF(C1616="Caixa","-",VLOOKUP(J1616,[1]Estrutura!C:E,3,FALSE))</f>
        <v>1.1</v>
      </c>
      <c r="N1616" s="7"/>
      <c r="O1616" s="7">
        <f t="shared" si="100"/>
        <v>8</v>
      </c>
      <c r="P1616" s="7">
        <f t="shared" si="101"/>
        <v>12</v>
      </c>
      <c r="Q1616" s="7">
        <f t="shared" si="102"/>
        <v>2026</v>
      </c>
      <c r="R1616" s="6">
        <f t="shared" si="103"/>
        <v>911.88</v>
      </c>
      <c r="S1616" s="16">
        <v>46367</v>
      </c>
    </row>
    <row r="1617" spans="1:19">
      <c r="A1617" s="16">
        <v>46365</v>
      </c>
      <c r="B1617" s="8" t="s">
        <v>26</v>
      </c>
      <c r="C1617" s="8" t="s">
        <v>6</v>
      </c>
      <c r="D1617" s="15">
        <v>150000</v>
      </c>
      <c r="E1617" s="15"/>
      <c r="F1617" s="11" t="s">
        <v>148</v>
      </c>
      <c r="G1617" s="8" t="s">
        <v>129</v>
      </c>
      <c r="H1617" s="14"/>
      <c r="I1617" s="13"/>
      <c r="J1617" s="8" t="s">
        <v>128</v>
      </c>
      <c r="K1617" s="8" t="s">
        <v>21</v>
      </c>
      <c r="L1617" s="8"/>
      <c r="M1617" s="8" t="str">
        <f>IF(C1617="Caixa","-",VLOOKUP(J1617,[1]Estrutura!C:E,3,FALSE))</f>
        <v>9.1</v>
      </c>
      <c r="N1617" s="8"/>
      <c r="O1617" s="7">
        <f t="shared" si="100"/>
        <v>9</v>
      </c>
      <c r="P1617" s="7">
        <f t="shared" si="101"/>
        <v>12</v>
      </c>
      <c r="Q1617" s="7">
        <f t="shared" si="102"/>
        <v>2026</v>
      </c>
      <c r="R1617" s="6">
        <f t="shared" si="103"/>
        <v>150000</v>
      </c>
      <c r="S1617" s="16">
        <v>46367</v>
      </c>
    </row>
    <row r="1618" spans="1:19">
      <c r="A1618" s="16">
        <v>46365</v>
      </c>
      <c r="B1618" s="8" t="s">
        <v>7</v>
      </c>
      <c r="C1618" s="8" t="s">
        <v>9</v>
      </c>
      <c r="D1618" s="15"/>
      <c r="E1618" s="15">
        <v>970.89</v>
      </c>
      <c r="F1618" s="15" t="s">
        <v>175</v>
      </c>
      <c r="G1618" s="8" t="s">
        <v>174</v>
      </c>
      <c r="H1618" s="14"/>
      <c r="I1618" s="13"/>
      <c r="J1618" s="8" t="s">
        <v>173</v>
      </c>
      <c r="K1618" s="8"/>
      <c r="L1618" s="7"/>
      <c r="M1618" s="7" t="str">
        <f>IF(C1618="Caixa","-",VLOOKUP(J1618,[1]Estrutura!C:E,3,FALSE))</f>
        <v>4.3</v>
      </c>
      <c r="N1618" s="7"/>
      <c r="O1618" s="7">
        <f t="shared" si="100"/>
        <v>9</v>
      </c>
      <c r="P1618" s="7">
        <f t="shared" si="101"/>
        <v>12</v>
      </c>
      <c r="Q1618" s="7">
        <f t="shared" si="102"/>
        <v>2026</v>
      </c>
      <c r="R1618" s="6">
        <f t="shared" si="103"/>
        <v>-970.89</v>
      </c>
      <c r="S1618" s="16">
        <v>46368</v>
      </c>
    </row>
    <row r="1619" spans="1:19">
      <c r="A1619" s="12">
        <v>46365</v>
      </c>
      <c r="B1619" s="8" t="s">
        <v>7</v>
      </c>
      <c r="C1619" s="8" t="s">
        <v>9</v>
      </c>
      <c r="D1619" s="15"/>
      <c r="E1619" s="15">
        <v>150000</v>
      </c>
      <c r="F1619" s="15" t="s">
        <v>76</v>
      </c>
      <c r="G1619" s="8" t="s">
        <v>129</v>
      </c>
      <c r="H1619" s="14"/>
      <c r="I1619" s="13"/>
      <c r="J1619" s="8" t="s">
        <v>128</v>
      </c>
      <c r="K1619" s="8"/>
      <c r="L1619" s="8"/>
      <c r="M1619" s="8" t="str">
        <f>IF(C1619="Caixa","-",VLOOKUP(J1619,[1]Estrutura!C:E,3,FALSE))</f>
        <v>9.1</v>
      </c>
      <c r="N1619" s="8"/>
      <c r="O1619" s="7">
        <f t="shared" si="100"/>
        <v>9</v>
      </c>
      <c r="P1619" s="7">
        <f t="shared" si="101"/>
        <v>12</v>
      </c>
      <c r="Q1619" s="7">
        <f t="shared" si="102"/>
        <v>2026</v>
      </c>
      <c r="R1619" s="6">
        <f t="shared" si="103"/>
        <v>-150000</v>
      </c>
      <c r="S1619" s="12">
        <v>46368</v>
      </c>
    </row>
    <row r="1620" spans="1:19">
      <c r="A1620" s="16">
        <v>46366</v>
      </c>
      <c r="B1620" s="8" t="s">
        <v>14</v>
      </c>
      <c r="C1620" s="7" t="s">
        <v>9</v>
      </c>
      <c r="D1620" s="15">
        <v>5286.0999999999995</v>
      </c>
      <c r="E1620" s="15"/>
      <c r="F1620" s="15"/>
      <c r="G1620" s="8" t="s">
        <v>11</v>
      </c>
      <c r="H1620" s="8"/>
      <c r="I1620" s="17"/>
      <c r="J1620" s="8" t="s">
        <v>10</v>
      </c>
      <c r="K1620" s="8"/>
      <c r="L1620" s="7"/>
      <c r="M1620" s="7" t="str">
        <f>IF(C1620="Caixa","-",VLOOKUP(J1620,[1]Estrutura!C:E,3,FALSE))</f>
        <v>1.1</v>
      </c>
      <c r="N1620" s="7"/>
      <c r="O1620" s="7">
        <f t="shared" si="100"/>
        <v>10</v>
      </c>
      <c r="P1620" s="7">
        <f t="shared" si="101"/>
        <v>12</v>
      </c>
      <c r="Q1620" s="7">
        <f t="shared" si="102"/>
        <v>2026</v>
      </c>
      <c r="R1620" s="6">
        <f t="shared" si="103"/>
        <v>5286.0999999999995</v>
      </c>
      <c r="S1620" s="16">
        <v>46368</v>
      </c>
    </row>
    <row r="1621" spans="1:19">
      <c r="A1621" s="16">
        <v>46366</v>
      </c>
      <c r="B1621" s="7" t="s">
        <v>14</v>
      </c>
      <c r="C1621" s="7" t="s">
        <v>9</v>
      </c>
      <c r="D1621" s="11">
        <v>200000</v>
      </c>
      <c r="E1621" s="11"/>
      <c r="F1621" s="11" t="s">
        <v>148</v>
      </c>
      <c r="G1621" s="8" t="s">
        <v>129</v>
      </c>
      <c r="H1621" s="10"/>
      <c r="I1621" s="9"/>
      <c r="J1621" s="7" t="s">
        <v>128</v>
      </c>
      <c r="K1621" s="7"/>
      <c r="L1621" s="8"/>
      <c r="M1621" s="8" t="str">
        <f>IF(C1621="Caixa","-",VLOOKUP(J1621,[1]Estrutura!C:E,3,FALSE))</f>
        <v>9.1</v>
      </c>
      <c r="N1621" s="8"/>
      <c r="O1621" s="7">
        <f t="shared" si="100"/>
        <v>10</v>
      </c>
      <c r="P1621" s="7">
        <f t="shared" si="101"/>
        <v>12</v>
      </c>
      <c r="Q1621" s="7">
        <f t="shared" si="102"/>
        <v>2026</v>
      </c>
      <c r="R1621" s="6">
        <f t="shared" si="103"/>
        <v>200000</v>
      </c>
      <c r="S1621" s="12">
        <v>46368</v>
      </c>
    </row>
    <row r="1622" spans="1:19">
      <c r="A1622" s="12">
        <v>46366</v>
      </c>
      <c r="B1622" s="7" t="s">
        <v>14</v>
      </c>
      <c r="C1622" s="7" t="s">
        <v>9</v>
      </c>
      <c r="D1622" s="11"/>
      <c r="E1622" s="11">
        <v>1085.6300000000001</v>
      </c>
      <c r="F1622" s="11" t="s">
        <v>171</v>
      </c>
      <c r="G1622" s="11" t="s">
        <v>172</v>
      </c>
      <c r="H1622" s="10"/>
      <c r="I1622" s="9"/>
      <c r="J1622" s="7" t="s">
        <v>150</v>
      </c>
      <c r="K1622" s="7"/>
      <c r="L1622" s="7"/>
      <c r="M1622" s="7" t="str">
        <f>IF(C1622="Caixa","-",VLOOKUP(J1622,[1]Estrutura!C:E,3,FALSE))</f>
        <v>4.4</v>
      </c>
      <c r="N1622" s="7"/>
      <c r="O1622" s="7">
        <f t="shared" si="100"/>
        <v>10</v>
      </c>
      <c r="P1622" s="7">
        <f t="shared" si="101"/>
        <v>12</v>
      </c>
      <c r="Q1622" s="7">
        <f t="shared" si="102"/>
        <v>2026</v>
      </c>
      <c r="R1622" s="6">
        <f t="shared" si="103"/>
        <v>-1085.6300000000001</v>
      </c>
      <c r="S1622" s="26">
        <v>46368</v>
      </c>
    </row>
    <row r="1623" spans="1:19">
      <c r="A1623" s="16">
        <v>46366</v>
      </c>
      <c r="B1623" s="8" t="s">
        <v>14</v>
      </c>
      <c r="C1623" s="8" t="s">
        <v>9</v>
      </c>
      <c r="D1623" s="15"/>
      <c r="E1623" s="15">
        <v>1060.9000000000001</v>
      </c>
      <c r="F1623" s="15" t="s">
        <v>171</v>
      </c>
      <c r="G1623" s="8" t="s">
        <v>170</v>
      </c>
      <c r="H1623" s="14"/>
      <c r="I1623" s="13"/>
      <c r="J1623" s="8" t="s">
        <v>150</v>
      </c>
      <c r="K1623" s="8"/>
      <c r="L1623" s="8"/>
      <c r="M1623" s="8" t="str">
        <f>IF(C1623="Caixa","-",VLOOKUP(J1623,[1]Estrutura!C:E,3,FALSE))</f>
        <v>4.4</v>
      </c>
      <c r="N1623" s="8"/>
      <c r="O1623" s="7">
        <f t="shared" si="100"/>
        <v>10</v>
      </c>
      <c r="P1623" s="7">
        <f t="shared" si="101"/>
        <v>12</v>
      </c>
      <c r="Q1623" s="7">
        <f t="shared" si="102"/>
        <v>2026</v>
      </c>
      <c r="R1623" s="6">
        <f t="shared" si="103"/>
        <v>-1060.9000000000001</v>
      </c>
      <c r="S1623" s="16">
        <v>46368</v>
      </c>
    </row>
    <row r="1624" spans="1:19">
      <c r="A1624" s="12">
        <v>46366</v>
      </c>
      <c r="B1624" s="7" t="s">
        <v>14</v>
      </c>
      <c r="C1624" s="7" t="s">
        <v>9</v>
      </c>
      <c r="D1624" s="11"/>
      <c r="E1624" s="11">
        <v>15000</v>
      </c>
      <c r="F1624" s="11" t="s">
        <v>138</v>
      </c>
      <c r="G1624" s="7" t="s">
        <v>169</v>
      </c>
      <c r="H1624" s="10"/>
      <c r="I1624" s="9"/>
      <c r="J1624" s="7" t="s">
        <v>17</v>
      </c>
      <c r="K1624" s="7"/>
      <c r="L1624" s="7"/>
      <c r="M1624" s="7" t="str">
        <f>IF(C1624="Caixa","-",VLOOKUP(J1624,[1]Estrutura!C:E,3,FALSE))</f>
        <v>4.4</v>
      </c>
      <c r="N1624" s="7"/>
      <c r="O1624" s="7">
        <f t="shared" si="100"/>
        <v>10</v>
      </c>
      <c r="P1624" s="7">
        <f t="shared" si="101"/>
        <v>12</v>
      </c>
      <c r="Q1624" s="7">
        <f t="shared" si="102"/>
        <v>2026</v>
      </c>
      <c r="R1624" s="6">
        <f t="shared" si="103"/>
        <v>-15000</v>
      </c>
      <c r="S1624" s="12">
        <v>46368</v>
      </c>
    </row>
    <row r="1625" spans="1:19">
      <c r="A1625" s="16">
        <v>46366</v>
      </c>
      <c r="B1625" s="8" t="s">
        <v>14</v>
      </c>
      <c r="C1625" s="8" t="s">
        <v>9</v>
      </c>
      <c r="D1625" s="15"/>
      <c r="E1625" s="15">
        <v>221.24</v>
      </c>
      <c r="F1625" s="15" t="s">
        <v>168</v>
      </c>
      <c r="G1625" s="8" t="s">
        <v>167</v>
      </c>
      <c r="H1625" s="14"/>
      <c r="I1625" s="13"/>
      <c r="J1625" s="8" t="s">
        <v>77</v>
      </c>
      <c r="K1625" s="8"/>
      <c r="L1625" s="8"/>
      <c r="M1625" s="8" t="str">
        <f>IF(C1625="Caixa","-",VLOOKUP(J1625,[1]Estrutura!C:E,3,FALSE))</f>
        <v>4.3</v>
      </c>
      <c r="N1625" s="8"/>
      <c r="O1625" s="7">
        <f t="shared" si="100"/>
        <v>10</v>
      </c>
      <c r="P1625" s="7">
        <f t="shared" si="101"/>
        <v>12</v>
      </c>
      <c r="Q1625" s="7">
        <f t="shared" si="102"/>
        <v>2026</v>
      </c>
      <c r="R1625" s="6">
        <f t="shared" si="103"/>
        <v>-221.24</v>
      </c>
      <c r="S1625" s="16">
        <v>46368</v>
      </c>
    </row>
    <row r="1626" spans="1:19">
      <c r="A1626" s="12">
        <v>46366</v>
      </c>
      <c r="B1626" s="7" t="s">
        <v>14</v>
      </c>
      <c r="C1626" s="7" t="s">
        <v>9</v>
      </c>
      <c r="D1626" s="11"/>
      <c r="E1626" s="11">
        <v>974.5</v>
      </c>
      <c r="F1626" s="11" t="s">
        <v>166</v>
      </c>
      <c r="G1626" s="7" t="s">
        <v>64</v>
      </c>
      <c r="H1626" s="10"/>
      <c r="I1626" s="9"/>
      <c r="J1626" s="7" t="s">
        <v>64</v>
      </c>
      <c r="K1626" s="7"/>
      <c r="L1626" s="7"/>
      <c r="M1626" s="7" t="str">
        <f>IF(C1626="Caixa","-",VLOOKUP(J1626,[1]Estrutura!C:E,3,FALSE))</f>
        <v>4.4</v>
      </c>
      <c r="N1626" s="7"/>
      <c r="O1626" s="7">
        <f t="shared" si="100"/>
        <v>10</v>
      </c>
      <c r="P1626" s="7">
        <f t="shared" si="101"/>
        <v>12</v>
      </c>
      <c r="Q1626" s="7">
        <f t="shared" si="102"/>
        <v>2026</v>
      </c>
      <c r="R1626" s="6">
        <f t="shared" si="103"/>
        <v>-974.5</v>
      </c>
      <c r="S1626" s="16">
        <v>46368</v>
      </c>
    </row>
    <row r="1627" spans="1:19">
      <c r="A1627" s="12">
        <v>46366</v>
      </c>
      <c r="B1627" s="18" t="s">
        <v>14</v>
      </c>
      <c r="C1627" s="18" t="s">
        <v>9</v>
      </c>
      <c r="D1627" s="29"/>
      <c r="E1627" s="29">
        <v>1314.05</v>
      </c>
      <c r="F1627" s="15" t="s">
        <v>159</v>
      </c>
      <c r="G1627" s="18" t="s">
        <v>158</v>
      </c>
      <c r="H1627" s="18"/>
      <c r="I1627" s="28"/>
      <c r="J1627" s="7" t="s">
        <v>29</v>
      </c>
      <c r="K1627" s="7"/>
      <c r="L1627" s="8"/>
      <c r="M1627" s="8" t="str">
        <f>IF(C1627="Caixa","-",VLOOKUP(J1627,[1]Estrutura!C:E,3,FALSE))</f>
        <v>4.8</v>
      </c>
      <c r="N1627" s="8"/>
      <c r="O1627" s="7">
        <f t="shared" si="100"/>
        <v>10</v>
      </c>
      <c r="P1627" s="7">
        <f t="shared" si="101"/>
        <v>12</v>
      </c>
      <c r="Q1627" s="7">
        <f t="shared" si="102"/>
        <v>2026</v>
      </c>
      <c r="R1627" s="6">
        <f t="shared" si="103"/>
        <v>-1314.05</v>
      </c>
      <c r="S1627" s="16">
        <v>46369</v>
      </c>
    </row>
    <row r="1628" spans="1:19">
      <c r="A1628" s="16">
        <v>46366</v>
      </c>
      <c r="B1628" s="8" t="s">
        <v>14</v>
      </c>
      <c r="C1628" s="8" t="s">
        <v>9</v>
      </c>
      <c r="D1628" s="15"/>
      <c r="E1628" s="11">
        <v>1134.42</v>
      </c>
      <c r="F1628" s="15" t="s">
        <v>159</v>
      </c>
      <c r="G1628" s="8" t="s">
        <v>158</v>
      </c>
      <c r="H1628" s="14"/>
      <c r="I1628" s="13"/>
      <c r="J1628" s="8" t="s">
        <v>29</v>
      </c>
      <c r="K1628" s="8"/>
      <c r="L1628" s="7"/>
      <c r="M1628" s="7" t="str">
        <f>IF(C1628="Caixa","-",VLOOKUP(J1628,[1]Estrutura!C:E,3,FALSE))</f>
        <v>4.8</v>
      </c>
      <c r="N1628" s="7"/>
      <c r="O1628" s="7">
        <f t="shared" si="100"/>
        <v>10</v>
      </c>
      <c r="P1628" s="7">
        <f t="shared" si="101"/>
        <v>12</v>
      </c>
      <c r="Q1628" s="7">
        <f t="shared" si="102"/>
        <v>2026</v>
      </c>
      <c r="R1628" s="6">
        <f t="shared" si="103"/>
        <v>-1134.42</v>
      </c>
      <c r="S1628" s="16">
        <v>46369</v>
      </c>
    </row>
    <row r="1629" spans="1:19">
      <c r="A1629" s="12">
        <v>46366</v>
      </c>
      <c r="B1629" s="7" t="s">
        <v>26</v>
      </c>
      <c r="C1629" s="7" t="s">
        <v>6</v>
      </c>
      <c r="D1629" s="11"/>
      <c r="E1629" s="15">
        <v>31670</v>
      </c>
      <c r="F1629" s="11" t="s">
        <v>165</v>
      </c>
      <c r="G1629" s="8" t="s">
        <v>164</v>
      </c>
      <c r="H1629" s="10"/>
      <c r="I1629" s="9"/>
      <c r="J1629" s="7" t="s">
        <v>17</v>
      </c>
      <c r="K1629" s="7" t="s">
        <v>21</v>
      </c>
      <c r="L1629" s="8"/>
      <c r="M1629" s="8" t="str">
        <f>IF(C1629="Caixa","-",VLOOKUP(J1629,[1]Estrutura!C:E,3,FALSE))</f>
        <v>4.4</v>
      </c>
      <c r="N1629" s="8"/>
      <c r="O1629" s="7">
        <f t="shared" si="100"/>
        <v>10</v>
      </c>
      <c r="P1629" s="7">
        <f t="shared" si="101"/>
        <v>12</v>
      </c>
      <c r="Q1629" s="7">
        <f t="shared" si="102"/>
        <v>2026</v>
      </c>
      <c r="R1629" s="6">
        <f t="shared" si="103"/>
        <v>-31670</v>
      </c>
      <c r="S1629" s="16">
        <v>46370</v>
      </c>
    </row>
    <row r="1630" spans="1:19">
      <c r="A1630" s="16">
        <v>46366</v>
      </c>
      <c r="B1630" s="8" t="s">
        <v>26</v>
      </c>
      <c r="C1630" s="8" t="s">
        <v>6</v>
      </c>
      <c r="D1630" s="15"/>
      <c r="E1630" s="15">
        <v>31670</v>
      </c>
      <c r="F1630" s="11" t="s">
        <v>165</v>
      </c>
      <c r="G1630" s="8" t="s">
        <v>164</v>
      </c>
      <c r="H1630" s="14"/>
      <c r="I1630" s="13"/>
      <c r="J1630" s="8" t="s">
        <v>17</v>
      </c>
      <c r="K1630" s="8" t="s">
        <v>21</v>
      </c>
      <c r="L1630" s="7"/>
      <c r="M1630" s="7" t="str">
        <f>IF(C1630="Caixa","-",VLOOKUP(J1630,[1]Estrutura!C:E,3,FALSE))</f>
        <v>4.4</v>
      </c>
      <c r="N1630" s="7"/>
      <c r="O1630" s="7">
        <f t="shared" si="100"/>
        <v>10</v>
      </c>
      <c r="P1630" s="7">
        <f t="shared" si="101"/>
        <v>12</v>
      </c>
      <c r="Q1630" s="7">
        <f t="shared" si="102"/>
        <v>2026</v>
      </c>
      <c r="R1630" s="6">
        <f t="shared" si="103"/>
        <v>-31670</v>
      </c>
      <c r="S1630" s="23">
        <v>46371</v>
      </c>
    </row>
    <row r="1631" spans="1:19">
      <c r="A1631" s="12">
        <v>46366</v>
      </c>
      <c r="B1631" s="7" t="s">
        <v>26</v>
      </c>
      <c r="C1631" s="7" t="s">
        <v>6</v>
      </c>
      <c r="D1631" s="11"/>
      <c r="E1631" s="11">
        <v>4430.24</v>
      </c>
      <c r="F1631" s="11" t="s">
        <v>163</v>
      </c>
      <c r="G1631" s="7" t="s">
        <v>162</v>
      </c>
      <c r="H1631" s="10"/>
      <c r="I1631" s="9"/>
      <c r="J1631" s="7" t="s">
        <v>17</v>
      </c>
      <c r="K1631" s="7" t="s">
        <v>21</v>
      </c>
      <c r="L1631" s="8"/>
      <c r="M1631" s="8" t="str">
        <f>IF(C1631="Caixa","-",VLOOKUP(J1631,[1]Estrutura!C:E,3,FALSE))</f>
        <v>4.4</v>
      </c>
      <c r="N1631" s="8"/>
      <c r="O1631" s="7">
        <f t="shared" si="100"/>
        <v>10</v>
      </c>
      <c r="P1631" s="7">
        <f t="shared" si="101"/>
        <v>12</v>
      </c>
      <c r="Q1631" s="7">
        <f t="shared" si="102"/>
        <v>2026</v>
      </c>
      <c r="R1631" s="6">
        <f t="shared" si="103"/>
        <v>-4430.24</v>
      </c>
      <c r="S1631" s="16">
        <v>46371</v>
      </c>
    </row>
    <row r="1632" spans="1:19">
      <c r="A1632" s="16">
        <v>46366</v>
      </c>
      <c r="B1632" s="8" t="s">
        <v>26</v>
      </c>
      <c r="C1632" s="8" t="s">
        <v>6</v>
      </c>
      <c r="D1632" s="15"/>
      <c r="E1632" s="15">
        <v>313.29000000000002</v>
      </c>
      <c r="F1632" s="15" t="s">
        <v>161</v>
      </c>
      <c r="G1632" s="8" t="s">
        <v>160</v>
      </c>
      <c r="H1632" s="14"/>
      <c r="I1632" s="13"/>
      <c r="J1632" s="7" t="s">
        <v>35</v>
      </c>
      <c r="K1632" s="18" t="s">
        <v>34</v>
      </c>
      <c r="L1632" s="7"/>
      <c r="M1632" s="7" t="str">
        <f>IF(C1632="Caixa","-",VLOOKUP(J1632,[1]Estrutura!C:E,3,FALSE))</f>
        <v>4.1</v>
      </c>
      <c r="N1632" s="7"/>
      <c r="O1632" s="7">
        <f t="shared" si="100"/>
        <v>10</v>
      </c>
      <c r="P1632" s="7">
        <f t="shared" si="101"/>
        <v>12</v>
      </c>
      <c r="Q1632" s="7">
        <f t="shared" si="102"/>
        <v>2026</v>
      </c>
      <c r="R1632" s="6">
        <f t="shared" si="103"/>
        <v>-313.29000000000002</v>
      </c>
      <c r="S1632" s="12">
        <v>46371</v>
      </c>
    </row>
    <row r="1633" spans="1:19">
      <c r="A1633" s="16">
        <v>46366</v>
      </c>
      <c r="B1633" s="7" t="s">
        <v>7</v>
      </c>
      <c r="C1633" s="7" t="s">
        <v>9</v>
      </c>
      <c r="D1633" s="15">
        <v>11926.24</v>
      </c>
      <c r="E1633" s="15"/>
      <c r="F1633" s="15"/>
      <c r="G1633" s="8" t="s">
        <v>11</v>
      </c>
      <c r="H1633" s="8"/>
      <c r="I1633" s="17"/>
      <c r="J1633" s="8" t="s">
        <v>10</v>
      </c>
      <c r="K1633" s="8"/>
      <c r="L1633" s="8"/>
      <c r="M1633" s="8" t="str">
        <f>IF(C1633="Caixa","-",VLOOKUP(J1633,[1]Estrutura!C:E,3,FALSE))</f>
        <v>1.1</v>
      </c>
      <c r="N1633" s="8"/>
      <c r="O1633" s="7">
        <f t="shared" si="100"/>
        <v>10</v>
      </c>
      <c r="P1633" s="7">
        <f t="shared" si="101"/>
        <v>12</v>
      </c>
      <c r="Q1633" s="7">
        <f t="shared" si="102"/>
        <v>2026</v>
      </c>
      <c r="R1633" s="6">
        <f t="shared" si="103"/>
        <v>11926.24</v>
      </c>
      <c r="S1633" s="16">
        <v>46371</v>
      </c>
    </row>
    <row r="1634" spans="1:19">
      <c r="A1634" s="16">
        <v>46366</v>
      </c>
      <c r="B1634" s="24" t="s">
        <v>7</v>
      </c>
      <c r="C1634" s="24" t="s">
        <v>9</v>
      </c>
      <c r="D1634" s="32"/>
      <c r="E1634" s="32">
        <v>3611</v>
      </c>
      <c r="F1634" s="15" t="s">
        <v>159</v>
      </c>
      <c r="G1634" s="24" t="s">
        <v>158</v>
      </c>
      <c r="H1634" s="24"/>
      <c r="I1634" s="31"/>
      <c r="J1634" s="8" t="s">
        <v>29</v>
      </c>
      <c r="K1634" s="8"/>
      <c r="L1634" s="7"/>
      <c r="M1634" s="7" t="str">
        <f>IF(C1634="Caixa","-",VLOOKUP(J1634,[1]Estrutura!C:E,3,FALSE))</f>
        <v>4.8</v>
      </c>
      <c r="N1634" s="7"/>
      <c r="O1634" s="7">
        <f t="shared" si="100"/>
        <v>10</v>
      </c>
      <c r="P1634" s="7">
        <f t="shared" si="101"/>
        <v>12</v>
      </c>
      <c r="Q1634" s="7">
        <f t="shared" si="102"/>
        <v>2026</v>
      </c>
      <c r="R1634" s="6">
        <f t="shared" si="103"/>
        <v>-3611</v>
      </c>
      <c r="S1634" s="12">
        <v>46371</v>
      </c>
    </row>
    <row r="1635" spans="1:19">
      <c r="A1635" s="16">
        <v>46366</v>
      </c>
      <c r="B1635" s="8" t="s">
        <v>7</v>
      </c>
      <c r="C1635" s="7" t="s">
        <v>9</v>
      </c>
      <c r="D1635" s="15"/>
      <c r="E1635" s="15">
        <v>3661.15</v>
      </c>
      <c r="F1635" s="15" t="s">
        <v>159</v>
      </c>
      <c r="G1635" s="8" t="s">
        <v>158</v>
      </c>
      <c r="H1635" s="14"/>
      <c r="I1635" s="13"/>
      <c r="J1635" s="8" t="s">
        <v>29</v>
      </c>
      <c r="K1635" s="8"/>
      <c r="L1635" s="8"/>
      <c r="M1635" s="8" t="str">
        <f>IF(C1635="Caixa","-",VLOOKUP(J1635,[1]Estrutura!C:E,3,FALSE))</f>
        <v>4.8</v>
      </c>
      <c r="N1635" s="8"/>
      <c r="O1635" s="7">
        <f t="shared" si="100"/>
        <v>10</v>
      </c>
      <c r="P1635" s="7">
        <f t="shared" si="101"/>
        <v>12</v>
      </c>
      <c r="Q1635" s="7">
        <f t="shared" si="102"/>
        <v>2026</v>
      </c>
      <c r="R1635" s="6">
        <f t="shared" si="103"/>
        <v>-3661.15</v>
      </c>
      <c r="S1635" s="16">
        <v>46371</v>
      </c>
    </row>
    <row r="1636" spans="1:19">
      <c r="A1636" s="16">
        <v>46366</v>
      </c>
      <c r="B1636" s="7" t="s">
        <v>7</v>
      </c>
      <c r="C1636" s="7" t="s">
        <v>9</v>
      </c>
      <c r="D1636" s="11"/>
      <c r="E1636" s="11">
        <v>200000</v>
      </c>
      <c r="F1636" s="11" t="s">
        <v>157</v>
      </c>
      <c r="G1636" s="7" t="s">
        <v>129</v>
      </c>
      <c r="H1636" s="10"/>
      <c r="I1636" s="9"/>
      <c r="J1636" s="7" t="s">
        <v>128</v>
      </c>
      <c r="K1636" s="7"/>
      <c r="L1636" s="7"/>
      <c r="M1636" s="7" t="str">
        <f>IF(C1636="Caixa","-",VLOOKUP(J1636,[1]Estrutura!C:E,3,FALSE))</f>
        <v>9.1</v>
      </c>
      <c r="N1636" s="7"/>
      <c r="O1636" s="7">
        <f t="shared" si="100"/>
        <v>10</v>
      </c>
      <c r="P1636" s="7">
        <f t="shared" si="101"/>
        <v>12</v>
      </c>
      <c r="Q1636" s="7">
        <f t="shared" si="102"/>
        <v>2026</v>
      </c>
      <c r="R1636" s="6">
        <f t="shared" si="103"/>
        <v>-200000</v>
      </c>
      <c r="S1636" s="12">
        <v>46371</v>
      </c>
    </row>
    <row r="1637" spans="1:19">
      <c r="A1637" s="16">
        <v>46367</v>
      </c>
      <c r="B1637" s="8" t="s">
        <v>14</v>
      </c>
      <c r="C1637" s="7" t="s">
        <v>9</v>
      </c>
      <c r="D1637" s="15">
        <v>4430.58</v>
      </c>
      <c r="E1637" s="15"/>
      <c r="F1637" s="15"/>
      <c r="G1637" s="8" t="s">
        <v>11</v>
      </c>
      <c r="H1637" s="8"/>
      <c r="I1637" s="17"/>
      <c r="J1637" s="8" t="s">
        <v>10</v>
      </c>
      <c r="K1637" s="8"/>
      <c r="L1637" s="8"/>
      <c r="M1637" s="8" t="str">
        <f>IF(C1637="Caixa","-",VLOOKUP(J1637,[1]Estrutura!C:E,3,FALSE))</f>
        <v>1.1</v>
      </c>
      <c r="N1637" s="8"/>
      <c r="O1637" s="7">
        <f t="shared" si="100"/>
        <v>11</v>
      </c>
      <c r="P1637" s="7">
        <f t="shared" si="101"/>
        <v>12</v>
      </c>
      <c r="Q1637" s="7">
        <f t="shared" si="102"/>
        <v>2026</v>
      </c>
      <c r="R1637" s="6">
        <f t="shared" si="103"/>
        <v>4430.58</v>
      </c>
      <c r="S1637" s="16">
        <v>46371</v>
      </c>
    </row>
    <row r="1638" spans="1:19">
      <c r="A1638" s="16">
        <v>46367</v>
      </c>
      <c r="B1638" s="7" t="s">
        <v>7</v>
      </c>
      <c r="C1638" s="7" t="s">
        <v>9</v>
      </c>
      <c r="D1638" s="15">
        <v>3860.34</v>
      </c>
      <c r="E1638" s="15"/>
      <c r="F1638" s="15"/>
      <c r="G1638" s="8" t="s">
        <v>11</v>
      </c>
      <c r="H1638" s="8"/>
      <c r="I1638" s="17"/>
      <c r="J1638" s="8" t="s">
        <v>10</v>
      </c>
      <c r="K1638" s="8"/>
      <c r="L1638" s="7"/>
      <c r="M1638" s="7" t="str">
        <f>IF(C1638="Caixa","-",VLOOKUP(J1638,[1]Estrutura!C:E,3,FALSE))</f>
        <v>1.1</v>
      </c>
      <c r="N1638" s="7"/>
      <c r="O1638" s="7">
        <f t="shared" si="100"/>
        <v>11</v>
      </c>
      <c r="P1638" s="7">
        <f t="shared" si="101"/>
        <v>12</v>
      </c>
      <c r="Q1638" s="7">
        <f t="shared" si="102"/>
        <v>2026</v>
      </c>
      <c r="R1638" s="6">
        <f t="shared" si="103"/>
        <v>3860.34</v>
      </c>
      <c r="S1638" s="16">
        <v>46371</v>
      </c>
    </row>
    <row r="1639" spans="1:19">
      <c r="A1639" s="16">
        <v>46368</v>
      </c>
      <c r="B1639" s="8" t="s">
        <v>14</v>
      </c>
      <c r="C1639" s="7" t="s">
        <v>9</v>
      </c>
      <c r="D1639" s="15">
        <v>1242.69</v>
      </c>
      <c r="E1639" s="15"/>
      <c r="F1639" s="15"/>
      <c r="G1639" s="8" t="s">
        <v>11</v>
      </c>
      <c r="H1639" s="8"/>
      <c r="I1639" s="17"/>
      <c r="J1639" s="8" t="s">
        <v>10</v>
      </c>
      <c r="K1639" s="8"/>
      <c r="L1639" s="8"/>
      <c r="M1639" s="8" t="str">
        <f>IF(C1639="Caixa","-",VLOOKUP(J1639,[1]Estrutura!C:E,3,FALSE))</f>
        <v>1.1</v>
      </c>
      <c r="N1639" s="8"/>
      <c r="O1639" s="7">
        <f t="shared" si="100"/>
        <v>12</v>
      </c>
      <c r="P1639" s="7">
        <f t="shared" si="101"/>
        <v>12</v>
      </c>
      <c r="Q1639" s="7">
        <f t="shared" si="102"/>
        <v>2026</v>
      </c>
      <c r="R1639" s="6">
        <f t="shared" si="103"/>
        <v>1242.69</v>
      </c>
      <c r="S1639" s="12">
        <v>46371</v>
      </c>
    </row>
    <row r="1640" spans="1:19">
      <c r="A1640" s="12">
        <v>46368</v>
      </c>
      <c r="B1640" s="7" t="s">
        <v>14</v>
      </c>
      <c r="C1640" s="7" t="s">
        <v>9</v>
      </c>
      <c r="D1640" s="11"/>
      <c r="E1640" s="11">
        <v>2832.92</v>
      </c>
      <c r="F1640" s="15" t="s">
        <v>104</v>
      </c>
      <c r="G1640" s="7" t="s">
        <v>149</v>
      </c>
      <c r="H1640" s="10"/>
      <c r="I1640" s="9"/>
      <c r="J1640" s="8" t="s">
        <v>102</v>
      </c>
      <c r="K1640" s="7"/>
      <c r="L1640" s="7"/>
      <c r="M1640" s="7" t="str">
        <f>IF(C1640="Caixa","-",VLOOKUP(J1640,[1]Estrutura!C:E,3,FALSE))</f>
        <v>4.5</v>
      </c>
      <c r="N1640" s="7"/>
      <c r="O1640" s="7">
        <f t="shared" si="100"/>
        <v>12</v>
      </c>
      <c r="P1640" s="7">
        <f t="shared" si="101"/>
        <v>12</v>
      </c>
      <c r="Q1640" s="7">
        <f t="shared" si="102"/>
        <v>2026</v>
      </c>
      <c r="R1640" s="6">
        <f t="shared" si="103"/>
        <v>-2832.92</v>
      </c>
      <c r="S1640" s="16">
        <v>46371</v>
      </c>
    </row>
    <row r="1641" spans="1:19">
      <c r="A1641" s="16">
        <v>46368</v>
      </c>
      <c r="B1641" s="8" t="s">
        <v>14</v>
      </c>
      <c r="C1641" s="8" t="s">
        <v>25</v>
      </c>
      <c r="D1641" s="15"/>
      <c r="E1641" s="15">
        <v>1656.73</v>
      </c>
      <c r="F1641" s="15"/>
      <c r="G1641" s="8" t="s">
        <v>156</v>
      </c>
      <c r="H1641" s="14"/>
      <c r="I1641" s="13"/>
      <c r="J1641" s="8" t="s">
        <v>17</v>
      </c>
      <c r="K1641" s="8"/>
      <c r="L1641" s="8"/>
      <c r="M1641" s="8" t="str">
        <f>IF(C1641="Caixa","-",VLOOKUP(J1641,[1]Estrutura!C:E,3,FALSE))</f>
        <v>4.4</v>
      </c>
      <c r="N1641" s="8"/>
      <c r="O1641" s="7">
        <f t="shared" si="100"/>
        <v>12</v>
      </c>
      <c r="P1641" s="7">
        <f t="shared" si="101"/>
        <v>12</v>
      </c>
      <c r="Q1641" s="7">
        <f t="shared" si="102"/>
        <v>2026</v>
      </c>
      <c r="R1641" s="6">
        <f t="shared" si="103"/>
        <v>-1656.73</v>
      </c>
      <c r="S1641" s="23">
        <v>46371</v>
      </c>
    </row>
    <row r="1642" spans="1:19">
      <c r="A1642" s="12">
        <v>46368</v>
      </c>
      <c r="B1642" s="7" t="s">
        <v>26</v>
      </c>
      <c r="C1642" s="7" t="s">
        <v>6</v>
      </c>
      <c r="D1642" s="11"/>
      <c r="E1642" s="15">
        <v>1053.45</v>
      </c>
      <c r="F1642" s="11" t="s">
        <v>104</v>
      </c>
      <c r="G1642" s="7" t="s">
        <v>149</v>
      </c>
      <c r="H1642" s="10"/>
      <c r="I1642" s="9"/>
      <c r="J1642" s="8" t="s">
        <v>102</v>
      </c>
      <c r="K1642" s="7" t="s">
        <v>21</v>
      </c>
      <c r="L1642" s="7"/>
      <c r="M1642" s="7" t="str">
        <f>IF(C1642="Caixa","-",VLOOKUP(J1642,[1]Estrutura!C:E,3,FALSE))</f>
        <v>4.5</v>
      </c>
      <c r="N1642" s="7"/>
      <c r="O1642" s="7">
        <f t="shared" si="100"/>
        <v>12</v>
      </c>
      <c r="P1642" s="7">
        <f t="shared" si="101"/>
        <v>12</v>
      </c>
      <c r="Q1642" s="7">
        <f t="shared" si="102"/>
        <v>2026</v>
      </c>
      <c r="R1642" s="6">
        <f t="shared" si="103"/>
        <v>-1053.45</v>
      </c>
      <c r="S1642" s="16">
        <v>46372</v>
      </c>
    </row>
    <row r="1643" spans="1:19">
      <c r="A1643" s="26">
        <v>46368</v>
      </c>
      <c r="B1643" s="8" t="s">
        <v>26</v>
      </c>
      <c r="C1643" s="8" t="s">
        <v>6</v>
      </c>
      <c r="D1643" s="15"/>
      <c r="E1643" s="15">
        <v>64.09</v>
      </c>
      <c r="F1643" s="15" t="s">
        <v>155</v>
      </c>
      <c r="G1643" s="8" t="s">
        <v>154</v>
      </c>
      <c r="H1643" s="14"/>
      <c r="I1643" s="13"/>
      <c r="J1643" s="8" t="s">
        <v>153</v>
      </c>
      <c r="K1643" s="8" t="s">
        <v>21</v>
      </c>
      <c r="L1643" s="8"/>
      <c r="M1643" s="8" t="str">
        <f>IF(C1643="Caixa","-",VLOOKUP(J1643,[1]Estrutura!C:E,3,FALSE))</f>
        <v>4.3</v>
      </c>
      <c r="N1643" s="8"/>
      <c r="O1643" s="7">
        <f t="shared" si="100"/>
        <v>12</v>
      </c>
      <c r="P1643" s="7">
        <f t="shared" si="101"/>
        <v>12</v>
      </c>
      <c r="Q1643" s="7">
        <f t="shared" si="102"/>
        <v>2026</v>
      </c>
      <c r="R1643" s="6">
        <f t="shared" si="103"/>
        <v>-64.09</v>
      </c>
      <c r="S1643" s="16">
        <v>46372</v>
      </c>
    </row>
    <row r="1644" spans="1:19">
      <c r="A1644" s="16">
        <v>46368</v>
      </c>
      <c r="B1644" s="7" t="s">
        <v>7</v>
      </c>
      <c r="C1644" s="7" t="s">
        <v>9</v>
      </c>
      <c r="D1644" s="15">
        <v>8647.880000000001</v>
      </c>
      <c r="E1644" s="15"/>
      <c r="F1644" s="15"/>
      <c r="G1644" s="8" t="s">
        <v>11</v>
      </c>
      <c r="H1644" s="8"/>
      <c r="I1644" s="17"/>
      <c r="J1644" s="8" t="s">
        <v>10</v>
      </c>
      <c r="K1644" s="8"/>
      <c r="L1644" s="7"/>
      <c r="M1644" s="7" t="str">
        <f>IF(C1644="Caixa","-",VLOOKUP(J1644,[1]Estrutura!C:E,3,FALSE))</f>
        <v>1.1</v>
      </c>
      <c r="N1644" s="7"/>
      <c r="O1644" s="7">
        <f t="shared" si="100"/>
        <v>12</v>
      </c>
      <c r="P1644" s="7">
        <f t="shared" si="101"/>
        <v>12</v>
      </c>
      <c r="Q1644" s="7">
        <f t="shared" si="102"/>
        <v>2026</v>
      </c>
      <c r="R1644" s="6">
        <f t="shared" si="103"/>
        <v>8647.880000000001</v>
      </c>
      <c r="S1644" s="12">
        <v>46372</v>
      </c>
    </row>
    <row r="1645" spans="1:19">
      <c r="A1645" s="12">
        <v>46368</v>
      </c>
      <c r="B1645" s="7" t="s">
        <v>7</v>
      </c>
      <c r="C1645" s="7" t="s">
        <v>9</v>
      </c>
      <c r="D1645" s="11"/>
      <c r="E1645" s="15">
        <v>265</v>
      </c>
      <c r="F1645" s="15" t="s">
        <v>152</v>
      </c>
      <c r="G1645" s="7" t="s">
        <v>151</v>
      </c>
      <c r="H1645" s="10"/>
      <c r="I1645" s="9"/>
      <c r="J1645" s="7" t="s">
        <v>150</v>
      </c>
      <c r="K1645" s="7"/>
      <c r="L1645" s="8"/>
      <c r="M1645" s="8" t="str">
        <f>IF(C1645="Caixa","-",VLOOKUP(J1645,[1]Estrutura!C:E,3,FALSE))</f>
        <v>4.4</v>
      </c>
      <c r="N1645" s="8"/>
      <c r="O1645" s="7">
        <f t="shared" si="100"/>
        <v>12</v>
      </c>
      <c r="P1645" s="7">
        <f t="shared" si="101"/>
        <v>12</v>
      </c>
      <c r="Q1645" s="7">
        <f t="shared" si="102"/>
        <v>2026</v>
      </c>
      <c r="R1645" s="6">
        <f t="shared" si="103"/>
        <v>-265</v>
      </c>
      <c r="S1645" s="16">
        <v>46372</v>
      </c>
    </row>
    <row r="1646" spans="1:19">
      <c r="A1646" s="16">
        <v>46368</v>
      </c>
      <c r="B1646" s="8" t="s">
        <v>7</v>
      </c>
      <c r="C1646" s="7" t="s">
        <v>9</v>
      </c>
      <c r="D1646" s="15"/>
      <c r="E1646" s="11">
        <v>2717.81</v>
      </c>
      <c r="F1646" s="11" t="s">
        <v>104</v>
      </c>
      <c r="G1646" s="8" t="s">
        <v>149</v>
      </c>
      <c r="H1646" s="14"/>
      <c r="I1646" s="13"/>
      <c r="J1646" s="8" t="s">
        <v>102</v>
      </c>
      <c r="K1646" s="8"/>
      <c r="L1646" s="7"/>
      <c r="M1646" s="7" t="str">
        <f>IF(C1646="Caixa","-",VLOOKUP(J1646,[1]Estrutura!C:E,3,FALSE))</f>
        <v>4.5</v>
      </c>
      <c r="N1646" s="7"/>
      <c r="O1646" s="7">
        <f t="shared" si="100"/>
        <v>12</v>
      </c>
      <c r="P1646" s="7">
        <f t="shared" si="101"/>
        <v>12</v>
      </c>
      <c r="Q1646" s="7">
        <f t="shared" si="102"/>
        <v>2026</v>
      </c>
      <c r="R1646" s="6">
        <f t="shared" si="103"/>
        <v>-2717.81</v>
      </c>
      <c r="S1646" s="16">
        <v>46373</v>
      </c>
    </row>
    <row r="1647" spans="1:19">
      <c r="A1647" s="16">
        <v>46368</v>
      </c>
      <c r="B1647" s="8" t="s">
        <v>7</v>
      </c>
      <c r="C1647" s="7" t="s">
        <v>9</v>
      </c>
      <c r="D1647" s="15"/>
      <c r="E1647" s="11">
        <v>2717.81</v>
      </c>
      <c r="F1647" s="11" t="s">
        <v>104</v>
      </c>
      <c r="G1647" s="8" t="s">
        <v>149</v>
      </c>
      <c r="H1647" s="14"/>
      <c r="I1647" s="13"/>
      <c r="J1647" s="8" t="s">
        <v>102</v>
      </c>
      <c r="K1647" s="7"/>
      <c r="L1647" s="8"/>
      <c r="M1647" s="8" t="str">
        <f>IF(C1647="Caixa","-",VLOOKUP(J1647,[1]Estrutura!C:E,3,FALSE))</f>
        <v>4.5</v>
      </c>
      <c r="N1647" s="8"/>
      <c r="O1647" s="7">
        <f t="shared" si="100"/>
        <v>12</v>
      </c>
      <c r="P1647" s="7">
        <f t="shared" si="101"/>
        <v>12</v>
      </c>
      <c r="Q1647" s="7">
        <f t="shared" si="102"/>
        <v>2026</v>
      </c>
      <c r="R1647" s="6">
        <f t="shared" si="103"/>
        <v>-2717.81</v>
      </c>
      <c r="S1647" s="16">
        <v>46374</v>
      </c>
    </row>
    <row r="1648" spans="1:19">
      <c r="A1648" s="16">
        <v>46369</v>
      </c>
      <c r="B1648" s="8" t="s">
        <v>14</v>
      </c>
      <c r="C1648" s="7" t="s">
        <v>9</v>
      </c>
      <c r="D1648" s="15">
        <v>1469.47</v>
      </c>
      <c r="E1648" s="15"/>
      <c r="F1648" s="15"/>
      <c r="G1648" s="8" t="s">
        <v>11</v>
      </c>
      <c r="H1648" s="8"/>
      <c r="I1648" s="17"/>
      <c r="J1648" s="8" t="s">
        <v>10</v>
      </c>
      <c r="K1648" s="8"/>
      <c r="L1648" s="7"/>
      <c r="M1648" s="7" t="str">
        <f>IF(C1648="Caixa","-",VLOOKUP(J1648,[1]Estrutura!C:E,3,FALSE))</f>
        <v>1.1</v>
      </c>
      <c r="N1648" s="7"/>
      <c r="O1648" s="7">
        <f t="shared" si="100"/>
        <v>13</v>
      </c>
      <c r="P1648" s="7">
        <f t="shared" si="101"/>
        <v>12</v>
      </c>
      <c r="Q1648" s="7">
        <f t="shared" si="102"/>
        <v>2026</v>
      </c>
      <c r="R1648" s="6">
        <f t="shared" si="103"/>
        <v>1469.47</v>
      </c>
      <c r="S1648" s="12">
        <v>46374</v>
      </c>
    </row>
    <row r="1649" spans="1:19">
      <c r="A1649" s="16">
        <v>46369</v>
      </c>
      <c r="B1649" s="7" t="s">
        <v>7</v>
      </c>
      <c r="C1649" s="7" t="s">
        <v>9</v>
      </c>
      <c r="D1649" s="15">
        <v>11816.82</v>
      </c>
      <c r="E1649" s="15"/>
      <c r="F1649" s="15"/>
      <c r="G1649" s="8" t="s">
        <v>11</v>
      </c>
      <c r="H1649" s="8"/>
      <c r="I1649" s="17"/>
      <c r="J1649" s="8" t="s">
        <v>10</v>
      </c>
      <c r="K1649" s="8"/>
      <c r="L1649" s="8"/>
      <c r="M1649" s="8" t="str">
        <f>IF(C1649="Caixa","-",VLOOKUP(J1649,[1]Estrutura!C:E,3,FALSE))</f>
        <v>1.1</v>
      </c>
      <c r="N1649" s="8"/>
      <c r="O1649" s="7">
        <f t="shared" si="100"/>
        <v>13</v>
      </c>
      <c r="P1649" s="7">
        <f t="shared" si="101"/>
        <v>12</v>
      </c>
      <c r="Q1649" s="7">
        <f t="shared" si="102"/>
        <v>2026</v>
      </c>
      <c r="R1649" s="6">
        <f t="shared" si="103"/>
        <v>11816.82</v>
      </c>
      <c r="S1649" s="16">
        <v>46374</v>
      </c>
    </row>
    <row r="1650" spans="1:19">
      <c r="A1650" s="16">
        <v>46370</v>
      </c>
      <c r="B1650" s="7" t="s">
        <v>7</v>
      </c>
      <c r="C1650" s="7" t="s">
        <v>9</v>
      </c>
      <c r="D1650" s="15">
        <v>2564.42</v>
      </c>
      <c r="E1650" s="15"/>
      <c r="F1650" s="15"/>
      <c r="G1650" s="8" t="s">
        <v>11</v>
      </c>
      <c r="H1650" s="8"/>
      <c r="I1650" s="17"/>
      <c r="J1650" s="8" t="s">
        <v>10</v>
      </c>
      <c r="K1650" s="8"/>
      <c r="L1650" s="7"/>
      <c r="M1650" s="7" t="str">
        <f>IF(C1650="Caixa","-",VLOOKUP(J1650,[1]Estrutura!C:E,3,FALSE))</f>
        <v>1.1</v>
      </c>
      <c r="N1650" s="7"/>
      <c r="O1650" s="7">
        <f t="shared" si="100"/>
        <v>14</v>
      </c>
      <c r="P1650" s="7">
        <f t="shared" si="101"/>
        <v>12</v>
      </c>
      <c r="Q1650" s="7">
        <f t="shared" si="102"/>
        <v>2026</v>
      </c>
      <c r="R1650" s="6">
        <f t="shared" si="103"/>
        <v>2564.42</v>
      </c>
      <c r="S1650" s="16">
        <v>46375</v>
      </c>
    </row>
    <row r="1651" spans="1:19">
      <c r="A1651" s="23">
        <v>46371</v>
      </c>
      <c r="B1651" s="18" t="s">
        <v>122</v>
      </c>
      <c r="C1651" s="18" t="s">
        <v>6</v>
      </c>
      <c r="D1651" s="29">
        <v>20000</v>
      </c>
      <c r="E1651" s="29"/>
      <c r="F1651" s="11" t="s">
        <v>148</v>
      </c>
      <c r="G1651" s="18" t="s">
        <v>129</v>
      </c>
      <c r="H1651" s="18"/>
      <c r="I1651" s="28"/>
      <c r="J1651" s="7" t="s">
        <v>128</v>
      </c>
      <c r="K1651" s="18"/>
      <c r="L1651" s="8"/>
      <c r="M1651" s="8" t="str">
        <f>IF(C1651="Caixa","-",VLOOKUP(J1651,[1]Estrutura!C:E,3,FALSE))</f>
        <v>9.1</v>
      </c>
      <c r="N1651" s="8"/>
      <c r="O1651" s="7">
        <f t="shared" si="100"/>
        <v>15</v>
      </c>
      <c r="P1651" s="7">
        <f t="shared" si="101"/>
        <v>12</v>
      </c>
      <c r="Q1651" s="7">
        <f t="shared" si="102"/>
        <v>2026</v>
      </c>
      <c r="R1651" s="6">
        <f t="shared" si="103"/>
        <v>20000</v>
      </c>
      <c r="S1651" s="16">
        <v>46375</v>
      </c>
    </row>
    <row r="1652" spans="1:19">
      <c r="A1652" s="16">
        <v>46371</v>
      </c>
      <c r="B1652" s="8" t="s">
        <v>14</v>
      </c>
      <c r="C1652" s="8" t="s">
        <v>9</v>
      </c>
      <c r="D1652" s="15"/>
      <c r="E1652" s="15">
        <v>2874</v>
      </c>
      <c r="F1652" s="15" t="s">
        <v>146</v>
      </c>
      <c r="G1652" s="8" t="s">
        <v>147</v>
      </c>
      <c r="H1652" s="8"/>
      <c r="I1652" s="17"/>
      <c r="J1652" s="8" t="s">
        <v>144</v>
      </c>
      <c r="K1652" s="8"/>
      <c r="L1652" s="7"/>
      <c r="M1652" s="7" t="str">
        <f>IF(C1652="Caixa","-",VLOOKUP(J1652,[1]Estrutura!C:E,3,FALSE))</f>
        <v>4.2</v>
      </c>
      <c r="N1652" s="7"/>
      <c r="O1652" s="7">
        <f t="shared" si="100"/>
        <v>15</v>
      </c>
      <c r="P1652" s="7">
        <f t="shared" si="101"/>
        <v>12</v>
      </c>
      <c r="Q1652" s="7">
        <f t="shared" si="102"/>
        <v>2026</v>
      </c>
      <c r="R1652" s="6">
        <f t="shared" si="103"/>
        <v>-2874</v>
      </c>
      <c r="S1652" s="12">
        <v>46375</v>
      </c>
    </row>
    <row r="1653" spans="1:19">
      <c r="A1653" s="12">
        <v>46371</v>
      </c>
      <c r="B1653" s="7" t="s">
        <v>14</v>
      </c>
      <c r="C1653" s="7" t="s">
        <v>9</v>
      </c>
      <c r="D1653" s="11"/>
      <c r="E1653" s="15">
        <v>2874</v>
      </c>
      <c r="F1653" s="15" t="s">
        <v>146</v>
      </c>
      <c r="G1653" s="7" t="s">
        <v>145</v>
      </c>
      <c r="H1653" s="7"/>
      <c r="I1653" s="30"/>
      <c r="J1653" s="7" t="s">
        <v>144</v>
      </c>
      <c r="K1653" s="7"/>
      <c r="L1653" s="8"/>
      <c r="M1653" s="8" t="str">
        <f>IF(C1653="Caixa","-",VLOOKUP(J1653,[1]Estrutura!C:E,3,FALSE))</f>
        <v>4.2</v>
      </c>
      <c r="N1653" s="8"/>
      <c r="O1653" s="7">
        <f t="shared" si="100"/>
        <v>15</v>
      </c>
      <c r="P1653" s="7">
        <f t="shared" si="101"/>
        <v>12</v>
      </c>
      <c r="Q1653" s="7">
        <f t="shared" si="102"/>
        <v>2026</v>
      </c>
      <c r="R1653" s="6">
        <f t="shared" si="103"/>
        <v>-2874</v>
      </c>
      <c r="S1653" s="16">
        <v>46375</v>
      </c>
    </row>
    <row r="1654" spans="1:19">
      <c r="A1654" s="16">
        <v>46371</v>
      </c>
      <c r="B1654" s="8" t="s">
        <v>14</v>
      </c>
      <c r="C1654" s="8" t="s">
        <v>9</v>
      </c>
      <c r="D1654" s="15"/>
      <c r="E1654" s="15">
        <v>1095.55</v>
      </c>
      <c r="F1654" s="15" t="s">
        <v>143</v>
      </c>
      <c r="G1654" s="8" t="s">
        <v>142</v>
      </c>
      <c r="H1654" s="14"/>
      <c r="I1654" s="13"/>
      <c r="J1654" s="8" t="s">
        <v>141</v>
      </c>
      <c r="K1654" s="8"/>
      <c r="L1654" s="7"/>
      <c r="M1654" s="7" t="str">
        <f>IF(C1654="Caixa","-",VLOOKUP(J1654,[1]Estrutura!C:E,3,FALSE))</f>
        <v>4.6</v>
      </c>
      <c r="N1654" s="7"/>
      <c r="O1654" s="7">
        <f t="shared" si="100"/>
        <v>15</v>
      </c>
      <c r="P1654" s="7">
        <f t="shared" si="101"/>
        <v>12</v>
      </c>
      <c r="Q1654" s="7">
        <f t="shared" si="102"/>
        <v>2026</v>
      </c>
      <c r="R1654" s="6">
        <f t="shared" si="103"/>
        <v>-1095.55</v>
      </c>
      <c r="S1654" s="16">
        <v>46375</v>
      </c>
    </row>
    <row r="1655" spans="1:19">
      <c r="A1655" s="12">
        <v>46371</v>
      </c>
      <c r="B1655" s="7" t="s">
        <v>14</v>
      </c>
      <c r="C1655" s="7" t="s">
        <v>9</v>
      </c>
      <c r="D1655" s="11"/>
      <c r="E1655" s="11">
        <v>1997.6</v>
      </c>
      <c r="F1655" s="11" t="s">
        <v>140</v>
      </c>
      <c r="G1655" s="7" t="s">
        <v>139</v>
      </c>
      <c r="H1655" s="10"/>
      <c r="I1655" s="9"/>
      <c r="J1655" s="7" t="s">
        <v>64</v>
      </c>
      <c r="K1655" s="7"/>
      <c r="L1655" s="8"/>
      <c r="M1655" s="8" t="str">
        <f>IF(C1655="Caixa","-",VLOOKUP(J1655,[1]Estrutura!C:E,3,FALSE))</f>
        <v>4.4</v>
      </c>
      <c r="N1655" s="8"/>
      <c r="O1655" s="7">
        <f t="shared" si="100"/>
        <v>15</v>
      </c>
      <c r="P1655" s="7">
        <f t="shared" si="101"/>
        <v>12</v>
      </c>
      <c r="Q1655" s="7">
        <f t="shared" si="102"/>
        <v>2026</v>
      </c>
      <c r="R1655" s="6">
        <f t="shared" si="103"/>
        <v>-1997.6</v>
      </c>
      <c r="S1655" s="16">
        <v>46376</v>
      </c>
    </row>
    <row r="1656" spans="1:19">
      <c r="A1656" s="16">
        <v>46371</v>
      </c>
      <c r="B1656" s="8" t="s">
        <v>14</v>
      </c>
      <c r="C1656" s="8" t="s">
        <v>9</v>
      </c>
      <c r="D1656" s="15"/>
      <c r="E1656" s="15">
        <v>100000</v>
      </c>
      <c r="F1656" s="15" t="s">
        <v>138</v>
      </c>
      <c r="G1656" s="8" t="s">
        <v>129</v>
      </c>
      <c r="H1656" s="14"/>
      <c r="I1656" s="13"/>
      <c r="J1656" s="8" t="s">
        <v>128</v>
      </c>
      <c r="K1656" s="8"/>
      <c r="L1656" s="7"/>
      <c r="M1656" s="7" t="str">
        <f>IF(C1656="Caixa","-",VLOOKUP(J1656,[1]Estrutura!C:E,3,FALSE))</f>
        <v>9.1</v>
      </c>
      <c r="N1656" s="7"/>
      <c r="O1656" s="7">
        <f t="shared" si="100"/>
        <v>15</v>
      </c>
      <c r="P1656" s="7">
        <f t="shared" si="101"/>
        <v>12</v>
      </c>
      <c r="Q1656" s="7">
        <f t="shared" si="102"/>
        <v>2026</v>
      </c>
      <c r="R1656" s="6">
        <f t="shared" si="103"/>
        <v>-100000</v>
      </c>
      <c r="S1656" s="16">
        <v>46376</v>
      </c>
    </row>
    <row r="1657" spans="1:19">
      <c r="A1657" s="12">
        <v>46371</v>
      </c>
      <c r="B1657" s="7" t="s">
        <v>26</v>
      </c>
      <c r="C1657" s="7" t="s">
        <v>6</v>
      </c>
      <c r="D1657" s="11"/>
      <c r="E1657" s="11">
        <v>2000</v>
      </c>
      <c r="F1657" s="7" t="s">
        <v>136</v>
      </c>
      <c r="G1657" s="11" t="s">
        <v>137</v>
      </c>
      <c r="H1657" s="10"/>
      <c r="I1657" s="9"/>
      <c r="J1657" s="7" t="s">
        <v>56</v>
      </c>
      <c r="K1657" s="7" t="s">
        <v>136</v>
      </c>
      <c r="L1657" s="8"/>
      <c r="M1657" s="8" t="str">
        <f>IF(C1657="Caixa","-",VLOOKUP(J1657,[1]Estrutura!C:E,3,FALSE))</f>
        <v>6.1</v>
      </c>
      <c r="N1657" s="8"/>
      <c r="O1657" s="7">
        <f t="shared" si="100"/>
        <v>15</v>
      </c>
      <c r="P1657" s="7">
        <f t="shared" si="101"/>
        <v>12</v>
      </c>
      <c r="Q1657" s="7">
        <f t="shared" si="102"/>
        <v>2026</v>
      </c>
      <c r="R1657" s="6">
        <f t="shared" si="103"/>
        <v>-2000</v>
      </c>
      <c r="S1657" s="16">
        <v>46376</v>
      </c>
    </row>
    <row r="1658" spans="1:19">
      <c r="A1658" s="16">
        <v>46371</v>
      </c>
      <c r="B1658" s="8" t="s">
        <v>26</v>
      </c>
      <c r="C1658" s="8" t="s">
        <v>6</v>
      </c>
      <c r="D1658" s="15"/>
      <c r="E1658" s="15">
        <v>1000</v>
      </c>
      <c r="F1658" s="15"/>
      <c r="G1658" s="8" t="s">
        <v>135</v>
      </c>
      <c r="H1658" s="14"/>
      <c r="I1658" s="13"/>
      <c r="J1658" s="8" t="s">
        <v>15</v>
      </c>
      <c r="K1658" s="8" t="s">
        <v>21</v>
      </c>
      <c r="L1658" s="7"/>
      <c r="M1658" s="7" t="str">
        <f>IF(C1658="Caixa","-",VLOOKUP(J1658,[1]Estrutura!C:E,3,FALSE))</f>
        <v>4.7</v>
      </c>
      <c r="N1658" s="7"/>
      <c r="O1658" s="7">
        <f t="shared" si="100"/>
        <v>15</v>
      </c>
      <c r="P1658" s="7">
        <f t="shared" si="101"/>
        <v>12</v>
      </c>
      <c r="Q1658" s="7">
        <f t="shared" si="102"/>
        <v>2026</v>
      </c>
      <c r="R1658" s="6">
        <f t="shared" si="103"/>
        <v>-1000</v>
      </c>
      <c r="S1658" s="16">
        <v>46376</v>
      </c>
    </row>
    <row r="1659" spans="1:19">
      <c r="A1659" s="16">
        <v>46371</v>
      </c>
      <c r="B1659" s="7" t="s">
        <v>7</v>
      </c>
      <c r="C1659" s="7" t="s">
        <v>9</v>
      </c>
      <c r="D1659" s="15">
        <v>8493.4600000000009</v>
      </c>
      <c r="E1659" s="15"/>
      <c r="F1659" s="15"/>
      <c r="G1659" s="8" t="s">
        <v>11</v>
      </c>
      <c r="H1659" s="8"/>
      <c r="I1659" s="17"/>
      <c r="J1659" s="8" t="s">
        <v>10</v>
      </c>
      <c r="K1659" s="8"/>
      <c r="L1659" s="8"/>
      <c r="M1659" s="8" t="str">
        <f>IF(C1659="Caixa","-",VLOOKUP(J1659,[1]Estrutura!C:E,3,FALSE))</f>
        <v>1.1</v>
      </c>
      <c r="N1659" s="8"/>
      <c r="O1659" s="7">
        <f t="shared" si="100"/>
        <v>15</v>
      </c>
      <c r="P1659" s="7">
        <f t="shared" si="101"/>
        <v>12</v>
      </c>
      <c r="Q1659" s="7">
        <f t="shared" si="102"/>
        <v>2026</v>
      </c>
      <c r="R1659" s="6">
        <f t="shared" si="103"/>
        <v>8493.4600000000009</v>
      </c>
      <c r="S1659" s="12">
        <v>46376</v>
      </c>
    </row>
    <row r="1660" spans="1:19">
      <c r="A1660" s="12">
        <v>46371</v>
      </c>
      <c r="B1660" s="7" t="s">
        <v>7</v>
      </c>
      <c r="C1660" s="7" t="s">
        <v>9</v>
      </c>
      <c r="D1660" s="11"/>
      <c r="E1660" s="11">
        <v>2232.88</v>
      </c>
      <c r="F1660" s="11" t="s">
        <v>134</v>
      </c>
      <c r="G1660" s="8" t="s">
        <v>133</v>
      </c>
      <c r="H1660" s="10"/>
      <c r="I1660" s="9"/>
      <c r="J1660" s="7" t="s">
        <v>119</v>
      </c>
      <c r="K1660" s="7"/>
      <c r="L1660" s="7"/>
      <c r="M1660" s="7" t="str">
        <f>IF(C1660="Caixa","-",VLOOKUP(J1660,[1]Estrutura!C:E,3,FALSE))</f>
        <v>4.5</v>
      </c>
      <c r="N1660" s="7"/>
      <c r="O1660" s="7">
        <f t="shared" si="100"/>
        <v>15</v>
      </c>
      <c r="P1660" s="7">
        <f t="shared" si="101"/>
        <v>12</v>
      </c>
      <c r="Q1660" s="7">
        <f t="shared" si="102"/>
        <v>2026</v>
      </c>
      <c r="R1660" s="6">
        <f t="shared" si="103"/>
        <v>-2232.88</v>
      </c>
      <c r="S1660" s="16">
        <v>46376</v>
      </c>
    </row>
    <row r="1661" spans="1:19">
      <c r="A1661" s="16">
        <v>46371</v>
      </c>
      <c r="B1661" s="8" t="s">
        <v>7</v>
      </c>
      <c r="C1661" s="8" t="s">
        <v>9</v>
      </c>
      <c r="D1661" s="15"/>
      <c r="E1661" s="15">
        <v>3500</v>
      </c>
      <c r="F1661" s="15" t="s">
        <v>132</v>
      </c>
      <c r="G1661" s="8" t="s">
        <v>131</v>
      </c>
      <c r="H1661" s="14"/>
      <c r="I1661" s="13"/>
      <c r="J1661" s="8" t="s">
        <v>29</v>
      </c>
      <c r="K1661" s="8"/>
      <c r="L1661" s="8"/>
      <c r="M1661" s="8" t="str">
        <f>IF(C1661="Caixa","-",VLOOKUP(J1661,[1]Estrutura!C:E,3,FALSE))</f>
        <v>4.8</v>
      </c>
      <c r="N1661" s="8"/>
      <c r="O1661" s="7">
        <f t="shared" si="100"/>
        <v>15</v>
      </c>
      <c r="P1661" s="7">
        <f t="shared" si="101"/>
        <v>12</v>
      </c>
      <c r="Q1661" s="7">
        <f t="shared" si="102"/>
        <v>2026</v>
      </c>
      <c r="R1661" s="6">
        <f t="shared" si="103"/>
        <v>-3500</v>
      </c>
      <c r="S1661" s="16">
        <v>46376</v>
      </c>
    </row>
    <row r="1662" spans="1:19">
      <c r="A1662" s="23">
        <v>46371</v>
      </c>
      <c r="B1662" s="18" t="s">
        <v>7</v>
      </c>
      <c r="C1662" s="18" t="s">
        <v>9</v>
      </c>
      <c r="D1662" s="29"/>
      <c r="E1662" s="29">
        <v>20000</v>
      </c>
      <c r="F1662" s="15" t="s">
        <v>130</v>
      </c>
      <c r="G1662" s="18" t="s">
        <v>129</v>
      </c>
      <c r="H1662" s="18"/>
      <c r="I1662" s="28"/>
      <c r="J1662" s="7" t="s">
        <v>128</v>
      </c>
      <c r="K1662" s="18"/>
      <c r="L1662" s="7"/>
      <c r="M1662" s="7" t="str">
        <f>IF(C1662="Caixa","-",VLOOKUP(J1662,[1]Estrutura!C:E,3,FALSE))</f>
        <v>9.1</v>
      </c>
      <c r="N1662" s="7"/>
      <c r="O1662" s="7">
        <f t="shared" si="100"/>
        <v>15</v>
      </c>
      <c r="P1662" s="7">
        <f t="shared" si="101"/>
        <v>12</v>
      </c>
      <c r="Q1662" s="7">
        <f t="shared" si="102"/>
        <v>2026</v>
      </c>
      <c r="R1662" s="6">
        <f t="shared" si="103"/>
        <v>-20000</v>
      </c>
      <c r="S1662" s="16">
        <v>46376</v>
      </c>
    </row>
    <row r="1663" spans="1:19">
      <c r="A1663" s="16">
        <v>46372</v>
      </c>
      <c r="B1663" s="8" t="s">
        <v>14</v>
      </c>
      <c r="C1663" s="7" t="s">
        <v>9</v>
      </c>
      <c r="D1663" s="15">
        <v>2783.2</v>
      </c>
      <c r="E1663" s="15"/>
      <c r="F1663" s="15"/>
      <c r="G1663" s="8" t="s">
        <v>11</v>
      </c>
      <c r="H1663" s="8"/>
      <c r="I1663" s="17"/>
      <c r="J1663" s="8" t="s">
        <v>10</v>
      </c>
      <c r="K1663" s="8"/>
      <c r="L1663" s="8"/>
      <c r="M1663" s="8" t="str">
        <f>IF(C1663="Caixa","-",VLOOKUP(J1663,[1]Estrutura!C:E,3,FALSE))</f>
        <v>1.1</v>
      </c>
      <c r="N1663" s="8"/>
      <c r="O1663" s="7">
        <f t="shared" si="100"/>
        <v>16</v>
      </c>
      <c r="P1663" s="7">
        <f t="shared" si="101"/>
        <v>12</v>
      </c>
      <c r="Q1663" s="7">
        <f t="shared" si="102"/>
        <v>2026</v>
      </c>
      <c r="R1663" s="6">
        <f t="shared" si="103"/>
        <v>2783.2</v>
      </c>
      <c r="S1663" s="12">
        <v>46376</v>
      </c>
    </row>
    <row r="1664" spans="1:19">
      <c r="A1664" s="16">
        <v>46372</v>
      </c>
      <c r="B1664" s="7" t="s">
        <v>14</v>
      </c>
      <c r="C1664" s="7" t="s">
        <v>9</v>
      </c>
      <c r="D1664" s="11"/>
      <c r="E1664" s="11">
        <v>729.11</v>
      </c>
      <c r="F1664" s="11" t="s">
        <v>24</v>
      </c>
      <c r="G1664" s="7" t="s">
        <v>127</v>
      </c>
      <c r="H1664" s="10"/>
      <c r="I1664" s="9"/>
      <c r="J1664" s="7" t="s">
        <v>77</v>
      </c>
      <c r="K1664" s="8"/>
      <c r="L1664" s="7"/>
      <c r="M1664" s="7" t="str">
        <f>IF(C1664="Caixa","-",VLOOKUP(J1664,[1]Estrutura!C:E,3,FALSE))</f>
        <v>4.3</v>
      </c>
      <c r="N1664" s="7"/>
      <c r="O1664" s="7">
        <f t="shared" si="100"/>
        <v>16</v>
      </c>
      <c r="P1664" s="7">
        <f t="shared" si="101"/>
        <v>12</v>
      </c>
      <c r="Q1664" s="7">
        <f t="shared" si="102"/>
        <v>2026</v>
      </c>
      <c r="R1664" s="6">
        <f t="shared" si="103"/>
        <v>-729.11</v>
      </c>
      <c r="S1664" s="12">
        <v>46376</v>
      </c>
    </row>
    <row r="1665" spans="1:19">
      <c r="A1665" s="12">
        <v>46372</v>
      </c>
      <c r="B1665" s="7" t="s">
        <v>14</v>
      </c>
      <c r="C1665" s="7" t="s">
        <v>9</v>
      </c>
      <c r="D1665" s="11"/>
      <c r="E1665" s="11">
        <v>700.74</v>
      </c>
      <c r="F1665" s="11" t="s">
        <v>24</v>
      </c>
      <c r="G1665" s="7" t="s">
        <v>126</v>
      </c>
      <c r="H1665" s="10"/>
      <c r="I1665" s="9"/>
      <c r="J1665" s="7" t="s">
        <v>77</v>
      </c>
      <c r="K1665" s="7"/>
      <c r="L1665" s="8"/>
      <c r="M1665" s="8" t="str">
        <f>IF(C1665="Caixa","-",VLOOKUP(J1665,[1]Estrutura!C:E,3,FALSE))</f>
        <v>4.3</v>
      </c>
      <c r="N1665" s="8"/>
      <c r="O1665" s="7">
        <f t="shared" si="100"/>
        <v>16</v>
      </c>
      <c r="P1665" s="7">
        <f t="shared" si="101"/>
        <v>12</v>
      </c>
      <c r="Q1665" s="7">
        <f t="shared" si="102"/>
        <v>2026</v>
      </c>
      <c r="R1665" s="6">
        <f t="shared" si="103"/>
        <v>-700.74</v>
      </c>
      <c r="S1665" s="16">
        <v>46376</v>
      </c>
    </row>
    <row r="1666" spans="1:19">
      <c r="A1666" s="16">
        <v>46372</v>
      </c>
      <c r="B1666" s="7" t="s">
        <v>7</v>
      </c>
      <c r="C1666" s="7" t="s">
        <v>9</v>
      </c>
      <c r="D1666" s="15">
        <v>5066.75</v>
      </c>
      <c r="E1666" s="15"/>
      <c r="F1666" s="15"/>
      <c r="G1666" s="8" t="s">
        <v>11</v>
      </c>
      <c r="H1666" s="8"/>
      <c r="I1666" s="17"/>
      <c r="J1666" s="8" t="s">
        <v>10</v>
      </c>
      <c r="K1666" s="8"/>
      <c r="L1666" s="7"/>
      <c r="M1666" s="7" t="str">
        <f>IF(C1666="Caixa","-",VLOOKUP(J1666,[1]Estrutura!C:E,3,FALSE))</f>
        <v>1.1</v>
      </c>
      <c r="N1666" s="7"/>
      <c r="O1666" s="7">
        <f t="shared" si="100"/>
        <v>16</v>
      </c>
      <c r="P1666" s="7">
        <f t="shared" si="101"/>
        <v>12</v>
      </c>
      <c r="Q1666" s="7">
        <f t="shared" si="102"/>
        <v>2026</v>
      </c>
      <c r="R1666" s="6">
        <f t="shared" si="103"/>
        <v>5066.75</v>
      </c>
      <c r="S1666" s="12">
        <v>46376</v>
      </c>
    </row>
    <row r="1667" spans="1:19">
      <c r="A1667" s="16">
        <v>46373</v>
      </c>
      <c r="B1667" s="8" t="s">
        <v>14</v>
      </c>
      <c r="C1667" s="7" t="s">
        <v>9</v>
      </c>
      <c r="D1667" s="15">
        <v>1240.02</v>
      </c>
      <c r="E1667" s="15"/>
      <c r="F1667" s="15"/>
      <c r="G1667" s="8" t="s">
        <v>11</v>
      </c>
      <c r="H1667" s="8"/>
      <c r="I1667" s="17"/>
      <c r="J1667" s="8" t="s">
        <v>10</v>
      </c>
      <c r="K1667" s="8"/>
      <c r="L1667" s="8"/>
      <c r="M1667" s="8" t="str">
        <f>IF(C1667="Caixa","-",VLOOKUP(J1667,[1]Estrutura!C:E,3,FALSE))</f>
        <v>1.1</v>
      </c>
      <c r="N1667" s="8"/>
      <c r="O1667" s="7">
        <f t="shared" si="100"/>
        <v>17</v>
      </c>
      <c r="P1667" s="7">
        <f t="shared" si="101"/>
        <v>12</v>
      </c>
      <c r="Q1667" s="7">
        <f t="shared" si="102"/>
        <v>2026</v>
      </c>
      <c r="R1667" s="6">
        <f t="shared" si="103"/>
        <v>1240.02</v>
      </c>
      <c r="S1667" s="12">
        <v>46376</v>
      </c>
    </row>
    <row r="1668" spans="1:19">
      <c r="A1668" s="16">
        <v>46374</v>
      </c>
      <c r="B1668" s="8" t="s">
        <v>26</v>
      </c>
      <c r="C1668" s="8" t="s">
        <v>6</v>
      </c>
      <c r="D1668" s="15"/>
      <c r="E1668" s="15">
        <v>99.35</v>
      </c>
      <c r="F1668" s="15" t="s">
        <v>125</v>
      </c>
      <c r="G1668" s="8" t="s">
        <v>124</v>
      </c>
      <c r="H1668" s="14"/>
      <c r="I1668" s="13"/>
      <c r="J1668" s="8" t="s">
        <v>99</v>
      </c>
      <c r="K1668" s="8" t="s">
        <v>21</v>
      </c>
      <c r="L1668" s="7"/>
      <c r="M1668" s="7" t="str">
        <f>IF(C1668="Caixa","-",VLOOKUP(J1668,[1]Estrutura!C:E,3,FALSE))</f>
        <v>4.3</v>
      </c>
      <c r="N1668" s="7"/>
      <c r="O1668" s="7">
        <f t="shared" si="100"/>
        <v>18</v>
      </c>
      <c r="P1668" s="7">
        <f t="shared" si="101"/>
        <v>12</v>
      </c>
      <c r="Q1668" s="7">
        <f t="shared" si="102"/>
        <v>2026</v>
      </c>
      <c r="R1668" s="6">
        <f t="shared" si="103"/>
        <v>-99.35</v>
      </c>
      <c r="S1668" s="12">
        <v>46376</v>
      </c>
    </row>
    <row r="1669" spans="1:19">
      <c r="A1669" s="12">
        <v>46374</v>
      </c>
      <c r="B1669" s="7" t="s">
        <v>26</v>
      </c>
      <c r="C1669" s="7" t="s">
        <v>6</v>
      </c>
      <c r="D1669" s="11"/>
      <c r="E1669" s="11">
        <v>578.65</v>
      </c>
      <c r="F1669" s="11" t="s">
        <v>125</v>
      </c>
      <c r="G1669" s="7" t="s">
        <v>124</v>
      </c>
      <c r="H1669" s="10"/>
      <c r="I1669" s="9"/>
      <c r="J1669" s="8" t="s">
        <v>99</v>
      </c>
      <c r="K1669" s="7" t="s">
        <v>21</v>
      </c>
      <c r="L1669" s="8"/>
      <c r="M1669" s="8" t="str">
        <f>IF(C1669="Caixa","-",VLOOKUP(J1669,[1]Estrutura!C:E,3,FALSE))</f>
        <v>4.3</v>
      </c>
      <c r="N1669" s="8"/>
      <c r="O1669" s="7">
        <f t="shared" si="100"/>
        <v>18</v>
      </c>
      <c r="P1669" s="7">
        <f t="shared" si="101"/>
        <v>12</v>
      </c>
      <c r="Q1669" s="7">
        <f t="shared" si="102"/>
        <v>2026</v>
      </c>
      <c r="R1669" s="6">
        <f t="shared" si="103"/>
        <v>-578.65</v>
      </c>
      <c r="S1669" s="16">
        <v>46376</v>
      </c>
    </row>
    <row r="1670" spans="1:19">
      <c r="A1670" s="16">
        <v>46374</v>
      </c>
      <c r="B1670" s="7" t="s">
        <v>7</v>
      </c>
      <c r="C1670" s="7" t="s">
        <v>9</v>
      </c>
      <c r="D1670" s="15">
        <v>8352.36</v>
      </c>
      <c r="E1670" s="15"/>
      <c r="F1670" s="15"/>
      <c r="G1670" s="8" t="s">
        <v>11</v>
      </c>
      <c r="H1670" s="8"/>
      <c r="I1670" s="17"/>
      <c r="J1670" s="8" t="s">
        <v>10</v>
      </c>
      <c r="K1670" s="8"/>
      <c r="L1670" s="7"/>
      <c r="M1670" s="7" t="str">
        <f>IF(C1670="Caixa","-",VLOOKUP(J1670,[1]Estrutura!C:E,3,FALSE))</f>
        <v>1.1</v>
      </c>
      <c r="N1670" s="7"/>
      <c r="O1670" s="7">
        <f t="shared" si="100"/>
        <v>18</v>
      </c>
      <c r="P1670" s="7">
        <f t="shared" si="101"/>
        <v>12</v>
      </c>
      <c r="Q1670" s="7">
        <f t="shared" si="102"/>
        <v>2026</v>
      </c>
      <c r="R1670" s="6">
        <f t="shared" si="103"/>
        <v>8352.36</v>
      </c>
      <c r="S1670" s="12">
        <v>46376</v>
      </c>
    </row>
    <row r="1671" spans="1:19">
      <c r="A1671" s="16">
        <v>46375</v>
      </c>
      <c r="B1671" s="8" t="s">
        <v>14</v>
      </c>
      <c r="C1671" s="7" t="s">
        <v>9</v>
      </c>
      <c r="D1671" s="15">
        <v>2112.06</v>
      </c>
      <c r="E1671" s="15"/>
      <c r="F1671" s="15"/>
      <c r="G1671" s="8" t="s">
        <v>11</v>
      </c>
      <c r="H1671" s="8"/>
      <c r="I1671" s="17"/>
      <c r="J1671" s="8" t="s">
        <v>10</v>
      </c>
      <c r="K1671" s="8"/>
      <c r="L1671" s="8"/>
      <c r="M1671" s="8" t="str">
        <f>IF(C1671="Caixa","-",VLOOKUP(J1671,[1]Estrutura!C:E,3,FALSE))</f>
        <v>1.1</v>
      </c>
      <c r="N1671" s="8"/>
      <c r="O1671" s="7">
        <f t="shared" si="100"/>
        <v>19</v>
      </c>
      <c r="P1671" s="7">
        <f t="shared" si="101"/>
        <v>12</v>
      </c>
      <c r="Q1671" s="7">
        <f t="shared" si="102"/>
        <v>2026</v>
      </c>
      <c r="R1671" s="6">
        <f t="shared" si="103"/>
        <v>2112.06</v>
      </c>
      <c r="S1671" s="16">
        <v>46376</v>
      </c>
    </row>
    <row r="1672" spans="1:19">
      <c r="A1672" s="16">
        <v>46375</v>
      </c>
      <c r="B1672" s="8" t="s">
        <v>14</v>
      </c>
      <c r="C1672" s="8" t="s">
        <v>9</v>
      </c>
      <c r="D1672" s="15"/>
      <c r="E1672" s="15">
        <v>493.9</v>
      </c>
      <c r="F1672" s="15" t="s">
        <v>24</v>
      </c>
      <c r="G1672" s="8" t="s">
        <v>24</v>
      </c>
      <c r="H1672" s="14"/>
      <c r="I1672" s="13"/>
      <c r="J1672" s="8" t="s">
        <v>22</v>
      </c>
      <c r="K1672" s="8"/>
      <c r="L1672" s="7"/>
      <c r="M1672" s="7" t="str">
        <f>IF(C1672="Caixa","-",VLOOKUP(J1672,[1]Estrutura!C:E,3,FALSE))</f>
        <v>4.3</v>
      </c>
      <c r="N1672" s="7"/>
      <c r="O1672" s="7">
        <f t="shared" si="100"/>
        <v>19</v>
      </c>
      <c r="P1672" s="7">
        <f t="shared" si="101"/>
        <v>12</v>
      </c>
      <c r="Q1672" s="7">
        <f t="shared" si="102"/>
        <v>2026</v>
      </c>
      <c r="R1672" s="6">
        <f t="shared" si="103"/>
        <v>-493.9</v>
      </c>
      <c r="S1672" s="12">
        <v>46376</v>
      </c>
    </row>
    <row r="1673" spans="1:19">
      <c r="A1673" s="12">
        <v>46375</v>
      </c>
      <c r="B1673" s="7" t="s">
        <v>14</v>
      </c>
      <c r="C1673" s="7" t="s">
        <v>9</v>
      </c>
      <c r="D1673" s="11"/>
      <c r="E1673" s="11">
        <v>153.63999999999999</v>
      </c>
      <c r="F1673" s="11" t="s">
        <v>24</v>
      </c>
      <c r="G1673" s="7" t="s">
        <v>123</v>
      </c>
      <c r="H1673" s="10"/>
      <c r="I1673" s="9"/>
      <c r="J1673" s="7" t="s">
        <v>22</v>
      </c>
      <c r="K1673" s="7"/>
      <c r="L1673" s="8"/>
      <c r="M1673" s="8" t="str">
        <f>IF(C1673="Caixa","-",VLOOKUP(J1673,[1]Estrutura!C:E,3,FALSE))</f>
        <v>4.3</v>
      </c>
      <c r="N1673" s="8"/>
      <c r="O1673" s="7">
        <f t="shared" si="100"/>
        <v>19</v>
      </c>
      <c r="P1673" s="7">
        <f t="shared" si="101"/>
        <v>12</v>
      </c>
      <c r="Q1673" s="7">
        <f t="shared" si="102"/>
        <v>2026</v>
      </c>
      <c r="R1673" s="6">
        <f t="shared" si="103"/>
        <v>-153.63999999999999</v>
      </c>
      <c r="S1673" s="27">
        <v>46376</v>
      </c>
    </row>
    <row r="1674" spans="1:19">
      <c r="A1674" s="16">
        <v>46375</v>
      </c>
      <c r="B1674" s="8" t="s">
        <v>26</v>
      </c>
      <c r="C1674" s="8" t="s">
        <v>6</v>
      </c>
      <c r="D1674" s="15"/>
      <c r="E1674" s="15">
        <v>2205.48</v>
      </c>
      <c r="F1674" s="15" t="s">
        <v>32</v>
      </c>
      <c r="G1674" s="8" t="s">
        <v>114</v>
      </c>
      <c r="H1674" s="14"/>
      <c r="I1674" s="13"/>
      <c r="J1674" s="8" t="s">
        <v>95</v>
      </c>
      <c r="K1674" s="18" t="s">
        <v>34</v>
      </c>
      <c r="L1674" s="7"/>
      <c r="M1674" s="7" t="str">
        <f>IF(C1674="Caixa","-",VLOOKUP(J1674,[1]Estrutura!C:E,3,FALSE))</f>
        <v>4.1</v>
      </c>
      <c r="N1674" s="7"/>
      <c r="O1674" s="7">
        <f t="shared" si="100"/>
        <v>19</v>
      </c>
      <c r="P1674" s="7">
        <f t="shared" si="101"/>
        <v>12</v>
      </c>
      <c r="Q1674" s="7">
        <f t="shared" si="102"/>
        <v>2026</v>
      </c>
      <c r="R1674" s="6">
        <f t="shared" si="103"/>
        <v>-2205.48</v>
      </c>
      <c r="S1674" s="26">
        <v>46376</v>
      </c>
    </row>
    <row r="1675" spans="1:19">
      <c r="A1675" s="16">
        <v>46375</v>
      </c>
      <c r="B1675" s="7" t="s">
        <v>7</v>
      </c>
      <c r="C1675" s="7" t="s">
        <v>9</v>
      </c>
      <c r="D1675" s="15">
        <v>3332.33</v>
      </c>
      <c r="E1675" s="15"/>
      <c r="F1675" s="15"/>
      <c r="G1675" s="8" t="s">
        <v>11</v>
      </c>
      <c r="H1675" s="8"/>
      <c r="I1675" s="17"/>
      <c r="J1675" s="8" t="s">
        <v>10</v>
      </c>
      <c r="K1675" s="8"/>
      <c r="L1675" s="8"/>
      <c r="M1675" s="8" t="str">
        <f>IF(C1675="Caixa","-",VLOOKUP(J1675,[1]Estrutura!C:E,3,FALSE))</f>
        <v>1.1</v>
      </c>
      <c r="N1675" s="8"/>
      <c r="O1675" s="7">
        <f t="shared" si="100"/>
        <v>19</v>
      </c>
      <c r="P1675" s="7">
        <f t="shared" si="101"/>
        <v>12</v>
      </c>
      <c r="Q1675" s="7">
        <f t="shared" si="102"/>
        <v>2026</v>
      </c>
      <c r="R1675" s="6">
        <f t="shared" si="103"/>
        <v>3332.33</v>
      </c>
      <c r="S1675" s="16">
        <v>46376</v>
      </c>
    </row>
    <row r="1676" spans="1:19">
      <c r="A1676" s="16">
        <v>46376</v>
      </c>
      <c r="B1676" s="7" t="s">
        <v>122</v>
      </c>
      <c r="C1676" s="7" t="s">
        <v>6</v>
      </c>
      <c r="D1676" s="15"/>
      <c r="E1676" s="15">
        <v>3000</v>
      </c>
      <c r="F1676" s="11" t="s">
        <v>121</v>
      </c>
      <c r="G1676" s="8" t="s">
        <v>120</v>
      </c>
      <c r="H1676" s="14"/>
      <c r="I1676" s="13"/>
      <c r="J1676" s="7" t="s">
        <v>119</v>
      </c>
      <c r="K1676" s="8"/>
      <c r="L1676" s="7"/>
      <c r="M1676" s="7" t="str">
        <f>IF(C1676="Caixa","-",VLOOKUP(J1676,[1]Estrutura!C:E,3,FALSE))</f>
        <v>4.5</v>
      </c>
      <c r="N1676" s="7"/>
      <c r="O1676" s="7">
        <f t="shared" si="100"/>
        <v>20</v>
      </c>
      <c r="P1676" s="7">
        <f t="shared" si="101"/>
        <v>12</v>
      </c>
      <c r="Q1676" s="7">
        <f t="shared" si="102"/>
        <v>2026</v>
      </c>
      <c r="R1676" s="6">
        <f t="shared" si="103"/>
        <v>-3000</v>
      </c>
      <c r="S1676" s="12">
        <v>46376</v>
      </c>
    </row>
    <row r="1677" spans="1:19">
      <c r="A1677" s="16">
        <v>46376</v>
      </c>
      <c r="B1677" s="8" t="s">
        <v>14</v>
      </c>
      <c r="C1677" s="7" t="s">
        <v>9</v>
      </c>
      <c r="D1677" s="15">
        <v>3472.13</v>
      </c>
      <c r="E1677" s="15"/>
      <c r="F1677" s="15"/>
      <c r="G1677" s="8" t="s">
        <v>11</v>
      </c>
      <c r="H1677" s="8"/>
      <c r="I1677" s="17"/>
      <c r="J1677" s="8" t="s">
        <v>10</v>
      </c>
      <c r="K1677" s="8"/>
      <c r="L1677" s="8"/>
      <c r="M1677" s="8" t="str">
        <f>IF(C1677="Caixa","-",VLOOKUP(J1677,[1]Estrutura!C:E,3,FALSE))</f>
        <v>1.1</v>
      </c>
      <c r="N1677" s="8"/>
      <c r="O1677" s="7">
        <f t="shared" si="100"/>
        <v>20</v>
      </c>
      <c r="P1677" s="7">
        <f t="shared" si="101"/>
        <v>12</v>
      </c>
      <c r="Q1677" s="7">
        <f t="shared" si="102"/>
        <v>2026</v>
      </c>
      <c r="R1677" s="6">
        <f t="shared" si="103"/>
        <v>3472.13</v>
      </c>
      <c r="S1677" s="12">
        <v>46376</v>
      </c>
    </row>
    <row r="1678" spans="1:19">
      <c r="A1678" s="16">
        <v>46376</v>
      </c>
      <c r="B1678" s="8" t="s">
        <v>14</v>
      </c>
      <c r="C1678" s="8" t="s">
        <v>9</v>
      </c>
      <c r="D1678" s="15"/>
      <c r="E1678" s="11">
        <f>2832.92/2</f>
        <v>1416.46</v>
      </c>
      <c r="F1678" s="11" t="s">
        <v>104</v>
      </c>
      <c r="G1678" s="8" t="s">
        <v>103</v>
      </c>
      <c r="H1678" s="14"/>
      <c r="I1678" s="13"/>
      <c r="J1678" s="8" t="s">
        <v>102</v>
      </c>
      <c r="K1678" s="8"/>
      <c r="L1678" s="7"/>
      <c r="M1678" s="7" t="str">
        <f>IF(C1678="Caixa","-",VLOOKUP(J1678,[1]Estrutura!C:E,3,FALSE))</f>
        <v>4.5</v>
      </c>
      <c r="N1678" s="7"/>
      <c r="O1678" s="7">
        <f t="shared" ref="O1678:O1741" si="104">DAY(A1678)</f>
        <v>20</v>
      </c>
      <c r="P1678" s="7">
        <f t="shared" ref="P1678:P1741" si="105">MONTH(A1678)</f>
        <v>12</v>
      </c>
      <c r="Q1678" s="7">
        <f t="shared" ref="Q1678:Q1741" si="106">YEAR(A1678)</f>
        <v>2026</v>
      </c>
      <c r="R1678" s="6">
        <f t="shared" ref="R1678:R1741" si="107">D1678-E1678</f>
        <v>-1416.46</v>
      </c>
      <c r="S1678" s="12">
        <v>46376</v>
      </c>
    </row>
    <row r="1679" spans="1:19">
      <c r="A1679" s="16">
        <v>46376</v>
      </c>
      <c r="B1679" s="8" t="s">
        <v>14</v>
      </c>
      <c r="C1679" s="8" t="s">
        <v>9</v>
      </c>
      <c r="D1679" s="15"/>
      <c r="E1679" s="15">
        <v>427.2399999999999</v>
      </c>
      <c r="F1679" s="15"/>
      <c r="G1679" s="8" t="s">
        <v>8</v>
      </c>
      <c r="H1679" s="14"/>
      <c r="I1679" s="13"/>
      <c r="J1679" s="8" t="s">
        <v>4</v>
      </c>
      <c r="K1679" s="8"/>
      <c r="L1679" s="8"/>
      <c r="M1679" s="8" t="str">
        <f>IF(C1679="Caixa","-",VLOOKUP(J1679,[1]Estrutura!C:E,3,FALSE))</f>
        <v>5.2</v>
      </c>
      <c r="N1679" s="8"/>
      <c r="O1679" s="7">
        <f t="shared" si="104"/>
        <v>20</v>
      </c>
      <c r="P1679" s="7">
        <f t="shared" si="105"/>
        <v>12</v>
      </c>
      <c r="Q1679" s="7">
        <f t="shared" si="106"/>
        <v>2026</v>
      </c>
      <c r="R1679" s="6">
        <f t="shared" si="107"/>
        <v>-427.2399999999999</v>
      </c>
      <c r="S1679" s="16">
        <v>46376</v>
      </c>
    </row>
    <row r="1680" spans="1:19">
      <c r="A1680" s="12">
        <v>46376</v>
      </c>
      <c r="B1680" s="7" t="s">
        <v>14</v>
      </c>
      <c r="C1680" s="7" t="s">
        <v>9</v>
      </c>
      <c r="D1680" s="11"/>
      <c r="E1680" s="11">
        <v>387.72</v>
      </c>
      <c r="F1680" s="11" t="s">
        <v>118</v>
      </c>
      <c r="G1680" s="7" t="s">
        <v>117</v>
      </c>
      <c r="H1680" s="10"/>
      <c r="I1680" s="9"/>
      <c r="J1680" s="7" t="s">
        <v>116</v>
      </c>
      <c r="K1680" s="7"/>
      <c r="L1680" s="7"/>
      <c r="M1680" s="7" t="str">
        <f>IF(C1680="Caixa","-",VLOOKUP(J1680,[1]Estrutura!C:E,3,FALSE))</f>
        <v>4.12</v>
      </c>
      <c r="N1680" s="7"/>
      <c r="O1680" s="7">
        <f t="shared" si="104"/>
        <v>20</v>
      </c>
      <c r="P1680" s="7">
        <f t="shared" si="105"/>
        <v>12</v>
      </c>
      <c r="Q1680" s="7">
        <f t="shared" si="106"/>
        <v>2026</v>
      </c>
      <c r="R1680" s="6">
        <f t="shared" si="107"/>
        <v>-387.72</v>
      </c>
      <c r="S1680" s="12">
        <v>46376</v>
      </c>
    </row>
    <row r="1681" spans="1:19">
      <c r="A1681" s="16">
        <v>46376</v>
      </c>
      <c r="B1681" s="7" t="s">
        <v>14</v>
      </c>
      <c r="C1681" s="7" t="s">
        <v>9</v>
      </c>
      <c r="D1681" s="15"/>
      <c r="E1681" s="15">
        <v>1666.6666666666667</v>
      </c>
      <c r="F1681" s="15"/>
      <c r="G1681" s="8" t="s">
        <v>61</v>
      </c>
      <c r="H1681" s="15"/>
      <c r="I1681" s="17"/>
      <c r="J1681" s="8" t="s">
        <v>115</v>
      </c>
      <c r="K1681" s="8"/>
      <c r="L1681" s="8"/>
      <c r="M1681" s="8" t="str">
        <f>IF(C1681="Caixa","-",VLOOKUP(J1681,[1]Estrutura!C:E,3,FALSE))</f>
        <v>4.1</v>
      </c>
      <c r="N1681" s="8"/>
      <c r="O1681" s="7">
        <f t="shared" si="104"/>
        <v>20</v>
      </c>
      <c r="P1681" s="7">
        <f t="shared" si="105"/>
        <v>12</v>
      </c>
      <c r="Q1681" s="7">
        <f t="shared" si="106"/>
        <v>2026</v>
      </c>
      <c r="R1681" s="6">
        <f t="shared" si="107"/>
        <v>-1666.6666666666667</v>
      </c>
      <c r="S1681" s="16">
        <v>46376</v>
      </c>
    </row>
    <row r="1682" spans="1:19">
      <c r="A1682" s="16">
        <v>46376</v>
      </c>
      <c r="B1682" s="8" t="s">
        <v>14</v>
      </c>
      <c r="C1682" s="8" t="s">
        <v>9</v>
      </c>
      <c r="D1682" s="15"/>
      <c r="E1682" s="15">
        <v>7864.88</v>
      </c>
      <c r="F1682" s="15" t="s">
        <v>32</v>
      </c>
      <c r="G1682" s="8" t="s">
        <v>114</v>
      </c>
      <c r="H1682" s="14"/>
      <c r="I1682" s="13"/>
      <c r="J1682" s="8" t="s">
        <v>95</v>
      </c>
      <c r="K1682" s="8"/>
      <c r="L1682" s="7"/>
      <c r="M1682" s="7" t="str">
        <f>IF(C1682="Caixa","-",VLOOKUP(J1682,[1]Estrutura!C:E,3,FALSE))</f>
        <v>4.1</v>
      </c>
      <c r="N1682" s="7"/>
      <c r="O1682" s="7">
        <f t="shared" si="104"/>
        <v>20</v>
      </c>
      <c r="P1682" s="7">
        <f t="shared" si="105"/>
        <v>12</v>
      </c>
      <c r="Q1682" s="7">
        <f t="shared" si="106"/>
        <v>2026</v>
      </c>
      <c r="R1682" s="6">
        <f t="shared" si="107"/>
        <v>-7864.88</v>
      </c>
      <c r="S1682" s="12">
        <v>46376</v>
      </c>
    </row>
    <row r="1683" spans="1:19">
      <c r="A1683" s="16">
        <v>46376</v>
      </c>
      <c r="B1683" s="8" t="s">
        <v>14</v>
      </c>
      <c r="C1683" s="8" t="s">
        <v>9</v>
      </c>
      <c r="D1683" s="15"/>
      <c r="E1683" s="15">
        <v>5227</v>
      </c>
      <c r="F1683" s="15" t="s">
        <v>50</v>
      </c>
      <c r="G1683" s="8" t="s">
        <v>70</v>
      </c>
      <c r="H1683" s="14"/>
      <c r="I1683" s="13"/>
      <c r="J1683" s="7" t="s">
        <v>35</v>
      </c>
      <c r="K1683" s="8"/>
      <c r="L1683" s="8"/>
      <c r="M1683" s="8" t="str">
        <f>IF(C1683="Caixa","-",VLOOKUP(J1683,[1]Estrutura!C:E,3,FALSE))</f>
        <v>4.1</v>
      </c>
      <c r="N1683" s="8"/>
      <c r="O1683" s="7">
        <f t="shared" si="104"/>
        <v>20</v>
      </c>
      <c r="P1683" s="7">
        <f t="shared" si="105"/>
        <v>12</v>
      </c>
      <c r="Q1683" s="7">
        <f t="shared" si="106"/>
        <v>2026</v>
      </c>
      <c r="R1683" s="6">
        <f t="shared" si="107"/>
        <v>-5227</v>
      </c>
      <c r="S1683" s="16">
        <v>46376</v>
      </c>
    </row>
    <row r="1684" spans="1:19">
      <c r="A1684" s="12">
        <v>46376</v>
      </c>
      <c r="B1684" s="7" t="s">
        <v>14</v>
      </c>
      <c r="C1684" s="7" t="s">
        <v>9</v>
      </c>
      <c r="D1684" s="11"/>
      <c r="E1684" s="11">
        <v>2815</v>
      </c>
      <c r="F1684" s="11" t="s">
        <v>51</v>
      </c>
      <c r="G1684" s="11" t="s">
        <v>113</v>
      </c>
      <c r="H1684" s="10"/>
      <c r="I1684" s="9"/>
      <c r="J1684" s="7" t="s">
        <v>35</v>
      </c>
      <c r="K1684" s="7"/>
      <c r="L1684" s="7"/>
      <c r="M1684" s="7" t="str">
        <f>IF(C1684="Caixa","-",VLOOKUP(J1684,[1]Estrutura!C:E,3,FALSE))</f>
        <v>4.1</v>
      </c>
      <c r="N1684" s="7"/>
      <c r="O1684" s="7">
        <f t="shared" si="104"/>
        <v>20</v>
      </c>
      <c r="P1684" s="7">
        <f t="shared" si="105"/>
        <v>12</v>
      </c>
      <c r="Q1684" s="7">
        <f t="shared" si="106"/>
        <v>2026</v>
      </c>
      <c r="R1684" s="6">
        <f t="shared" si="107"/>
        <v>-2815</v>
      </c>
      <c r="S1684" s="16">
        <v>46377</v>
      </c>
    </row>
    <row r="1685" spans="1:19">
      <c r="A1685" s="12">
        <v>46376</v>
      </c>
      <c r="B1685" s="7" t="s">
        <v>14</v>
      </c>
      <c r="C1685" s="7" t="s">
        <v>9</v>
      </c>
      <c r="D1685" s="11"/>
      <c r="E1685" s="11">
        <v>8400</v>
      </c>
      <c r="F1685" s="11" t="s">
        <v>49</v>
      </c>
      <c r="G1685" s="7" t="s">
        <v>36</v>
      </c>
      <c r="H1685" s="10"/>
      <c r="I1685" s="9"/>
      <c r="J1685" s="7" t="s">
        <v>35</v>
      </c>
      <c r="K1685" s="7"/>
      <c r="L1685" s="8"/>
      <c r="M1685" s="8" t="str">
        <f>IF(C1685="Caixa","-",VLOOKUP(J1685,[1]Estrutura!C:E,3,FALSE))</f>
        <v>4.1</v>
      </c>
      <c r="N1685" s="8"/>
      <c r="O1685" s="7">
        <f t="shared" si="104"/>
        <v>20</v>
      </c>
      <c r="P1685" s="7">
        <f t="shared" si="105"/>
        <v>12</v>
      </c>
      <c r="Q1685" s="7">
        <f t="shared" si="106"/>
        <v>2026</v>
      </c>
      <c r="R1685" s="6">
        <f t="shared" si="107"/>
        <v>-8400</v>
      </c>
      <c r="S1685" s="12">
        <v>46377</v>
      </c>
    </row>
    <row r="1686" spans="1:19">
      <c r="A1686" s="16">
        <v>46376</v>
      </c>
      <c r="B1686" s="8" t="s">
        <v>14</v>
      </c>
      <c r="C1686" s="8" t="s">
        <v>9</v>
      </c>
      <c r="D1686" s="15"/>
      <c r="E1686" s="11">
        <v>8811</v>
      </c>
      <c r="F1686" s="15" t="s">
        <v>94</v>
      </c>
      <c r="G1686" s="8" t="s">
        <v>39</v>
      </c>
      <c r="H1686" s="14"/>
      <c r="I1686" s="13"/>
      <c r="J1686" s="8" t="s">
        <v>83</v>
      </c>
      <c r="K1686" s="8"/>
      <c r="L1686" s="7"/>
      <c r="M1686" s="7" t="str">
        <f>IF(C1686="Caixa","-",VLOOKUP(J1686,[1]Estrutura!C:E,3,FALSE))</f>
        <v>4.1</v>
      </c>
      <c r="N1686" s="7"/>
      <c r="O1686" s="7">
        <f t="shared" si="104"/>
        <v>20</v>
      </c>
      <c r="P1686" s="7">
        <f t="shared" si="105"/>
        <v>12</v>
      </c>
      <c r="Q1686" s="7">
        <f t="shared" si="106"/>
        <v>2026</v>
      </c>
      <c r="R1686" s="6">
        <f t="shared" si="107"/>
        <v>-8811</v>
      </c>
      <c r="S1686" s="16">
        <v>46377</v>
      </c>
    </row>
    <row r="1687" spans="1:19">
      <c r="A1687" s="12">
        <v>46376</v>
      </c>
      <c r="B1687" s="7" t="s">
        <v>14</v>
      </c>
      <c r="C1687" s="7" t="s">
        <v>9</v>
      </c>
      <c r="D1687" s="11"/>
      <c r="E1687" s="11">
        <v>8811</v>
      </c>
      <c r="F1687" s="11" t="s">
        <v>94</v>
      </c>
      <c r="G1687" s="7" t="s">
        <v>84</v>
      </c>
      <c r="H1687" s="10"/>
      <c r="I1687" s="9"/>
      <c r="J1687" s="7" t="s">
        <v>83</v>
      </c>
      <c r="K1687" s="7"/>
      <c r="L1687" s="8"/>
      <c r="M1687" s="8" t="str">
        <f>IF(C1687="Caixa","-",VLOOKUP(J1687,[1]Estrutura!C:E,3,FALSE))</f>
        <v>4.1</v>
      </c>
      <c r="N1687" s="8"/>
      <c r="O1687" s="7">
        <f t="shared" si="104"/>
        <v>20</v>
      </c>
      <c r="P1687" s="7">
        <f t="shared" si="105"/>
        <v>12</v>
      </c>
      <c r="Q1687" s="7">
        <f t="shared" si="106"/>
        <v>2026</v>
      </c>
      <c r="R1687" s="6">
        <f t="shared" si="107"/>
        <v>-8811</v>
      </c>
      <c r="S1687" s="16">
        <v>46377</v>
      </c>
    </row>
    <row r="1688" spans="1:19">
      <c r="A1688" s="12">
        <v>46376</v>
      </c>
      <c r="B1688" s="7" t="s">
        <v>14</v>
      </c>
      <c r="C1688" s="7" t="s">
        <v>9</v>
      </c>
      <c r="D1688" s="11"/>
      <c r="E1688" s="15">
        <v>800</v>
      </c>
      <c r="F1688" s="11" t="s">
        <v>51</v>
      </c>
      <c r="G1688" s="8" t="s">
        <v>112</v>
      </c>
      <c r="H1688" s="10"/>
      <c r="I1688" s="9"/>
      <c r="J1688" s="7" t="s">
        <v>110</v>
      </c>
      <c r="K1688" s="7"/>
      <c r="L1688" s="7"/>
      <c r="M1688" s="7" t="str">
        <f>IF(C1688="Caixa","-",VLOOKUP(J1688,[1]Estrutura!C:E,3,FALSE))</f>
        <v>4.1</v>
      </c>
      <c r="N1688" s="7"/>
      <c r="O1688" s="7">
        <f t="shared" si="104"/>
        <v>20</v>
      </c>
      <c r="P1688" s="7">
        <f t="shared" si="105"/>
        <v>12</v>
      </c>
      <c r="Q1688" s="7">
        <f t="shared" si="106"/>
        <v>2026</v>
      </c>
      <c r="R1688" s="6">
        <f t="shared" si="107"/>
        <v>-800</v>
      </c>
      <c r="S1688" s="12">
        <v>46377</v>
      </c>
    </row>
    <row r="1689" spans="1:19">
      <c r="A1689" s="12">
        <v>46376</v>
      </c>
      <c r="B1689" s="7" t="s">
        <v>14</v>
      </c>
      <c r="C1689" s="7" t="s">
        <v>9</v>
      </c>
      <c r="D1689" s="11"/>
      <c r="E1689" s="15">
        <v>800</v>
      </c>
      <c r="F1689" s="11" t="s">
        <v>49</v>
      </c>
      <c r="G1689" s="7" t="s">
        <v>112</v>
      </c>
      <c r="H1689" s="10"/>
      <c r="I1689" s="9"/>
      <c r="J1689" s="7" t="s">
        <v>110</v>
      </c>
      <c r="K1689" s="7"/>
      <c r="L1689" s="8"/>
      <c r="M1689" s="8" t="str">
        <f>IF(C1689="Caixa","-",VLOOKUP(J1689,[1]Estrutura!C:E,3,FALSE))</f>
        <v>4.1</v>
      </c>
      <c r="N1689" s="8"/>
      <c r="O1689" s="7">
        <f t="shared" si="104"/>
        <v>20</v>
      </c>
      <c r="P1689" s="7">
        <f t="shared" si="105"/>
        <v>12</v>
      </c>
      <c r="Q1689" s="7">
        <f t="shared" si="106"/>
        <v>2026</v>
      </c>
      <c r="R1689" s="6">
        <f t="shared" si="107"/>
        <v>-800</v>
      </c>
      <c r="S1689" s="12">
        <v>46377</v>
      </c>
    </row>
    <row r="1690" spans="1:19">
      <c r="A1690" s="16">
        <v>46376</v>
      </c>
      <c r="B1690" s="8" t="s">
        <v>14</v>
      </c>
      <c r="C1690" s="8" t="s">
        <v>9</v>
      </c>
      <c r="D1690" s="15"/>
      <c r="E1690" s="15">
        <v>724.5</v>
      </c>
      <c r="F1690" s="15" t="s">
        <v>50</v>
      </c>
      <c r="G1690" s="8" t="s">
        <v>111</v>
      </c>
      <c r="H1690" s="14"/>
      <c r="I1690" s="13"/>
      <c r="J1690" s="8" t="s">
        <v>110</v>
      </c>
      <c r="K1690" s="8"/>
      <c r="L1690" s="7"/>
      <c r="M1690" s="7" t="str">
        <f>IF(C1690="Caixa","-",VLOOKUP(J1690,[1]Estrutura!C:E,3,FALSE))</f>
        <v>4.1</v>
      </c>
      <c r="N1690" s="7"/>
      <c r="O1690" s="7">
        <f t="shared" si="104"/>
        <v>20</v>
      </c>
      <c r="P1690" s="7">
        <f t="shared" si="105"/>
        <v>12</v>
      </c>
      <c r="Q1690" s="7">
        <f t="shared" si="106"/>
        <v>2026</v>
      </c>
      <c r="R1690" s="6">
        <f t="shared" si="107"/>
        <v>-724.5</v>
      </c>
      <c r="S1690" s="12">
        <v>46377</v>
      </c>
    </row>
    <row r="1691" spans="1:19">
      <c r="A1691" s="12">
        <v>46376</v>
      </c>
      <c r="B1691" s="8" t="s">
        <v>26</v>
      </c>
      <c r="C1691" s="8" t="s">
        <v>25</v>
      </c>
      <c r="D1691" s="15">
        <v>1442</v>
      </c>
      <c r="E1691" s="15"/>
      <c r="F1691" s="15" t="s">
        <v>109</v>
      </c>
      <c r="G1691" s="8" t="s">
        <v>108</v>
      </c>
      <c r="H1691" s="14"/>
      <c r="I1691" s="13"/>
      <c r="J1691" s="8" t="s">
        <v>107</v>
      </c>
      <c r="K1691" s="24" t="s">
        <v>21</v>
      </c>
      <c r="L1691" s="8"/>
      <c r="M1691" s="8" t="str">
        <f>IF(C1691="Caixa","-",VLOOKUP(J1691,[1]Estrutura!C:E,3,FALSE))</f>
        <v>1.4</v>
      </c>
      <c r="N1691" s="8"/>
      <c r="O1691" s="7">
        <f t="shared" si="104"/>
        <v>20</v>
      </c>
      <c r="P1691" s="7">
        <f t="shared" si="105"/>
        <v>12</v>
      </c>
      <c r="Q1691" s="7">
        <f t="shared" si="106"/>
        <v>2026</v>
      </c>
      <c r="R1691" s="6">
        <f t="shared" si="107"/>
        <v>1442</v>
      </c>
      <c r="S1691" s="12">
        <v>46377</v>
      </c>
    </row>
    <row r="1692" spans="1:19">
      <c r="A1692" s="16">
        <v>46376</v>
      </c>
      <c r="B1692" s="8" t="s">
        <v>26</v>
      </c>
      <c r="C1692" s="8" t="s">
        <v>6</v>
      </c>
      <c r="D1692" s="15"/>
      <c r="E1692" s="15">
        <f>1053.45/2</f>
        <v>526.72500000000002</v>
      </c>
      <c r="F1692" s="11" t="s">
        <v>104</v>
      </c>
      <c r="G1692" s="8" t="s">
        <v>103</v>
      </c>
      <c r="H1692" s="14"/>
      <c r="I1692" s="13"/>
      <c r="J1692" s="8" t="s">
        <v>102</v>
      </c>
      <c r="K1692" s="8" t="s">
        <v>21</v>
      </c>
      <c r="L1692" s="7"/>
      <c r="M1692" s="7" t="str">
        <f>IF(C1692="Caixa","-",VLOOKUP(J1692,[1]Estrutura!C:E,3,FALSE))</f>
        <v>4.5</v>
      </c>
      <c r="N1692" s="7"/>
      <c r="O1692" s="7">
        <f t="shared" si="104"/>
        <v>20</v>
      </c>
      <c r="P1692" s="7">
        <f t="shared" si="105"/>
        <v>12</v>
      </c>
      <c r="Q1692" s="7">
        <f t="shared" si="106"/>
        <v>2026</v>
      </c>
      <c r="R1692" s="6">
        <f t="shared" si="107"/>
        <v>-526.72500000000002</v>
      </c>
      <c r="S1692" s="16">
        <v>46377</v>
      </c>
    </row>
    <row r="1693" spans="1:19">
      <c r="A1693" s="12">
        <v>46376</v>
      </c>
      <c r="B1693" s="7" t="s">
        <v>26</v>
      </c>
      <c r="C1693" s="7" t="s">
        <v>6</v>
      </c>
      <c r="D1693" s="11"/>
      <c r="E1693" s="11">
        <v>259.10000000000002</v>
      </c>
      <c r="F1693" s="11" t="s">
        <v>106</v>
      </c>
      <c r="G1693" s="7" t="s">
        <v>105</v>
      </c>
      <c r="H1693" s="10"/>
      <c r="I1693" s="9"/>
      <c r="J1693" s="7" t="s">
        <v>77</v>
      </c>
      <c r="K1693" s="7" t="s">
        <v>40</v>
      </c>
      <c r="L1693" s="8"/>
      <c r="M1693" s="8" t="str">
        <f>IF(C1693="Caixa","-",VLOOKUP(J1693,[1]Estrutura!C:E,3,FALSE))</f>
        <v>4.3</v>
      </c>
      <c r="N1693" s="8"/>
      <c r="O1693" s="7">
        <f t="shared" si="104"/>
        <v>20</v>
      </c>
      <c r="P1693" s="7">
        <f t="shared" si="105"/>
        <v>12</v>
      </c>
      <c r="Q1693" s="7">
        <f t="shared" si="106"/>
        <v>2026</v>
      </c>
      <c r="R1693" s="6">
        <f t="shared" si="107"/>
        <v>-259.10000000000002</v>
      </c>
      <c r="S1693" s="12">
        <v>46377</v>
      </c>
    </row>
    <row r="1694" spans="1:19">
      <c r="A1694" s="27">
        <v>46376</v>
      </c>
      <c r="B1694" s="7" t="s">
        <v>26</v>
      </c>
      <c r="C1694" s="18" t="s">
        <v>6</v>
      </c>
      <c r="D1694" s="11"/>
      <c r="E1694" s="11">
        <v>2174</v>
      </c>
      <c r="F1694" s="11" t="s">
        <v>71</v>
      </c>
      <c r="G1694" s="11" t="s">
        <v>39</v>
      </c>
      <c r="H1694" s="10"/>
      <c r="I1694" s="22"/>
      <c r="J1694" s="7" t="s">
        <v>35</v>
      </c>
      <c r="K1694" s="7" t="s">
        <v>40</v>
      </c>
      <c r="L1694" s="7"/>
      <c r="M1694" s="7" t="str">
        <f>IF(C1694="Caixa","-",VLOOKUP(J1694,[1]Estrutura!C:E,3,FALSE))</f>
        <v>4.1</v>
      </c>
      <c r="N1694" s="7"/>
      <c r="O1694" s="7">
        <f t="shared" si="104"/>
        <v>20</v>
      </c>
      <c r="P1694" s="7">
        <f t="shared" si="105"/>
        <v>12</v>
      </c>
      <c r="Q1694" s="7">
        <f t="shared" si="106"/>
        <v>2026</v>
      </c>
      <c r="R1694" s="6">
        <f t="shared" si="107"/>
        <v>-2174</v>
      </c>
      <c r="S1694" s="12">
        <v>46377</v>
      </c>
    </row>
    <row r="1695" spans="1:19">
      <c r="A1695" s="26">
        <v>46376</v>
      </c>
      <c r="B1695" s="8" t="s">
        <v>26</v>
      </c>
      <c r="C1695" s="8" t="s">
        <v>6</v>
      </c>
      <c r="D1695" s="15"/>
      <c r="E1695" s="15">
        <v>3045</v>
      </c>
      <c r="F1695" s="15" t="s">
        <v>47</v>
      </c>
      <c r="G1695" s="8" t="s">
        <v>36</v>
      </c>
      <c r="H1695" s="14"/>
      <c r="I1695" s="13"/>
      <c r="J1695" s="7" t="s">
        <v>35</v>
      </c>
      <c r="K1695" s="8" t="s">
        <v>21</v>
      </c>
      <c r="L1695" s="8"/>
      <c r="M1695" s="8" t="str">
        <f>IF(C1695="Caixa","-",VLOOKUP(J1695,[1]Estrutura!C:E,3,FALSE))</f>
        <v>4.1</v>
      </c>
      <c r="N1695" s="8"/>
      <c r="O1695" s="7">
        <f t="shared" si="104"/>
        <v>20</v>
      </c>
      <c r="P1695" s="7">
        <f t="shared" si="105"/>
        <v>12</v>
      </c>
      <c r="Q1695" s="7">
        <f t="shared" si="106"/>
        <v>2026</v>
      </c>
      <c r="R1695" s="6">
        <f t="shared" si="107"/>
        <v>-3045</v>
      </c>
      <c r="S1695" s="16">
        <v>46377</v>
      </c>
    </row>
    <row r="1696" spans="1:19">
      <c r="A1696" s="16">
        <v>46376</v>
      </c>
      <c r="B1696" s="7" t="s">
        <v>7</v>
      </c>
      <c r="C1696" s="7" t="s">
        <v>9</v>
      </c>
      <c r="D1696" s="15">
        <v>8261.5500000000011</v>
      </c>
      <c r="E1696" s="15"/>
      <c r="F1696" s="15"/>
      <c r="G1696" s="8" t="s">
        <v>11</v>
      </c>
      <c r="H1696" s="8"/>
      <c r="I1696" s="17"/>
      <c r="J1696" s="8" t="s">
        <v>10</v>
      </c>
      <c r="K1696" s="8"/>
      <c r="L1696" s="7"/>
      <c r="M1696" s="7" t="str">
        <f>IF(C1696="Caixa","-",VLOOKUP(J1696,[1]Estrutura!C:E,3,FALSE))</f>
        <v>1.1</v>
      </c>
      <c r="N1696" s="7"/>
      <c r="O1696" s="7">
        <f t="shared" si="104"/>
        <v>20</v>
      </c>
      <c r="P1696" s="7">
        <f t="shared" si="105"/>
        <v>12</v>
      </c>
      <c r="Q1696" s="7">
        <f t="shared" si="106"/>
        <v>2026</v>
      </c>
      <c r="R1696" s="6">
        <f t="shared" si="107"/>
        <v>8261.5500000000011</v>
      </c>
      <c r="S1696" s="16">
        <v>46377</v>
      </c>
    </row>
    <row r="1697" spans="1:19">
      <c r="A1697" s="12">
        <v>46376</v>
      </c>
      <c r="B1697" s="7" t="s">
        <v>7</v>
      </c>
      <c r="C1697" s="7" t="s">
        <v>9</v>
      </c>
      <c r="D1697" s="11"/>
      <c r="E1697" s="11">
        <f>2717.81/2</f>
        <v>1358.905</v>
      </c>
      <c r="F1697" s="11" t="s">
        <v>104</v>
      </c>
      <c r="G1697" s="7" t="s">
        <v>103</v>
      </c>
      <c r="H1697" s="10"/>
      <c r="I1697" s="9"/>
      <c r="J1697" s="8" t="s">
        <v>102</v>
      </c>
      <c r="K1697" s="7"/>
      <c r="L1697" s="8"/>
      <c r="M1697" s="8" t="str">
        <f>IF(C1697="Caixa","-",VLOOKUP(J1697,[1]Estrutura!C:E,3,FALSE))</f>
        <v>4.5</v>
      </c>
      <c r="N1697" s="8"/>
      <c r="O1697" s="7">
        <f t="shared" si="104"/>
        <v>20</v>
      </c>
      <c r="P1697" s="7">
        <f t="shared" si="105"/>
        <v>12</v>
      </c>
      <c r="Q1697" s="7">
        <f t="shared" si="106"/>
        <v>2026</v>
      </c>
      <c r="R1697" s="6">
        <f t="shared" si="107"/>
        <v>-1358.905</v>
      </c>
      <c r="S1697" s="16">
        <v>46377</v>
      </c>
    </row>
    <row r="1698" spans="1:19">
      <c r="A1698" s="12">
        <v>46376</v>
      </c>
      <c r="B1698" s="7" t="s">
        <v>7</v>
      </c>
      <c r="C1698" s="7" t="s">
        <v>9</v>
      </c>
      <c r="D1698" s="11"/>
      <c r="E1698" s="11">
        <v>1358.905</v>
      </c>
      <c r="F1698" s="11" t="s">
        <v>104</v>
      </c>
      <c r="G1698" s="7" t="s">
        <v>103</v>
      </c>
      <c r="H1698" s="10"/>
      <c r="I1698" s="9"/>
      <c r="J1698" s="8" t="s">
        <v>102</v>
      </c>
      <c r="K1698" s="8"/>
      <c r="L1698" s="7"/>
      <c r="M1698" s="7" t="str">
        <f>IF(C1698="Caixa","-",VLOOKUP(J1698,[1]Estrutura!C:E,3,FALSE))</f>
        <v>4.5</v>
      </c>
      <c r="N1698" s="7"/>
      <c r="O1698" s="7">
        <f t="shared" si="104"/>
        <v>20</v>
      </c>
      <c r="P1698" s="7">
        <f t="shared" si="105"/>
        <v>12</v>
      </c>
      <c r="Q1698" s="7">
        <f t="shared" si="106"/>
        <v>2026</v>
      </c>
      <c r="R1698" s="6">
        <f t="shared" si="107"/>
        <v>-1358.905</v>
      </c>
      <c r="S1698" s="12">
        <v>46377</v>
      </c>
    </row>
    <row r="1699" spans="1:19">
      <c r="A1699" s="16">
        <v>46376</v>
      </c>
      <c r="B1699" s="8" t="s">
        <v>7</v>
      </c>
      <c r="C1699" s="8" t="s">
        <v>9</v>
      </c>
      <c r="D1699" s="15"/>
      <c r="E1699" s="15">
        <v>400</v>
      </c>
      <c r="F1699" s="15" t="s">
        <v>101</v>
      </c>
      <c r="G1699" s="16" t="s">
        <v>100</v>
      </c>
      <c r="H1699" s="14"/>
      <c r="I1699" s="13"/>
      <c r="J1699" s="8" t="s">
        <v>99</v>
      </c>
      <c r="K1699" s="8" t="s">
        <v>44</v>
      </c>
      <c r="L1699" s="8"/>
      <c r="M1699" s="8" t="str">
        <f>IF(C1699="Caixa","-",VLOOKUP(J1699,[1]Estrutura!C:E,3,FALSE))</f>
        <v>4.3</v>
      </c>
      <c r="N1699" s="8"/>
      <c r="O1699" s="7">
        <f t="shared" si="104"/>
        <v>20</v>
      </c>
      <c r="P1699" s="7">
        <f t="shared" si="105"/>
        <v>12</v>
      </c>
      <c r="Q1699" s="7">
        <f t="shared" si="106"/>
        <v>2026</v>
      </c>
      <c r="R1699" s="6">
        <f t="shared" si="107"/>
        <v>-400</v>
      </c>
      <c r="S1699" s="12">
        <v>46377</v>
      </c>
    </row>
    <row r="1700" spans="1:19">
      <c r="A1700" s="12">
        <v>46376</v>
      </c>
      <c r="B1700" s="18" t="s">
        <v>7</v>
      </c>
      <c r="C1700" s="18" t="s">
        <v>9</v>
      </c>
      <c r="D1700" s="11"/>
      <c r="E1700" s="11">
        <v>410</v>
      </c>
      <c r="F1700" s="11"/>
      <c r="G1700" s="7" t="s">
        <v>98</v>
      </c>
      <c r="H1700" s="10"/>
      <c r="I1700" s="9"/>
      <c r="J1700" s="7" t="s">
        <v>17</v>
      </c>
      <c r="K1700" s="7"/>
      <c r="L1700" s="7"/>
      <c r="M1700" s="7" t="str">
        <f>IF(C1700="Caixa","-",VLOOKUP(J1700,[1]Estrutura!C:E,3,FALSE))</f>
        <v>4.4</v>
      </c>
      <c r="N1700" s="7"/>
      <c r="O1700" s="7">
        <f t="shared" si="104"/>
        <v>20</v>
      </c>
      <c r="P1700" s="7">
        <f t="shared" si="105"/>
        <v>12</v>
      </c>
      <c r="Q1700" s="7">
        <f t="shared" si="106"/>
        <v>2026</v>
      </c>
      <c r="R1700" s="6">
        <f t="shared" si="107"/>
        <v>-410</v>
      </c>
      <c r="S1700" s="16">
        <v>46377</v>
      </c>
    </row>
    <row r="1701" spans="1:19">
      <c r="A1701" s="16">
        <v>46376</v>
      </c>
      <c r="B1701" s="8" t="s">
        <v>7</v>
      </c>
      <c r="C1701" s="8" t="s">
        <v>9</v>
      </c>
      <c r="D1701" s="15"/>
      <c r="E1701" s="15">
        <v>867.09</v>
      </c>
      <c r="F1701" s="15" t="s">
        <v>97</v>
      </c>
      <c r="G1701" s="8" t="s">
        <v>96</v>
      </c>
      <c r="H1701" s="14"/>
      <c r="I1701" s="13"/>
      <c r="J1701" s="8" t="s">
        <v>95</v>
      </c>
      <c r="K1701" s="8"/>
      <c r="L1701" s="8"/>
      <c r="M1701" s="8" t="str">
        <f>IF(C1701="Caixa","-",VLOOKUP(J1701,[1]Estrutura!C:E,3,FALSE))</f>
        <v>4.1</v>
      </c>
      <c r="N1701" s="8"/>
      <c r="O1701" s="7">
        <f t="shared" si="104"/>
        <v>20</v>
      </c>
      <c r="P1701" s="7">
        <f t="shared" si="105"/>
        <v>12</v>
      </c>
      <c r="Q1701" s="7">
        <f t="shared" si="106"/>
        <v>2026</v>
      </c>
      <c r="R1701" s="6">
        <f t="shared" si="107"/>
        <v>-867.09</v>
      </c>
      <c r="S1701" s="16">
        <v>46378</v>
      </c>
    </row>
    <row r="1702" spans="1:19">
      <c r="A1702" s="12">
        <v>46376</v>
      </c>
      <c r="B1702" s="7" t="s">
        <v>7</v>
      </c>
      <c r="C1702" s="7" t="s">
        <v>9</v>
      </c>
      <c r="D1702" s="11"/>
      <c r="E1702" s="15">
        <v>13216.9</v>
      </c>
      <c r="F1702" s="11" t="s">
        <v>94</v>
      </c>
      <c r="G1702" s="7" t="s">
        <v>39</v>
      </c>
      <c r="H1702" s="10"/>
      <c r="I1702" s="9"/>
      <c r="J1702" s="7" t="s">
        <v>83</v>
      </c>
      <c r="K1702" s="7"/>
      <c r="L1702" s="7"/>
      <c r="M1702" s="7" t="str">
        <f>IF(C1702="Caixa","-",VLOOKUP(J1702,[1]Estrutura!C:E,3,FALSE))</f>
        <v>4.1</v>
      </c>
      <c r="N1702" s="7"/>
      <c r="O1702" s="7">
        <f t="shared" si="104"/>
        <v>20</v>
      </c>
      <c r="P1702" s="7">
        <f t="shared" si="105"/>
        <v>12</v>
      </c>
      <c r="Q1702" s="7">
        <f t="shared" si="106"/>
        <v>2026</v>
      </c>
      <c r="R1702" s="6">
        <f t="shared" si="107"/>
        <v>-13216.9</v>
      </c>
      <c r="S1702" s="16">
        <v>46378</v>
      </c>
    </row>
    <row r="1703" spans="1:19">
      <c r="A1703" s="16">
        <v>46376</v>
      </c>
      <c r="B1703" s="8" t="s">
        <v>7</v>
      </c>
      <c r="C1703" s="8" t="s">
        <v>9</v>
      </c>
      <c r="D1703" s="15"/>
      <c r="E1703" s="15">
        <v>13216.9</v>
      </c>
      <c r="F1703" s="15" t="s">
        <v>94</v>
      </c>
      <c r="G1703" s="24" t="s">
        <v>84</v>
      </c>
      <c r="H1703" s="14"/>
      <c r="I1703" s="25"/>
      <c r="J1703" s="8" t="s">
        <v>83</v>
      </c>
      <c r="K1703" s="24"/>
      <c r="L1703" s="8"/>
      <c r="M1703" s="8" t="str">
        <f>IF(C1703="Caixa","-",VLOOKUP(J1703,[1]Estrutura!C:E,3,FALSE))</f>
        <v>4.1</v>
      </c>
      <c r="N1703" s="8"/>
      <c r="O1703" s="7">
        <f t="shared" si="104"/>
        <v>20</v>
      </c>
      <c r="P1703" s="7">
        <f t="shared" si="105"/>
        <v>12</v>
      </c>
      <c r="Q1703" s="7">
        <f t="shared" si="106"/>
        <v>2026</v>
      </c>
      <c r="R1703" s="6">
        <f t="shared" si="107"/>
        <v>-13216.9</v>
      </c>
      <c r="S1703" s="16">
        <v>46378</v>
      </c>
    </row>
    <row r="1704" spans="1:19">
      <c r="A1704" s="16">
        <v>46377</v>
      </c>
      <c r="B1704" s="8" t="s">
        <v>14</v>
      </c>
      <c r="C1704" s="7" t="s">
        <v>9</v>
      </c>
      <c r="D1704" s="15">
        <v>2074.1999999999998</v>
      </c>
      <c r="E1704" s="15"/>
      <c r="F1704" s="15"/>
      <c r="G1704" s="8" t="s">
        <v>11</v>
      </c>
      <c r="H1704" s="8"/>
      <c r="I1704" s="17"/>
      <c r="J1704" s="8" t="s">
        <v>10</v>
      </c>
      <c r="K1704" s="8"/>
      <c r="L1704" s="7"/>
      <c r="M1704" s="7" t="str">
        <f>IF(C1704="Caixa","-",VLOOKUP(J1704,[1]Estrutura!C:E,3,FALSE))</f>
        <v>1.1</v>
      </c>
      <c r="N1704" s="7"/>
      <c r="O1704" s="7">
        <f t="shared" si="104"/>
        <v>21</v>
      </c>
      <c r="P1704" s="7">
        <f t="shared" si="105"/>
        <v>12</v>
      </c>
      <c r="Q1704" s="7">
        <f t="shared" si="106"/>
        <v>2026</v>
      </c>
      <c r="R1704" s="6">
        <f t="shared" si="107"/>
        <v>2074.1999999999998</v>
      </c>
      <c r="S1704" s="16">
        <v>46379</v>
      </c>
    </row>
    <row r="1705" spans="1:19">
      <c r="A1705" s="12">
        <v>46377</v>
      </c>
      <c r="B1705" s="7" t="s">
        <v>14</v>
      </c>
      <c r="C1705" s="7" t="s">
        <v>9</v>
      </c>
      <c r="D1705" s="11"/>
      <c r="E1705" s="15">
        <v>8811</v>
      </c>
      <c r="F1705" s="11" t="s">
        <v>85</v>
      </c>
      <c r="G1705" s="7" t="s">
        <v>39</v>
      </c>
      <c r="H1705" s="10"/>
      <c r="I1705" s="9"/>
      <c r="J1705" s="7" t="s">
        <v>83</v>
      </c>
      <c r="K1705" s="7"/>
      <c r="L1705" s="8"/>
      <c r="M1705" s="8" t="str">
        <f>IF(C1705="Caixa","-",VLOOKUP(J1705,[1]Estrutura!C:E,3,FALSE))</f>
        <v>4.1</v>
      </c>
      <c r="N1705" s="8"/>
      <c r="O1705" s="7">
        <f t="shared" si="104"/>
        <v>21</v>
      </c>
      <c r="P1705" s="7">
        <f t="shared" si="105"/>
        <v>12</v>
      </c>
      <c r="Q1705" s="7">
        <f t="shared" si="106"/>
        <v>2026</v>
      </c>
      <c r="R1705" s="6">
        <f t="shared" si="107"/>
        <v>-8811</v>
      </c>
      <c r="S1705" s="12">
        <v>46379</v>
      </c>
    </row>
    <row r="1706" spans="1:19">
      <c r="A1706" s="16">
        <v>46377</v>
      </c>
      <c r="B1706" s="8" t="s">
        <v>14</v>
      </c>
      <c r="C1706" s="8" t="s">
        <v>9</v>
      </c>
      <c r="D1706" s="15"/>
      <c r="E1706" s="15">
        <v>8811</v>
      </c>
      <c r="F1706" s="15" t="s">
        <v>85</v>
      </c>
      <c r="G1706" s="8" t="s">
        <v>84</v>
      </c>
      <c r="H1706" s="14"/>
      <c r="I1706" s="13"/>
      <c r="J1706" s="8" t="s">
        <v>83</v>
      </c>
      <c r="K1706" s="8"/>
      <c r="L1706" s="7"/>
      <c r="M1706" s="7" t="str">
        <f>IF(C1706="Caixa","-",VLOOKUP(J1706,[1]Estrutura!C:E,3,FALSE))</f>
        <v>4.1</v>
      </c>
      <c r="N1706" s="7"/>
      <c r="O1706" s="7">
        <f t="shared" si="104"/>
        <v>21</v>
      </c>
      <c r="P1706" s="7">
        <f t="shared" si="105"/>
        <v>12</v>
      </c>
      <c r="Q1706" s="7">
        <f t="shared" si="106"/>
        <v>2026</v>
      </c>
      <c r="R1706" s="6">
        <f t="shared" si="107"/>
        <v>-8811</v>
      </c>
      <c r="S1706" s="16">
        <v>46379</v>
      </c>
    </row>
    <row r="1707" spans="1:19">
      <c r="A1707" s="16">
        <v>46377</v>
      </c>
      <c r="B1707" s="8" t="s">
        <v>14</v>
      </c>
      <c r="C1707" s="8" t="s">
        <v>9</v>
      </c>
      <c r="D1707" s="15"/>
      <c r="E1707" s="11">
        <v>470.8</v>
      </c>
      <c r="F1707" s="15" t="s">
        <v>51</v>
      </c>
      <c r="G1707" s="7" t="s">
        <v>93</v>
      </c>
      <c r="H1707" s="14"/>
      <c r="I1707" s="13"/>
      <c r="J1707" s="8" t="s">
        <v>89</v>
      </c>
      <c r="K1707" s="8"/>
      <c r="L1707" s="8"/>
      <c r="M1707" s="8" t="str">
        <f>IF(C1707="Caixa","-",VLOOKUP(J1707,[1]Estrutura!C:E,3,FALSE))</f>
        <v>4.1</v>
      </c>
      <c r="N1707" s="8"/>
      <c r="O1707" s="7">
        <f t="shared" si="104"/>
        <v>21</v>
      </c>
      <c r="P1707" s="7">
        <f t="shared" si="105"/>
        <v>12</v>
      </c>
      <c r="Q1707" s="7">
        <f t="shared" si="106"/>
        <v>2026</v>
      </c>
      <c r="R1707" s="6">
        <f t="shared" si="107"/>
        <v>-470.8</v>
      </c>
      <c r="S1707" s="23">
        <v>46379</v>
      </c>
    </row>
    <row r="1708" spans="1:19">
      <c r="A1708" s="12">
        <v>46377</v>
      </c>
      <c r="B1708" s="7" t="s">
        <v>14</v>
      </c>
      <c r="C1708" s="7" t="s">
        <v>9</v>
      </c>
      <c r="D1708" s="11"/>
      <c r="E1708" s="11">
        <v>470.8</v>
      </c>
      <c r="F1708" s="11" t="s">
        <v>50</v>
      </c>
      <c r="G1708" s="7" t="s">
        <v>93</v>
      </c>
      <c r="H1708" s="10"/>
      <c r="I1708" s="9"/>
      <c r="J1708" s="7" t="s">
        <v>89</v>
      </c>
      <c r="K1708" s="7"/>
      <c r="L1708" s="7"/>
      <c r="M1708" s="7" t="str">
        <f>IF(C1708="Caixa","-",VLOOKUP(J1708,[1]Estrutura!C:E,3,FALSE))</f>
        <v>4.1</v>
      </c>
      <c r="N1708" s="7"/>
      <c r="O1708" s="7">
        <f t="shared" si="104"/>
        <v>21</v>
      </c>
      <c r="P1708" s="7">
        <f t="shared" si="105"/>
        <v>12</v>
      </c>
      <c r="Q1708" s="7">
        <f t="shared" si="106"/>
        <v>2026</v>
      </c>
      <c r="R1708" s="6">
        <f t="shared" si="107"/>
        <v>-470.8</v>
      </c>
      <c r="S1708" s="16">
        <v>46379</v>
      </c>
    </row>
    <row r="1709" spans="1:19">
      <c r="A1709" s="12">
        <v>46377</v>
      </c>
      <c r="B1709" s="7" t="s">
        <v>26</v>
      </c>
      <c r="C1709" s="7" t="s">
        <v>6</v>
      </c>
      <c r="D1709" s="11"/>
      <c r="E1709" s="11">
        <f>9762/2</f>
        <v>4881</v>
      </c>
      <c r="F1709" s="11" t="s">
        <v>69</v>
      </c>
      <c r="G1709" s="7" t="s">
        <v>92</v>
      </c>
      <c r="H1709" s="10"/>
      <c r="I1709" s="9"/>
      <c r="J1709" s="7" t="s">
        <v>92</v>
      </c>
      <c r="K1709" s="7" t="s">
        <v>21</v>
      </c>
      <c r="L1709" s="8"/>
      <c r="M1709" s="8" t="str">
        <f>IF(C1709="Caixa","-",VLOOKUP(J1709,[1]Estrutura!C:E,3,FALSE))</f>
        <v>4.1</v>
      </c>
      <c r="N1709" s="8"/>
      <c r="O1709" s="7">
        <f t="shared" si="104"/>
        <v>21</v>
      </c>
      <c r="P1709" s="7">
        <f t="shared" si="105"/>
        <v>12</v>
      </c>
      <c r="Q1709" s="7">
        <f t="shared" si="106"/>
        <v>2026</v>
      </c>
      <c r="R1709" s="6">
        <f t="shared" si="107"/>
        <v>-4881</v>
      </c>
      <c r="S1709" s="16">
        <v>46379</v>
      </c>
    </row>
    <row r="1710" spans="1:19">
      <c r="A1710" s="12">
        <v>46377</v>
      </c>
      <c r="B1710" s="7" t="s">
        <v>26</v>
      </c>
      <c r="C1710" s="7" t="s">
        <v>6</v>
      </c>
      <c r="D1710" s="11"/>
      <c r="E1710" s="11">
        <v>1875</v>
      </c>
      <c r="F1710" s="11" t="s">
        <v>48</v>
      </c>
      <c r="G1710" s="7" t="s">
        <v>91</v>
      </c>
      <c r="H1710" s="10"/>
      <c r="I1710" s="9"/>
      <c r="J1710" s="7" t="s">
        <v>35</v>
      </c>
      <c r="K1710" s="8" t="s">
        <v>40</v>
      </c>
      <c r="L1710" s="7"/>
      <c r="M1710" s="7" t="str">
        <f>IF(C1710="Caixa","-",VLOOKUP(J1710,[1]Estrutura!C:E,3,FALSE))</f>
        <v>4.1</v>
      </c>
      <c r="N1710" s="7"/>
      <c r="O1710" s="7">
        <f t="shared" si="104"/>
        <v>21</v>
      </c>
      <c r="P1710" s="7">
        <f t="shared" si="105"/>
        <v>12</v>
      </c>
      <c r="Q1710" s="7">
        <f t="shared" si="106"/>
        <v>2026</v>
      </c>
      <c r="R1710" s="6">
        <f t="shared" si="107"/>
        <v>-1875</v>
      </c>
      <c r="S1710" s="16">
        <v>46379</v>
      </c>
    </row>
    <row r="1711" spans="1:19">
      <c r="A1711" s="12">
        <v>46377</v>
      </c>
      <c r="B1711" s="7" t="s">
        <v>26</v>
      </c>
      <c r="C1711" s="7" t="s">
        <v>6</v>
      </c>
      <c r="D1711" s="11"/>
      <c r="E1711" s="11">
        <v>2997</v>
      </c>
      <c r="F1711" s="11" t="s">
        <v>46</v>
      </c>
      <c r="G1711" s="7" t="s">
        <v>36</v>
      </c>
      <c r="H1711" s="10"/>
      <c r="I1711" s="9"/>
      <c r="J1711" s="7" t="s">
        <v>35</v>
      </c>
      <c r="K1711" s="18" t="s">
        <v>34</v>
      </c>
      <c r="L1711" s="8"/>
      <c r="M1711" s="8" t="str">
        <f>IF(C1711="Caixa","-",VLOOKUP(J1711,[1]Estrutura!C:E,3,FALSE))</f>
        <v>4.1</v>
      </c>
      <c r="N1711" s="8"/>
      <c r="O1711" s="7">
        <f t="shared" si="104"/>
        <v>21</v>
      </c>
      <c r="P1711" s="7">
        <f t="shared" si="105"/>
        <v>12</v>
      </c>
      <c r="Q1711" s="7">
        <f t="shared" si="106"/>
        <v>2026</v>
      </c>
      <c r="R1711" s="6">
        <f t="shared" si="107"/>
        <v>-2997</v>
      </c>
      <c r="S1711" s="12">
        <v>46379</v>
      </c>
    </row>
    <row r="1712" spans="1:19">
      <c r="A1712" s="16">
        <v>46377</v>
      </c>
      <c r="B1712" s="8" t="s">
        <v>26</v>
      </c>
      <c r="C1712" s="8" t="s">
        <v>6</v>
      </c>
      <c r="D1712" s="15"/>
      <c r="E1712" s="15">
        <v>2722</v>
      </c>
      <c r="F1712" s="15" t="s">
        <v>45</v>
      </c>
      <c r="G1712" s="8" t="s">
        <v>36</v>
      </c>
      <c r="H1712" s="14"/>
      <c r="I1712" s="13"/>
      <c r="J1712" s="7" t="s">
        <v>35</v>
      </c>
      <c r="K1712" s="8" t="s">
        <v>44</v>
      </c>
      <c r="L1712" s="7"/>
      <c r="M1712" s="7" t="str">
        <f>IF(C1712="Caixa","-",VLOOKUP(J1712,[1]Estrutura!C:E,3,FALSE))</f>
        <v>4.1</v>
      </c>
      <c r="N1712" s="7"/>
      <c r="O1712" s="7">
        <f t="shared" si="104"/>
        <v>21</v>
      </c>
      <c r="P1712" s="7">
        <f t="shared" si="105"/>
        <v>12</v>
      </c>
      <c r="Q1712" s="7">
        <f t="shared" si="106"/>
        <v>2026</v>
      </c>
      <c r="R1712" s="6">
        <f t="shared" si="107"/>
        <v>-2722</v>
      </c>
      <c r="S1712" s="16">
        <v>46380</v>
      </c>
    </row>
    <row r="1713" spans="1:19">
      <c r="A1713" s="12">
        <v>46377</v>
      </c>
      <c r="B1713" s="7" t="s">
        <v>26</v>
      </c>
      <c r="C1713" s="7" t="s">
        <v>6</v>
      </c>
      <c r="D1713" s="11"/>
      <c r="E1713" s="11">
        <v>1926</v>
      </c>
      <c r="F1713" s="11" t="s">
        <v>43</v>
      </c>
      <c r="G1713" s="7" t="s">
        <v>36</v>
      </c>
      <c r="H1713" s="10"/>
      <c r="I1713" s="9"/>
      <c r="J1713" s="7" t="s">
        <v>35</v>
      </c>
      <c r="K1713" s="7" t="s">
        <v>40</v>
      </c>
      <c r="L1713" s="8"/>
      <c r="M1713" s="8" t="str">
        <f>IF(C1713="Caixa","-",VLOOKUP(J1713,[1]Estrutura!C:E,3,FALSE))</f>
        <v>4.1</v>
      </c>
      <c r="N1713" s="8"/>
      <c r="O1713" s="7">
        <f t="shared" si="104"/>
        <v>21</v>
      </c>
      <c r="P1713" s="7">
        <f t="shared" si="105"/>
        <v>12</v>
      </c>
      <c r="Q1713" s="7">
        <f t="shared" si="106"/>
        <v>2026</v>
      </c>
      <c r="R1713" s="6">
        <f t="shared" si="107"/>
        <v>-1926</v>
      </c>
      <c r="S1713" s="16">
        <v>46381</v>
      </c>
    </row>
    <row r="1714" spans="1:19">
      <c r="A1714" s="12">
        <v>46377</v>
      </c>
      <c r="B1714" s="7" t="s">
        <v>26</v>
      </c>
      <c r="C1714" s="7" t="s">
        <v>6</v>
      </c>
      <c r="D1714" s="11"/>
      <c r="E1714" s="15">
        <v>2321</v>
      </c>
      <c r="F1714" s="11" t="s">
        <v>42</v>
      </c>
      <c r="G1714" s="7" t="s">
        <v>36</v>
      </c>
      <c r="H1714" s="10"/>
      <c r="I1714" s="9"/>
      <c r="J1714" s="7" t="s">
        <v>35</v>
      </c>
      <c r="K1714" s="18" t="s">
        <v>34</v>
      </c>
      <c r="L1714" s="7"/>
      <c r="M1714" s="7" t="str">
        <f>IF(C1714="Caixa","-",VLOOKUP(J1714,[1]Estrutura!C:E,3,FALSE))</f>
        <v>4.1</v>
      </c>
      <c r="N1714" s="7"/>
      <c r="O1714" s="7">
        <f t="shared" si="104"/>
        <v>21</v>
      </c>
      <c r="P1714" s="7">
        <f t="shared" si="105"/>
        <v>12</v>
      </c>
      <c r="Q1714" s="7">
        <f t="shared" si="106"/>
        <v>2026</v>
      </c>
      <c r="R1714" s="6">
        <f t="shared" si="107"/>
        <v>-2321</v>
      </c>
      <c r="S1714" s="16">
        <v>46381</v>
      </c>
    </row>
    <row r="1715" spans="1:19">
      <c r="A1715" s="16">
        <v>46377</v>
      </c>
      <c r="B1715" s="8" t="s">
        <v>26</v>
      </c>
      <c r="C1715" s="8" t="s">
        <v>6</v>
      </c>
      <c r="D1715" s="15"/>
      <c r="E1715" s="11">
        <v>2321</v>
      </c>
      <c r="F1715" s="15" t="s">
        <v>41</v>
      </c>
      <c r="G1715" s="8" t="s">
        <v>36</v>
      </c>
      <c r="H1715" s="14"/>
      <c r="I1715" s="13"/>
      <c r="J1715" s="7" t="s">
        <v>35</v>
      </c>
      <c r="K1715" s="8" t="s">
        <v>40</v>
      </c>
      <c r="L1715" s="8"/>
      <c r="M1715" s="8" t="str">
        <f>IF(C1715="Caixa","-",VLOOKUP(J1715,[1]Estrutura!C:E,3,FALSE))</f>
        <v>4.1</v>
      </c>
      <c r="N1715" s="8"/>
      <c r="O1715" s="7">
        <f t="shared" si="104"/>
        <v>21</v>
      </c>
      <c r="P1715" s="7">
        <f t="shared" si="105"/>
        <v>12</v>
      </c>
      <c r="Q1715" s="7">
        <f t="shared" si="106"/>
        <v>2026</v>
      </c>
      <c r="R1715" s="6">
        <f t="shared" si="107"/>
        <v>-2321</v>
      </c>
      <c r="S1715" s="12">
        <v>46381</v>
      </c>
    </row>
    <row r="1716" spans="1:19">
      <c r="A1716" s="16">
        <v>46377</v>
      </c>
      <c r="B1716" s="8" t="s">
        <v>26</v>
      </c>
      <c r="C1716" s="8" t="s">
        <v>6</v>
      </c>
      <c r="D1716" s="15"/>
      <c r="E1716" s="11">
        <v>470.8</v>
      </c>
      <c r="F1716" s="15" t="s">
        <v>47</v>
      </c>
      <c r="G1716" s="8" t="s">
        <v>90</v>
      </c>
      <c r="H1716" s="14"/>
      <c r="I1716" s="13"/>
      <c r="J1716" s="8" t="s">
        <v>89</v>
      </c>
      <c r="K1716" s="8" t="s">
        <v>21</v>
      </c>
      <c r="L1716" s="7"/>
      <c r="M1716" s="7" t="str">
        <f>IF(C1716="Caixa","-",VLOOKUP(J1716,[1]Estrutura!C:E,3,FALSE))</f>
        <v>4.1</v>
      </c>
      <c r="N1716" s="7"/>
      <c r="O1716" s="7">
        <f t="shared" si="104"/>
        <v>21</v>
      </c>
      <c r="P1716" s="7">
        <f t="shared" si="105"/>
        <v>12</v>
      </c>
      <c r="Q1716" s="7">
        <f t="shared" si="106"/>
        <v>2026</v>
      </c>
      <c r="R1716" s="6">
        <f t="shared" si="107"/>
        <v>-470.8</v>
      </c>
      <c r="S1716" s="12">
        <v>46381</v>
      </c>
    </row>
    <row r="1717" spans="1:19">
      <c r="A1717" s="16">
        <v>46377</v>
      </c>
      <c r="B1717" s="7" t="s">
        <v>7</v>
      </c>
      <c r="C1717" s="7" t="s">
        <v>9</v>
      </c>
      <c r="D1717" s="15">
        <v>1607.85</v>
      </c>
      <c r="E1717" s="15"/>
      <c r="F1717" s="15"/>
      <c r="G1717" s="8" t="s">
        <v>11</v>
      </c>
      <c r="H1717" s="8"/>
      <c r="I1717" s="17"/>
      <c r="J1717" s="8" t="s">
        <v>10</v>
      </c>
      <c r="K1717" s="8"/>
      <c r="L1717" s="8"/>
      <c r="M1717" s="8" t="str">
        <f>IF(C1717="Caixa","-",VLOOKUP(J1717,[1]Estrutura!C:E,3,FALSE))</f>
        <v>1.1</v>
      </c>
      <c r="N1717" s="8"/>
      <c r="O1717" s="7">
        <f t="shared" si="104"/>
        <v>21</v>
      </c>
      <c r="P1717" s="7">
        <f t="shared" si="105"/>
        <v>12</v>
      </c>
      <c r="Q1717" s="7">
        <f t="shared" si="106"/>
        <v>2026</v>
      </c>
      <c r="R1717" s="6">
        <f t="shared" si="107"/>
        <v>1607.85</v>
      </c>
      <c r="S1717" s="19">
        <v>46381</v>
      </c>
    </row>
    <row r="1718" spans="1:19">
      <c r="A1718" s="12">
        <v>46377</v>
      </c>
      <c r="B1718" s="7" t="s">
        <v>7</v>
      </c>
      <c r="C1718" s="7" t="s">
        <v>9</v>
      </c>
      <c r="D1718" s="11"/>
      <c r="E1718" s="11">
        <v>348.35</v>
      </c>
      <c r="F1718" s="11" t="s">
        <v>88</v>
      </c>
      <c r="G1718" s="7" t="s">
        <v>87</v>
      </c>
      <c r="H1718" s="10"/>
      <c r="I1718" s="9"/>
      <c r="J1718" s="7" t="s">
        <v>86</v>
      </c>
      <c r="K1718" s="7"/>
      <c r="L1718" s="7"/>
      <c r="M1718" s="7" t="str">
        <f>IF(C1718="Caixa","-",VLOOKUP(J1718,[1]Estrutura!C:E,3,FALSE))</f>
        <v>4.8</v>
      </c>
      <c r="N1718" s="7"/>
      <c r="O1718" s="7">
        <f t="shared" si="104"/>
        <v>21</v>
      </c>
      <c r="P1718" s="7">
        <f t="shared" si="105"/>
        <v>12</v>
      </c>
      <c r="Q1718" s="7">
        <f t="shared" si="106"/>
        <v>2026</v>
      </c>
      <c r="R1718" s="6">
        <f t="shared" si="107"/>
        <v>-348.35</v>
      </c>
      <c r="S1718" s="19">
        <v>46381</v>
      </c>
    </row>
    <row r="1719" spans="1:19">
      <c r="A1719" s="12">
        <v>46377</v>
      </c>
      <c r="B1719" s="7" t="s">
        <v>7</v>
      </c>
      <c r="C1719" s="7" t="s">
        <v>9</v>
      </c>
      <c r="D1719" s="11"/>
      <c r="E1719" s="15">
        <v>13216.9</v>
      </c>
      <c r="F1719" s="15" t="s">
        <v>85</v>
      </c>
      <c r="G1719" s="7" t="s">
        <v>39</v>
      </c>
      <c r="H1719" s="10"/>
      <c r="I1719" s="9"/>
      <c r="J1719" s="7" t="s">
        <v>83</v>
      </c>
      <c r="K1719" s="7"/>
      <c r="L1719" s="8"/>
      <c r="M1719" s="8" t="str">
        <f>IF(C1719="Caixa","-",VLOOKUP(J1719,[1]Estrutura!C:E,3,FALSE))</f>
        <v>4.1</v>
      </c>
      <c r="N1719" s="8"/>
      <c r="O1719" s="7">
        <f t="shared" si="104"/>
        <v>21</v>
      </c>
      <c r="P1719" s="7">
        <f t="shared" si="105"/>
        <v>12</v>
      </c>
      <c r="Q1719" s="7">
        <f t="shared" si="106"/>
        <v>2026</v>
      </c>
      <c r="R1719" s="6">
        <f t="shared" si="107"/>
        <v>-13216.9</v>
      </c>
      <c r="S1719" s="19">
        <v>46381</v>
      </c>
    </row>
    <row r="1720" spans="1:19">
      <c r="A1720" s="16">
        <v>46377</v>
      </c>
      <c r="B1720" s="8" t="s">
        <v>7</v>
      </c>
      <c r="C1720" s="8" t="s">
        <v>9</v>
      </c>
      <c r="D1720" s="15"/>
      <c r="E1720" s="15">
        <v>13216.9</v>
      </c>
      <c r="F1720" s="15" t="s">
        <v>85</v>
      </c>
      <c r="G1720" s="8" t="s">
        <v>84</v>
      </c>
      <c r="H1720" s="14"/>
      <c r="I1720" s="13"/>
      <c r="J1720" s="8" t="s">
        <v>83</v>
      </c>
      <c r="K1720" s="8"/>
      <c r="L1720" s="7"/>
      <c r="M1720" s="7" t="str">
        <f>IF(C1720="Caixa","-",VLOOKUP(J1720,[1]Estrutura!C:E,3,FALSE))</f>
        <v>4.1</v>
      </c>
      <c r="N1720" s="7"/>
      <c r="O1720" s="7">
        <f t="shared" si="104"/>
        <v>21</v>
      </c>
      <c r="P1720" s="7">
        <f t="shared" si="105"/>
        <v>12</v>
      </c>
      <c r="Q1720" s="7">
        <f t="shared" si="106"/>
        <v>2026</v>
      </c>
      <c r="R1720" s="6">
        <f t="shared" si="107"/>
        <v>-13216.9</v>
      </c>
      <c r="S1720" s="12">
        <v>46381</v>
      </c>
    </row>
    <row r="1721" spans="1:19">
      <c r="A1721" s="16">
        <v>46378</v>
      </c>
      <c r="B1721" s="8" t="s">
        <v>14</v>
      </c>
      <c r="C1721" s="7" t="s">
        <v>9</v>
      </c>
      <c r="D1721" s="15">
        <v>1473.36</v>
      </c>
      <c r="E1721" s="15"/>
      <c r="F1721" s="15"/>
      <c r="G1721" s="8" t="s">
        <v>11</v>
      </c>
      <c r="H1721" s="8"/>
      <c r="I1721" s="17"/>
      <c r="J1721" s="8" t="s">
        <v>10</v>
      </c>
      <c r="K1721" s="8"/>
      <c r="L1721" s="8"/>
      <c r="M1721" s="8" t="str">
        <f>IF(C1721="Caixa","-",VLOOKUP(J1721,[1]Estrutura!C:E,3,FALSE))</f>
        <v>1.1</v>
      </c>
      <c r="N1721" s="8"/>
      <c r="O1721" s="7">
        <f t="shared" si="104"/>
        <v>22</v>
      </c>
      <c r="P1721" s="7">
        <f t="shared" si="105"/>
        <v>12</v>
      </c>
      <c r="Q1721" s="7">
        <f t="shared" si="106"/>
        <v>2026</v>
      </c>
      <c r="R1721" s="6">
        <f t="shared" si="107"/>
        <v>1473.36</v>
      </c>
      <c r="S1721" s="16">
        <v>46381</v>
      </c>
    </row>
    <row r="1722" spans="1:19">
      <c r="A1722" s="16">
        <v>46378</v>
      </c>
      <c r="B1722" s="8" t="s">
        <v>14</v>
      </c>
      <c r="C1722" s="8" t="s">
        <v>9</v>
      </c>
      <c r="D1722" s="15"/>
      <c r="E1722" s="15">
        <v>300</v>
      </c>
      <c r="F1722" s="15" t="s">
        <v>82</v>
      </c>
      <c r="G1722" s="8" t="s">
        <v>81</v>
      </c>
      <c r="H1722" s="14"/>
      <c r="I1722" s="13"/>
      <c r="J1722" s="8" t="s">
        <v>80</v>
      </c>
      <c r="K1722" s="8"/>
      <c r="L1722" s="7"/>
      <c r="M1722" s="7" t="str">
        <f>IF(C1722="Caixa","-",VLOOKUP(J1722,[1]Estrutura!C:E,3,FALSE))</f>
        <v>4.5</v>
      </c>
      <c r="N1722" s="7"/>
      <c r="O1722" s="7">
        <f t="shared" si="104"/>
        <v>22</v>
      </c>
      <c r="P1722" s="7">
        <f t="shared" si="105"/>
        <v>12</v>
      </c>
      <c r="Q1722" s="7">
        <f t="shared" si="106"/>
        <v>2026</v>
      </c>
      <c r="R1722" s="6">
        <f t="shared" si="107"/>
        <v>-300</v>
      </c>
      <c r="S1722" s="12">
        <v>46381</v>
      </c>
    </row>
    <row r="1723" spans="1:19">
      <c r="A1723" s="16">
        <v>46378</v>
      </c>
      <c r="B1723" s="7" t="s">
        <v>7</v>
      </c>
      <c r="C1723" s="7" t="s">
        <v>9</v>
      </c>
      <c r="D1723" s="15">
        <v>3509.29</v>
      </c>
      <c r="E1723" s="15"/>
      <c r="F1723" s="15"/>
      <c r="G1723" s="8" t="s">
        <v>11</v>
      </c>
      <c r="H1723" s="8"/>
      <c r="I1723" s="17"/>
      <c r="J1723" s="8" t="s">
        <v>10</v>
      </c>
      <c r="K1723" s="8"/>
      <c r="L1723" s="8"/>
      <c r="M1723" s="8" t="str">
        <f>IF(C1723="Caixa","-",VLOOKUP(J1723,[1]Estrutura!C:E,3,FALSE))</f>
        <v>1.1</v>
      </c>
      <c r="N1723" s="8"/>
      <c r="O1723" s="7">
        <f t="shared" si="104"/>
        <v>22</v>
      </c>
      <c r="P1723" s="7">
        <f t="shared" si="105"/>
        <v>12</v>
      </c>
      <c r="Q1723" s="7">
        <f t="shared" si="106"/>
        <v>2026</v>
      </c>
      <c r="R1723" s="6">
        <f t="shared" si="107"/>
        <v>3509.29</v>
      </c>
      <c r="S1723" s="16">
        <v>46381</v>
      </c>
    </row>
    <row r="1724" spans="1:19">
      <c r="A1724" s="16">
        <v>46379</v>
      </c>
      <c r="B1724" s="8" t="s">
        <v>14</v>
      </c>
      <c r="C1724" s="8" t="s">
        <v>9</v>
      </c>
      <c r="D1724" s="15"/>
      <c r="E1724" s="15">
        <v>33.909999999999997</v>
      </c>
      <c r="F1724" s="15" t="s">
        <v>79</v>
      </c>
      <c r="G1724" s="8" t="s">
        <v>78</v>
      </c>
      <c r="H1724" s="14"/>
      <c r="I1724" s="13"/>
      <c r="J1724" s="8" t="s">
        <v>77</v>
      </c>
      <c r="K1724" s="8"/>
      <c r="L1724" s="7"/>
      <c r="M1724" s="7" t="str">
        <f>IF(C1724="Caixa","-",VLOOKUP(J1724,[1]Estrutura!C:E,3,FALSE))</f>
        <v>4.3</v>
      </c>
      <c r="N1724" s="7"/>
      <c r="O1724" s="7">
        <f t="shared" si="104"/>
        <v>23</v>
      </c>
      <c r="P1724" s="7">
        <f t="shared" si="105"/>
        <v>12</v>
      </c>
      <c r="Q1724" s="7">
        <f t="shared" si="106"/>
        <v>2026</v>
      </c>
      <c r="R1724" s="6">
        <f t="shared" si="107"/>
        <v>-33.909999999999997</v>
      </c>
      <c r="S1724" s="12">
        <v>46381</v>
      </c>
    </row>
    <row r="1725" spans="1:19">
      <c r="A1725" s="12">
        <v>46379</v>
      </c>
      <c r="B1725" s="7" t="s">
        <v>14</v>
      </c>
      <c r="C1725" s="7" t="s">
        <v>9</v>
      </c>
      <c r="D1725" s="11"/>
      <c r="E1725" s="15">
        <v>1442</v>
      </c>
      <c r="F1725" s="11" t="s">
        <v>76</v>
      </c>
      <c r="G1725" s="7" t="s">
        <v>75</v>
      </c>
      <c r="H1725" s="10"/>
      <c r="I1725" s="9"/>
      <c r="J1725" s="7" t="s">
        <v>74</v>
      </c>
      <c r="K1725" s="7"/>
      <c r="L1725" s="8"/>
      <c r="M1725" s="8" t="str">
        <f>IF(C1725="Caixa","-",VLOOKUP(J1725,[1]Estrutura!C:E,3,FALSE))</f>
        <v>4.1</v>
      </c>
      <c r="N1725" s="8"/>
      <c r="O1725" s="7">
        <f t="shared" si="104"/>
        <v>23</v>
      </c>
      <c r="P1725" s="7">
        <f t="shared" si="105"/>
        <v>12</v>
      </c>
      <c r="Q1725" s="7">
        <f t="shared" si="106"/>
        <v>2026</v>
      </c>
      <c r="R1725" s="6">
        <f t="shared" si="107"/>
        <v>-1442</v>
      </c>
      <c r="S1725" s="12">
        <v>46381</v>
      </c>
    </row>
    <row r="1726" spans="1:19">
      <c r="A1726" s="16">
        <v>46379</v>
      </c>
      <c r="B1726" s="8" t="s">
        <v>14</v>
      </c>
      <c r="C1726" s="8" t="s">
        <v>9</v>
      </c>
      <c r="D1726" s="15"/>
      <c r="E1726" s="15">
        <v>610.6</v>
      </c>
      <c r="F1726" s="15" t="s">
        <v>73</v>
      </c>
      <c r="G1726" s="8" t="s">
        <v>72</v>
      </c>
      <c r="H1726" s="14"/>
      <c r="I1726" s="13"/>
      <c r="J1726" s="8" t="s">
        <v>22</v>
      </c>
      <c r="K1726" s="8"/>
      <c r="L1726" s="7"/>
      <c r="M1726" s="7" t="str">
        <f>IF(C1726="Caixa","-",VLOOKUP(J1726,[1]Estrutura!C:E,3,FALSE))</f>
        <v>4.3</v>
      </c>
      <c r="N1726" s="7"/>
      <c r="O1726" s="7">
        <f t="shared" si="104"/>
        <v>23</v>
      </c>
      <c r="P1726" s="7">
        <f t="shared" si="105"/>
        <v>12</v>
      </c>
      <c r="Q1726" s="7">
        <f t="shared" si="106"/>
        <v>2026</v>
      </c>
      <c r="R1726" s="6">
        <f t="shared" si="107"/>
        <v>-610.6</v>
      </c>
      <c r="S1726" s="16">
        <v>46381</v>
      </c>
    </row>
    <row r="1727" spans="1:19">
      <c r="A1727" s="23">
        <v>46379</v>
      </c>
      <c r="B1727" s="7" t="s">
        <v>26</v>
      </c>
      <c r="C1727" s="18" t="s">
        <v>6</v>
      </c>
      <c r="D1727" s="11"/>
      <c r="E1727" s="11">
        <v>2174</v>
      </c>
      <c r="F1727" s="11" t="s">
        <v>71</v>
      </c>
      <c r="G1727" s="11" t="s">
        <v>70</v>
      </c>
      <c r="H1727" s="10"/>
      <c r="I1727" s="22"/>
      <c r="J1727" s="7" t="s">
        <v>35</v>
      </c>
      <c r="K1727" s="7" t="s">
        <v>40</v>
      </c>
      <c r="L1727" s="8"/>
      <c r="M1727" s="8" t="str">
        <f>IF(C1727="Caixa","-",VLOOKUP(J1727,[1]Estrutura!C:E,3,FALSE))</f>
        <v>4.1</v>
      </c>
      <c r="N1727" s="8"/>
      <c r="O1727" s="7">
        <f t="shared" si="104"/>
        <v>23</v>
      </c>
      <c r="P1727" s="7">
        <f t="shared" si="105"/>
        <v>12</v>
      </c>
      <c r="Q1727" s="7">
        <f t="shared" si="106"/>
        <v>2026</v>
      </c>
      <c r="R1727" s="6">
        <f t="shared" si="107"/>
        <v>-2174</v>
      </c>
      <c r="S1727" s="12">
        <v>46381</v>
      </c>
    </row>
    <row r="1728" spans="1:19">
      <c r="A1728" s="16">
        <v>46379</v>
      </c>
      <c r="B1728" s="8" t="s">
        <v>26</v>
      </c>
      <c r="C1728" s="7" t="s">
        <v>6</v>
      </c>
      <c r="D1728" s="15"/>
      <c r="E1728" s="11">
        <v>9762</v>
      </c>
      <c r="F1728" s="15" t="s">
        <v>69</v>
      </c>
      <c r="G1728" s="8" t="s">
        <v>68</v>
      </c>
      <c r="H1728" s="14"/>
      <c r="I1728" s="13"/>
      <c r="J1728" s="21" t="s">
        <v>67</v>
      </c>
      <c r="K1728" s="8" t="s">
        <v>21</v>
      </c>
      <c r="L1728" s="7"/>
      <c r="M1728" s="7" t="str">
        <f>IF(C1728="Caixa","-",VLOOKUP(J1728,[1]Estrutura!C:E,3,FALSE))</f>
        <v>4.5</v>
      </c>
      <c r="N1728" s="7"/>
      <c r="O1728" s="7">
        <f t="shared" si="104"/>
        <v>23</v>
      </c>
      <c r="P1728" s="7">
        <f t="shared" si="105"/>
        <v>12</v>
      </c>
      <c r="Q1728" s="7">
        <f t="shared" si="106"/>
        <v>2026</v>
      </c>
      <c r="R1728" s="6">
        <f t="shared" si="107"/>
        <v>-9762</v>
      </c>
      <c r="S1728" s="12">
        <v>46381</v>
      </c>
    </row>
    <row r="1729" spans="1:19">
      <c r="A1729" s="16">
        <v>46379</v>
      </c>
      <c r="B1729" s="7" t="s">
        <v>7</v>
      </c>
      <c r="C1729" s="7" t="s">
        <v>9</v>
      </c>
      <c r="D1729" s="15">
        <v>9459.2000000000007</v>
      </c>
      <c r="E1729" s="15"/>
      <c r="F1729" s="15"/>
      <c r="G1729" s="8" t="s">
        <v>11</v>
      </c>
      <c r="H1729" s="8"/>
      <c r="I1729" s="17"/>
      <c r="J1729" s="8" t="s">
        <v>10</v>
      </c>
      <c r="K1729" s="8"/>
      <c r="L1729" s="8"/>
      <c r="M1729" s="8" t="str">
        <f>IF(C1729="Caixa","-",VLOOKUP(J1729,[1]Estrutura!C:E,3,FALSE))</f>
        <v>1.1</v>
      </c>
      <c r="N1729" s="8"/>
      <c r="O1729" s="7">
        <f t="shared" si="104"/>
        <v>23</v>
      </c>
      <c r="P1729" s="7">
        <f t="shared" si="105"/>
        <v>12</v>
      </c>
      <c r="Q1729" s="7">
        <f t="shared" si="106"/>
        <v>2026</v>
      </c>
      <c r="R1729" s="6">
        <f t="shared" si="107"/>
        <v>9459.2000000000007</v>
      </c>
      <c r="S1729" s="16">
        <v>46381</v>
      </c>
    </row>
    <row r="1730" spans="1:19">
      <c r="A1730" s="16">
        <v>46379</v>
      </c>
      <c r="B1730" s="8" t="s">
        <v>7</v>
      </c>
      <c r="C1730" s="8" t="s">
        <v>9</v>
      </c>
      <c r="D1730" s="15"/>
      <c r="E1730" s="15">
        <v>207.3</v>
      </c>
      <c r="F1730" s="15" t="s">
        <v>66</v>
      </c>
      <c r="G1730" s="8" t="s">
        <v>65</v>
      </c>
      <c r="H1730" s="14"/>
      <c r="I1730" s="13"/>
      <c r="J1730" s="8" t="s">
        <v>64</v>
      </c>
      <c r="K1730" s="8"/>
      <c r="L1730" s="7"/>
      <c r="M1730" s="7" t="str">
        <f>IF(C1730="Caixa","-",VLOOKUP(J1730,[1]Estrutura!C:E,3,FALSE))</f>
        <v>4.4</v>
      </c>
      <c r="N1730" s="7"/>
      <c r="O1730" s="7">
        <f t="shared" si="104"/>
        <v>23</v>
      </c>
      <c r="P1730" s="7">
        <f t="shared" si="105"/>
        <v>12</v>
      </c>
      <c r="Q1730" s="7">
        <f t="shared" si="106"/>
        <v>2026</v>
      </c>
      <c r="R1730" s="6">
        <f t="shared" si="107"/>
        <v>-207.3</v>
      </c>
      <c r="S1730" s="12">
        <v>46381</v>
      </c>
    </row>
    <row r="1731" spans="1:19">
      <c r="A1731" s="12">
        <v>46379</v>
      </c>
      <c r="B1731" s="7" t="s">
        <v>7</v>
      </c>
      <c r="C1731" s="7" t="s">
        <v>9</v>
      </c>
      <c r="D1731" s="11"/>
      <c r="E1731" s="11">
        <v>1000</v>
      </c>
      <c r="F1731" s="11" t="s">
        <v>63</v>
      </c>
      <c r="G1731" s="7" t="s">
        <v>62</v>
      </c>
      <c r="H1731" s="10"/>
      <c r="I1731" s="9"/>
      <c r="J1731" s="7" t="s">
        <v>62</v>
      </c>
      <c r="K1731" s="7"/>
      <c r="L1731" s="8"/>
      <c r="M1731" s="8" t="str">
        <f>IF(C1731="Caixa","-",VLOOKUP(J1731,[1]Estrutura!C:E,3,FALSE))</f>
        <v>4.5</v>
      </c>
      <c r="N1731" s="8"/>
      <c r="O1731" s="7">
        <f t="shared" si="104"/>
        <v>23</v>
      </c>
      <c r="P1731" s="7">
        <f t="shared" si="105"/>
        <v>12</v>
      </c>
      <c r="Q1731" s="7">
        <f t="shared" si="106"/>
        <v>2026</v>
      </c>
      <c r="R1731" s="6">
        <f t="shared" si="107"/>
        <v>-1000</v>
      </c>
      <c r="S1731" s="12">
        <v>46381</v>
      </c>
    </row>
    <row r="1732" spans="1:19">
      <c r="A1732" s="16">
        <v>46380</v>
      </c>
      <c r="B1732" s="8" t="s">
        <v>14</v>
      </c>
      <c r="C1732" s="7" t="s">
        <v>9</v>
      </c>
      <c r="D1732" s="15">
        <v>5712.34</v>
      </c>
      <c r="E1732" s="15"/>
      <c r="F1732" s="15"/>
      <c r="G1732" s="8" t="s">
        <v>11</v>
      </c>
      <c r="H1732" s="8"/>
      <c r="I1732" s="17"/>
      <c r="J1732" s="8" t="s">
        <v>10</v>
      </c>
      <c r="K1732" s="8"/>
      <c r="L1732" s="7"/>
      <c r="M1732" s="7" t="str">
        <f>IF(C1732="Caixa","-",VLOOKUP(J1732,[1]Estrutura!C:E,3,FALSE))</f>
        <v>1.1</v>
      </c>
      <c r="N1732" s="7"/>
      <c r="O1732" s="7">
        <f t="shared" si="104"/>
        <v>24</v>
      </c>
      <c r="P1732" s="7">
        <f t="shared" si="105"/>
        <v>12</v>
      </c>
      <c r="Q1732" s="7">
        <f t="shared" si="106"/>
        <v>2026</v>
      </c>
      <c r="R1732" s="6">
        <f t="shared" si="107"/>
        <v>5712.34</v>
      </c>
      <c r="S1732" s="12">
        <v>46381</v>
      </c>
    </row>
    <row r="1733" spans="1:19">
      <c r="A1733" s="16">
        <v>46381</v>
      </c>
      <c r="B1733" s="8" t="s">
        <v>14</v>
      </c>
      <c r="C1733" s="7" t="s">
        <v>9</v>
      </c>
      <c r="D1733" s="15">
        <v>4745.43</v>
      </c>
      <c r="E1733" s="15"/>
      <c r="F1733" s="15"/>
      <c r="G1733" s="8" t="s">
        <v>11</v>
      </c>
      <c r="H1733" s="8"/>
      <c r="I1733" s="17"/>
      <c r="J1733" s="8" t="s">
        <v>10</v>
      </c>
      <c r="K1733" s="8"/>
      <c r="L1733" s="8"/>
      <c r="M1733" s="8" t="str">
        <f>IF(C1733="Caixa","-",VLOOKUP(J1733,[1]Estrutura!C:E,3,FALSE))</f>
        <v>1.1</v>
      </c>
      <c r="N1733" s="8"/>
      <c r="O1733" s="7">
        <f t="shared" si="104"/>
        <v>25</v>
      </c>
      <c r="P1733" s="7">
        <f t="shared" si="105"/>
        <v>12</v>
      </c>
      <c r="Q1733" s="7">
        <f t="shared" si="106"/>
        <v>2026</v>
      </c>
      <c r="R1733" s="6">
        <f t="shared" si="107"/>
        <v>4745.43</v>
      </c>
      <c r="S1733" s="16">
        <v>46381</v>
      </c>
    </row>
    <row r="1734" spans="1:19">
      <c r="A1734" s="16">
        <v>46381</v>
      </c>
      <c r="B1734" s="8" t="s">
        <v>14</v>
      </c>
      <c r="C1734" s="8" t="s">
        <v>9</v>
      </c>
      <c r="D1734" s="15"/>
      <c r="E1734" s="15">
        <v>3147.81</v>
      </c>
      <c r="F1734" s="15" t="s">
        <v>32</v>
      </c>
      <c r="G1734" s="8" t="s">
        <v>33</v>
      </c>
      <c r="H1734" s="14"/>
      <c r="I1734" s="13"/>
      <c r="J1734" s="8" t="s">
        <v>33</v>
      </c>
      <c r="K1734" s="8"/>
      <c r="L1734" s="7"/>
      <c r="M1734" s="7" t="str">
        <f>IF(C1734="Caixa","-",VLOOKUP(J1734,[1]Estrutura!C:E,3,FALSE))</f>
        <v>2.1</v>
      </c>
      <c r="N1734" s="7"/>
      <c r="O1734" s="7">
        <f t="shared" si="104"/>
        <v>25</v>
      </c>
      <c r="P1734" s="7">
        <f t="shared" si="105"/>
        <v>12</v>
      </c>
      <c r="Q1734" s="7">
        <f t="shared" si="106"/>
        <v>2026</v>
      </c>
      <c r="R1734" s="6">
        <f t="shared" si="107"/>
        <v>-3147.81</v>
      </c>
      <c r="S1734" s="12">
        <v>46381</v>
      </c>
    </row>
    <row r="1735" spans="1:19">
      <c r="A1735" s="12">
        <v>46381</v>
      </c>
      <c r="B1735" s="7" t="s">
        <v>14</v>
      </c>
      <c r="C1735" s="7" t="s">
        <v>9</v>
      </c>
      <c r="D1735" s="11"/>
      <c r="E1735" s="11">
        <v>681.09</v>
      </c>
      <c r="F1735" s="11" t="s">
        <v>32</v>
      </c>
      <c r="G1735" s="7" t="s">
        <v>31</v>
      </c>
      <c r="H1735" s="10"/>
      <c r="I1735" s="9"/>
      <c r="J1735" s="7" t="s">
        <v>31</v>
      </c>
      <c r="K1735" s="7"/>
      <c r="L1735" s="8"/>
      <c r="M1735" s="8" t="str">
        <f>IF(C1735="Caixa","-",VLOOKUP(J1735,[1]Estrutura!C:E,3,FALSE))</f>
        <v>2.1</v>
      </c>
      <c r="N1735" s="8"/>
      <c r="O1735" s="7">
        <f t="shared" si="104"/>
        <v>25</v>
      </c>
      <c r="P1735" s="7">
        <f t="shared" si="105"/>
        <v>12</v>
      </c>
      <c r="Q1735" s="7">
        <f t="shared" si="106"/>
        <v>2026</v>
      </c>
      <c r="R1735" s="6">
        <f t="shared" si="107"/>
        <v>-681.09</v>
      </c>
      <c r="S1735" s="12">
        <v>46381</v>
      </c>
    </row>
    <row r="1736" spans="1:19">
      <c r="A1736" s="12">
        <v>46381</v>
      </c>
      <c r="B1736" s="8" t="s">
        <v>14</v>
      </c>
      <c r="C1736" s="8" t="s">
        <v>9</v>
      </c>
      <c r="D1736" s="15"/>
      <c r="E1736" s="15">
        <v>5000</v>
      </c>
      <c r="F1736" s="15"/>
      <c r="G1736" s="8" t="s">
        <v>61</v>
      </c>
      <c r="H1736" s="8"/>
      <c r="I1736" s="17"/>
      <c r="J1736" s="7" t="s">
        <v>35</v>
      </c>
      <c r="K1736" s="8"/>
      <c r="L1736" s="7"/>
      <c r="M1736" s="7" t="str">
        <f>IF(C1736="Caixa","-",VLOOKUP(J1736,[1]Estrutura!C:E,3,FALSE))</f>
        <v>4.1</v>
      </c>
      <c r="N1736" s="7"/>
      <c r="O1736" s="7">
        <f t="shared" si="104"/>
        <v>25</v>
      </c>
      <c r="P1736" s="7">
        <f t="shared" si="105"/>
        <v>12</v>
      </c>
      <c r="Q1736" s="7">
        <f t="shared" si="106"/>
        <v>2026</v>
      </c>
      <c r="R1736" s="6">
        <f t="shared" si="107"/>
        <v>-5000</v>
      </c>
      <c r="S1736" s="16">
        <v>46381</v>
      </c>
    </row>
    <row r="1737" spans="1:19">
      <c r="A1737" s="19">
        <v>46381</v>
      </c>
      <c r="B1737" s="8" t="s">
        <v>26</v>
      </c>
      <c r="C1737" s="8" t="s">
        <v>6</v>
      </c>
      <c r="D1737" s="15"/>
      <c r="E1737" s="15">
        <v>1000</v>
      </c>
      <c r="F1737" s="15" t="s">
        <v>60</v>
      </c>
      <c r="G1737" s="8" t="s">
        <v>57</v>
      </c>
      <c r="H1737" s="14"/>
      <c r="I1737" s="13"/>
      <c r="J1737" s="8" t="s">
        <v>56</v>
      </c>
      <c r="K1737" s="8" t="s">
        <v>21</v>
      </c>
      <c r="L1737" s="8"/>
      <c r="M1737" s="8" t="str">
        <f>IF(C1737="Caixa","-",VLOOKUP(J1737,[1]Estrutura!C:E,3,FALSE))</f>
        <v>6.1</v>
      </c>
      <c r="N1737" s="8"/>
      <c r="O1737" s="7">
        <f t="shared" si="104"/>
        <v>25</v>
      </c>
      <c r="P1737" s="7">
        <f t="shared" si="105"/>
        <v>12</v>
      </c>
      <c r="Q1737" s="7">
        <f t="shared" si="106"/>
        <v>2026</v>
      </c>
      <c r="R1737" s="6">
        <f t="shared" si="107"/>
        <v>-1000</v>
      </c>
      <c r="S1737" s="16">
        <v>46381</v>
      </c>
    </row>
    <row r="1738" spans="1:19">
      <c r="A1738" s="19">
        <v>46381</v>
      </c>
      <c r="B1738" s="7" t="s">
        <v>26</v>
      </c>
      <c r="C1738" s="7" t="s">
        <v>6</v>
      </c>
      <c r="D1738" s="11"/>
      <c r="E1738" s="11">
        <v>1000</v>
      </c>
      <c r="F1738" s="11" t="s">
        <v>59</v>
      </c>
      <c r="G1738" s="7" t="s">
        <v>57</v>
      </c>
      <c r="H1738" s="10"/>
      <c r="I1738" s="9"/>
      <c r="J1738" s="7" t="s">
        <v>56</v>
      </c>
      <c r="K1738" s="7" t="s">
        <v>21</v>
      </c>
      <c r="L1738" s="7"/>
      <c r="M1738" s="7" t="str">
        <f>IF(C1738="Caixa","-",VLOOKUP(J1738,[1]Estrutura!C:E,3,FALSE))</f>
        <v>6.1</v>
      </c>
      <c r="N1738" s="7"/>
      <c r="O1738" s="7">
        <f t="shared" si="104"/>
        <v>25</v>
      </c>
      <c r="P1738" s="7">
        <f t="shared" si="105"/>
        <v>12</v>
      </c>
      <c r="Q1738" s="7">
        <f t="shared" si="106"/>
        <v>2026</v>
      </c>
      <c r="R1738" s="6">
        <f t="shared" si="107"/>
        <v>-1000</v>
      </c>
      <c r="S1738" s="20">
        <v>46381</v>
      </c>
    </row>
    <row r="1739" spans="1:19">
      <c r="A1739" s="19">
        <v>46381</v>
      </c>
      <c r="B1739" s="8" t="s">
        <v>26</v>
      </c>
      <c r="C1739" s="8" t="s">
        <v>6</v>
      </c>
      <c r="D1739" s="15"/>
      <c r="E1739" s="15">
        <v>1000</v>
      </c>
      <c r="F1739" s="15" t="s">
        <v>58</v>
      </c>
      <c r="G1739" s="8" t="s">
        <v>57</v>
      </c>
      <c r="H1739" s="14"/>
      <c r="I1739" s="13"/>
      <c r="J1739" s="8" t="s">
        <v>56</v>
      </c>
      <c r="K1739" s="8" t="s">
        <v>21</v>
      </c>
      <c r="L1739" s="8"/>
      <c r="M1739" s="8" t="str">
        <f>IF(C1739="Caixa","-",VLOOKUP(J1739,[1]Estrutura!C:E,3,FALSE))</f>
        <v>6.1</v>
      </c>
      <c r="N1739" s="8"/>
      <c r="O1739" s="7">
        <f t="shared" si="104"/>
        <v>25</v>
      </c>
      <c r="P1739" s="7">
        <f t="shared" si="105"/>
        <v>12</v>
      </c>
      <c r="Q1739" s="7">
        <f t="shared" si="106"/>
        <v>2026</v>
      </c>
      <c r="R1739" s="6">
        <f t="shared" si="107"/>
        <v>-1000</v>
      </c>
      <c r="S1739" s="16">
        <v>46381</v>
      </c>
    </row>
    <row r="1740" spans="1:19">
      <c r="A1740" s="12">
        <v>46381</v>
      </c>
      <c r="B1740" s="8" t="s">
        <v>26</v>
      </c>
      <c r="C1740" s="8" t="s">
        <v>6</v>
      </c>
      <c r="D1740" s="15"/>
      <c r="E1740" s="15">
        <v>4050</v>
      </c>
      <c r="F1740" s="15"/>
      <c r="G1740" s="7" t="s">
        <v>55</v>
      </c>
      <c r="H1740" s="10"/>
      <c r="I1740" s="9"/>
      <c r="J1740" s="7" t="s">
        <v>54</v>
      </c>
      <c r="K1740" s="7" t="s">
        <v>34</v>
      </c>
      <c r="L1740" s="7"/>
      <c r="M1740" s="7" t="str">
        <f>IF(C1740="Caixa","-",VLOOKUP(J1740,[1]Estrutura!C:E,3,FALSE))</f>
        <v>4.11</v>
      </c>
      <c r="N1740" s="7"/>
      <c r="O1740" s="7">
        <f t="shared" si="104"/>
        <v>25</v>
      </c>
      <c r="P1740" s="7">
        <f t="shared" si="105"/>
        <v>12</v>
      </c>
      <c r="Q1740" s="7">
        <f t="shared" si="106"/>
        <v>2026</v>
      </c>
      <c r="R1740" s="6">
        <f t="shared" si="107"/>
        <v>-4050</v>
      </c>
      <c r="S1740" s="16">
        <v>46382</v>
      </c>
    </row>
    <row r="1741" spans="1:19">
      <c r="A1741" s="16">
        <v>46381</v>
      </c>
      <c r="B1741" s="8" t="s">
        <v>26</v>
      </c>
      <c r="C1741" s="8" t="s">
        <v>6</v>
      </c>
      <c r="D1741" s="15"/>
      <c r="E1741" s="15">
        <v>5000</v>
      </c>
      <c r="F1741" s="15"/>
      <c r="G1741" s="8" t="s">
        <v>53</v>
      </c>
      <c r="H1741" s="14"/>
      <c r="I1741" s="13"/>
      <c r="J1741" s="8" t="s">
        <v>52</v>
      </c>
      <c r="K1741" s="8" t="s">
        <v>21</v>
      </c>
      <c r="L1741" s="8"/>
      <c r="M1741" s="8" t="str">
        <f>IF(C1741="Caixa","-",VLOOKUP(J1741,[1]Estrutura!C:E,3,FALSE))</f>
        <v>4.2</v>
      </c>
      <c r="N1741" s="8"/>
      <c r="O1741" s="7">
        <f t="shared" si="104"/>
        <v>25</v>
      </c>
      <c r="P1741" s="7">
        <f t="shared" si="105"/>
        <v>12</v>
      </c>
      <c r="Q1741" s="7">
        <f t="shared" si="106"/>
        <v>2026</v>
      </c>
      <c r="R1741" s="6">
        <f t="shared" si="107"/>
        <v>-5000</v>
      </c>
      <c r="S1741" s="16">
        <v>46383</v>
      </c>
    </row>
    <row r="1742" spans="1:19">
      <c r="A1742" s="12">
        <v>46381</v>
      </c>
      <c r="B1742" s="7" t="s">
        <v>26</v>
      </c>
      <c r="C1742" s="7" t="s">
        <v>9</v>
      </c>
      <c r="D1742" s="11"/>
      <c r="E1742" s="11">
        <v>2815</v>
      </c>
      <c r="F1742" s="11" t="s">
        <v>51</v>
      </c>
      <c r="G1742" s="7" t="s">
        <v>39</v>
      </c>
      <c r="H1742" s="10"/>
      <c r="I1742" s="9"/>
      <c r="J1742" s="7" t="s">
        <v>35</v>
      </c>
      <c r="K1742" s="7" t="s">
        <v>21</v>
      </c>
      <c r="L1742" s="7"/>
      <c r="M1742" s="7" t="str">
        <f>IF(C1742="Caixa","-",VLOOKUP(J1742,[1]Estrutura!C:E,3,FALSE))</f>
        <v>4.1</v>
      </c>
      <c r="N1742" s="7"/>
      <c r="O1742" s="7">
        <f t="shared" ref="O1742:O1805" si="108">DAY(A1742)</f>
        <v>25</v>
      </c>
      <c r="P1742" s="7">
        <f t="shared" ref="P1742:P1805" si="109">MONTH(A1742)</f>
        <v>12</v>
      </c>
      <c r="Q1742" s="7">
        <f t="shared" ref="Q1742:Q1805" si="110">YEAR(A1742)</f>
        <v>2026</v>
      </c>
      <c r="R1742" s="6">
        <f t="shared" ref="R1742:R1805" si="111">D1742-E1742</f>
        <v>-2815</v>
      </c>
      <c r="S1742" s="16">
        <v>46383</v>
      </c>
    </row>
    <row r="1743" spans="1:19">
      <c r="A1743" s="16">
        <v>46381</v>
      </c>
      <c r="B1743" s="8" t="s">
        <v>26</v>
      </c>
      <c r="C1743" s="8" t="s">
        <v>6</v>
      </c>
      <c r="D1743" s="15"/>
      <c r="E1743" s="15">
        <v>5227</v>
      </c>
      <c r="F1743" s="15" t="s">
        <v>50</v>
      </c>
      <c r="G1743" s="8" t="s">
        <v>39</v>
      </c>
      <c r="H1743" s="14"/>
      <c r="I1743" s="13"/>
      <c r="J1743" s="7" t="s">
        <v>35</v>
      </c>
      <c r="K1743" s="8" t="s">
        <v>21</v>
      </c>
      <c r="L1743" s="8"/>
      <c r="M1743" s="8" t="str">
        <f>IF(C1743="Caixa","-",VLOOKUP(J1743,[1]Estrutura!C:E,3,FALSE))</f>
        <v>4.1</v>
      </c>
      <c r="N1743" s="8"/>
      <c r="O1743" s="7">
        <f t="shared" si="108"/>
        <v>25</v>
      </c>
      <c r="P1743" s="7">
        <f t="shared" si="109"/>
        <v>12</v>
      </c>
      <c r="Q1743" s="7">
        <f t="shared" si="110"/>
        <v>2026</v>
      </c>
      <c r="R1743" s="6">
        <f t="shared" si="111"/>
        <v>-5227</v>
      </c>
      <c r="S1743" s="16">
        <v>46384</v>
      </c>
    </row>
    <row r="1744" spans="1:19">
      <c r="A1744" s="12">
        <v>46381</v>
      </c>
      <c r="B1744" s="7" t="s">
        <v>26</v>
      </c>
      <c r="C1744" s="7" t="s">
        <v>6</v>
      </c>
      <c r="D1744" s="11"/>
      <c r="E1744" s="11">
        <v>8400</v>
      </c>
      <c r="F1744" s="11" t="s">
        <v>49</v>
      </c>
      <c r="G1744" s="11" t="s">
        <v>39</v>
      </c>
      <c r="H1744" s="10"/>
      <c r="I1744" s="9"/>
      <c r="J1744" s="7" t="s">
        <v>35</v>
      </c>
      <c r="K1744" s="7" t="s">
        <v>21</v>
      </c>
      <c r="L1744" s="7"/>
      <c r="M1744" s="7" t="str">
        <f>IF(C1744="Caixa","-",VLOOKUP(J1744,[1]Estrutura!C:E,3,FALSE))</f>
        <v>4.1</v>
      </c>
      <c r="N1744" s="7"/>
      <c r="O1744" s="7">
        <f t="shared" si="108"/>
        <v>25</v>
      </c>
      <c r="P1744" s="7">
        <f t="shared" si="109"/>
        <v>12</v>
      </c>
      <c r="Q1744" s="7">
        <f t="shared" si="110"/>
        <v>2026</v>
      </c>
      <c r="R1744" s="6">
        <f t="shared" si="111"/>
        <v>-8400</v>
      </c>
      <c r="S1744" s="12">
        <v>46384</v>
      </c>
    </row>
    <row r="1745" spans="1:19">
      <c r="A1745" s="12">
        <v>46381</v>
      </c>
      <c r="B1745" s="7" t="s">
        <v>26</v>
      </c>
      <c r="C1745" s="7" t="s">
        <v>6</v>
      </c>
      <c r="D1745" s="11"/>
      <c r="E1745" s="11">
        <v>1875</v>
      </c>
      <c r="F1745" s="11" t="s">
        <v>48</v>
      </c>
      <c r="G1745" s="7" t="s">
        <v>39</v>
      </c>
      <c r="H1745" s="10"/>
      <c r="I1745" s="9"/>
      <c r="J1745" s="7" t="s">
        <v>35</v>
      </c>
      <c r="K1745" s="8" t="s">
        <v>40</v>
      </c>
      <c r="L1745" s="8"/>
      <c r="M1745" s="8" t="str">
        <f>IF(C1745="Caixa","-",VLOOKUP(J1745,[1]Estrutura!C:E,3,FALSE))</f>
        <v>4.1</v>
      </c>
      <c r="N1745" s="8"/>
      <c r="O1745" s="7">
        <f t="shared" si="108"/>
        <v>25</v>
      </c>
      <c r="P1745" s="7">
        <f t="shared" si="109"/>
        <v>12</v>
      </c>
      <c r="Q1745" s="7">
        <f t="shared" si="110"/>
        <v>2026</v>
      </c>
      <c r="R1745" s="6">
        <f t="shared" si="111"/>
        <v>-1875</v>
      </c>
      <c r="S1745" s="16">
        <v>46384</v>
      </c>
    </row>
    <row r="1746" spans="1:19">
      <c r="A1746" s="16">
        <v>46381</v>
      </c>
      <c r="B1746" s="8" t="s">
        <v>26</v>
      </c>
      <c r="C1746" s="8" t="s">
        <v>6</v>
      </c>
      <c r="D1746" s="15"/>
      <c r="E1746" s="15">
        <v>3045</v>
      </c>
      <c r="F1746" s="15" t="s">
        <v>47</v>
      </c>
      <c r="G1746" s="8" t="s">
        <v>39</v>
      </c>
      <c r="H1746" s="14"/>
      <c r="I1746" s="13"/>
      <c r="J1746" s="7" t="s">
        <v>35</v>
      </c>
      <c r="K1746" s="18" t="s">
        <v>34</v>
      </c>
      <c r="L1746" s="7"/>
      <c r="M1746" s="7" t="str">
        <f>IF(C1746="Caixa","-",VLOOKUP(J1746,[1]Estrutura!C:E,3,FALSE))</f>
        <v>4.1</v>
      </c>
      <c r="N1746" s="7"/>
      <c r="O1746" s="7">
        <f t="shared" si="108"/>
        <v>25</v>
      </c>
      <c r="P1746" s="7">
        <f t="shared" si="109"/>
        <v>12</v>
      </c>
      <c r="Q1746" s="7">
        <f t="shared" si="110"/>
        <v>2026</v>
      </c>
      <c r="R1746" s="6">
        <f t="shared" si="111"/>
        <v>-3045</v>
      </c>
      <c r="S1746" s="12">
        <v>46384</v>
      </c>
    </row>
    <row r="1747" spans="1:19">
      <c r="A1747" s="12">
        <v>46381</v>
      </c>
      <c r="B1747" s="7" t="s">
        <v>26</v>
      </c>
      <c r="C1747" s="7" t="s">
        <v>6</v>
      </c>
      <c r="D1747" s="11"/>
      <c r="E1747" s="11">
        <v>2997</v>
      </c>
      <c r="F1747" s="11" t="s">
        <v>46</v>
      </c>
      <c r="G1747" s="7" t="s">
        <v>39</v>
      </c>
      <c r="H1747" s="10"/>
      <c r="I1747" s="9"/>
      <c r="J1747" s="7" t="s">
        <v>35</v>
      </c>
      <c r="K1747" s="18" t="s">
        <v>34</v>
      </c>
      <c r="L1747" s="8"/>
      <c r="M1747" s="8" t="str">
        <f>IF(C1747="Caixa","-",VLOOKUP(J1747,[1]Estrutura!C:E,3,FALSE))</f>
        <v>4.1</v>
      </c>
      <c r="N1747" s="8"/>
      <c r="O1747" s="7">
        <f t="shared" si="108"/>
        <v>25</v>
      </c>
      <c r="P1747" s="7">
        <f t="shared" si="109"/>
        <v>12</v>
      </c>
      <c r="Q1747" s="7">
        <f t="shared" si="110"/>
        <v>2026</v>
      </c>
      <c r="R1747" s="6">
        <f t="shared" si="111"/>
        <v>-2997</v>
      </c>
      <c r="S1747" s="16">
        <v>46385</v>
      </c>
    </row>
    <row r="1748" spans="1:19">
      <c r="A1748" s="12">
        <v>46381</v>
      </c>
      <c r="B1748" s="7" t="s">
        <v>26</v>
      </c>
      <c r="C1748" s="7" t="s">
        <v>6</v>
      </c>
      <c r="D1748" s="11"/>
      <c r="E1748" s="15">
        <v>2722</v>
      </c>
      <c r="F1748" s="11" t="s">
        <v>45</v>
      </c>
      <c r="G1748" s="7" t="s">
        <v>39</v>
      </c>
      <c r="H1748" s="10"/>
      <c r="I1748" s="9"/>
      <c r="J1748" s="7" t="s">
        <v>35</v>
      </c>
      <c r="K1748" s="7" t="s">
        <v>44</v>
      </c>
      <c r="L1748" s="7"/>
      <c r="M1748" s="7" t="str">
        <f>IF(C1748="Caixa","-",VLOOKUP(J1748,[1]Estrutura!C:E,3,FALSE))</f>
        <v>4.1</v>
      </c>
      <c r="N1748" s="7"/>
      <c r="O1748" s="7">
        <f t="shared" si="108"/>
        <v>25</v>
      </c>
      <c r="P1748" s="7">
        <f t="shared" si="109"/>
        <v>12</v>
      </c>
      <c r="Q1748" s="7">
        <f t="shared" si="110"/>
        <v>2026</v>
      </c>
      <c r="R1748" s="6">
        <f t="shared" si="111"/>
        <v>-2722</v>
      </c>
      <c r="S1748" s="16">
        <v>46385</v>
      </c>
    </row>
    <row r="1749" spans="1:19">
      <c r="A1749" s="16">
        <v>46381</v>
      </c>
      <c r="B1749" s="8" t="s">
        <v>26</v>
      </c>
      <c r="C1749" s="8" t="s">
        <v>6</v>
      </c>
      <c r="D1749" s="15"/>
      <c r="E1749" s="11">
        <v>2040</v>
      </c>
      <c r="F1749" s="15" t="s">
        <v>38</v>
      </c>
      <c r="G1749" s="8" t="s">
        <v>39</v>
      </c>
      <c r="H1749" s="14"/>
      <c r="I1749" s="13"/>
      <c r="J1749" s="7" t="s">
        <v>35</v>
      </c>
      <c r="K1749" s="18" t="s">
        <v>34</v>
      </c>
      <c r="L1749" s="8"/>
      <c r="M1749" s="8" t="str">
        <f>IF(C1749="Caixa","-",VLOOKUP(J1749,[1]Estrutura!C:E,3,FALSE))</f>
        <v>4.1</v>
      </c>
      <c r="N1749" s="8"/>
      <c r="O1749" s="7">
        <f t="shared" si="108"/>
        <v>25</v>
      </c>
      <c r="P1749" s="7">
        <f t="shared" si="109"/>
        <v>12</v>
      </c>
      <c r="Q1749" s="7">
        <f t="shared" si="110"/>
        <v>2026</v>
      </c>
      <c r="R1749" s="6">
        <f t="shared" si="111"/>
        <v>-2040</v>
      </c>
      <c r="S1749" s="16">
        <v>46386</v>
      </c>
    </row>
    <row r="1750" spans="1:19">
      <c r="A1750" s="12">
        <v>46381</v>
      </c>
      <c r="B1750" s="7" t="s">
        <v>26</v>
      </c>
      <c r="C1750" s="7" t="s">
        <v>6</v>
      </c>
      <c r="D1750" s="11"/>
      <c r="E1750" s="11">
        <v>1926</v>
      </c>
      <c r="F1750" s="11" t="s">
        <v>43</v>
      </c>
      <c r="G1750" s="7" t="s">
        <v>39</v>
      </c>
      <c r="H1750" s="10"/>
      <c r="I1750" s="9"/>
      <c r="J1750" s="7" t="s">
        <v>35</v>
      </c>
      <c r="K1750" s="7" t="s">
        <v>40</v>
      </c>
      <c r="L1750" s="7"/>
      <c r="M1750" s="7" t="str">
        <f>IF(C1750="Caixa","-",VLOOKUP(J1750,[1]Estrutura!C:E,3,FALSE))</f>
        <v>4.1</v>
      </c>
      <c r="N1750" s="7"/>
      <c r="O1750" s="7">
        <f t="shared" si="108"/>
        <v>25</v>
      </c>
      <c r="P1750" s="7">
        <f t="shared" si="109"/>
        <v>12</v>
      </c>
      <c r="Q1750" s="7">
        <f t="shared" si="110"/>
        <v>2026</v>
      </c>
      <c r="R1750" s="6">
        <f t="shared" si="111"/>
        <v>-1926</v>
      </c>
      <c r="S1750" s="12">
        <v>46386</v>
      </c>
    </row>
    <row r="1751" spans="1:19">
      <c r="A1751" s="12">
        <v>46381</v>
      </c>
      <c r="B1751" s="7" t="s">
        <v>26</v>
      </c>
      <c r="C1751" s="7" t="s">
        <v>6</v>
      </c>
      <c r="D1751" s="11"/>
      <c r="E1751" s="15">
        <v>2321</v>
      </c>
      <c r="F1751" s="11" t="s">
        <v>42</v>
      </c>
      <c r="G1751" s="7" t="s">
        <v>39</v>
      </c>
      <c r="H1751" s="10"/>
      <c r="I1751" s="9"/>
      <c r="J1751" s="7" t="s">
        <v>35</v>
      </c>
      <c r="K1751" s="18" t="s">
        <v>34</v>
      </c>
      <c r="L1751" s="8"/>
      <c r="M1751" s="8" t="str">
        <f>IF(C1751="Caixa","-",VLOOKUP(J1751,[1]Estrutura!C:E,3,FALSE))</f>
        <v>4.1</v>
      </c>
      <c r="N1751" s="8"/>
      <c r="O1751" s="7">
        <f t="shared" si="108"/>
        <v>25</v>
      </c>
      <c r="P1751" s="7">
        <f t="shared" si="109"/>
        <v>12</v>
      </c>
      <c r="Q1751" s="7">
        <f t="shared" si="110"/>
        <v>2026</v>
      </c>
      <c r="R1751" s="6">
        <f t="shared" si="111"/>
        <v>-2321</v>
      </c>
      <c r="S1751" s="16">
        <v>46386</v>
      </c>
    </row>
    <row r="1752" spans="1:19">
      <c r="A1752" s="12">
        <v>46381</v>
      </c>
      <c r="B1752" s="7" t="s">
        <v>26</v>
      </c>
      <c r="C1752" s="7" t="s">
        <v>6</v>
      </c>
      <c r="D1752" s="11"/>
      <c r="E1752" s="11">
        <v>2321</v>
      </c>
      <c r="F1752" s="11" t="s">
        <v>41</v>
      </c>
      <c r="G1752" s="7" t="s">
        <v>39</v>
      </c>
      <c r="H1752" s="10"/>
      <c r="I1752" s="9"/>
      <c r="J1752" s="7" t="s">
        <v>35</v>
      </c>
      <c r="K1752" s="8" t="s">
        <v>40</v>
      </c>
      <c r="L1752" s="7"/>
      <c r="M1752" s="7" t="str">
        <f>IF(C1752="Caixa","-",VLOOKUP(J1752,[1]Estrutura!C:E,3,FALSE))</f>
        <v>4.1</v>
      </c>
      <c r="N1752" s="7"/>
      <c r="O1752" s="7">
        <f t="shared" si="108"/>
        <v>25</v>
      </c>
      <c r="P1752" s="7">
        <f t="shared" si="109"/>
        <v>12</v>
      </c>
      <c r="Q1752" s="7">
        <f t="shared" si="110"/>
        <v>2026</v>
      </c>
      <c r="R1752" s="6">
        <f t="shared" si="111"/>
        <v>-2321</v>
      </c>
      <c r="S1752" s="16">
        <v>46386</v>
      </c>
    </row>
    <row r="1753" spans="1:19">
      <c r="A1753" s="16">
        <v>46381</v>
      </c>
      <c r="B1753" s="8" t="s">
        <v>26</v>
      </c>
      <c r="C1753" s="8" t="s">
        <v>6</v>
      </c>
      <c r="D1753" s="15"/>
      <c r="E1753" s="15">
        <v>2940</v>
      </c>
      <c r="F1753" s="15" t="s">
        <v>37</v>
      </c>
      <c r="G1753" s="8" t="s">
        <v>39</v>
      </c>
      <c r="H1753" s="14"/>
      <c r="I1753" s="13"/>
      <c r="J1753" s="7" t="s">
        <v>35</v>
      </c>
      <c r="K1753" s="18" t="s">
        <v>34</v>
      </c>
      <c r="L1753" s="8"/>
      <c r="M1753" s="8" t="str">
        <f>IF(C1753="Caixa","-",VLOOKUP(J1753,[1]Estrutura!C:E,3,FALSE))</f>
        <v>4.1</v>
      </c>
      <c r="N1753" s="8"/>
      <c r="O1753" s="7">
        <f t="shared" si="108"/>
        <v>25</v>
      </c>
      <c r="P1753" s="7">
        <f t="shared" si="109"/>
        <v>12</v>
      </c>
      <c r="Q1753" s="7">
        <f t="shared" si="110"/>
        <v>2026</v>
      </c>
      <c r="R1753" s="6">
        <f t="shared" si="111"/>
        <v>-2940</v>
      </c>
      <c r="S1753" s="16">
        <v>46386</v>
      </c>
    </row>
    <row r="1754" spans="1:19">
      <c r="A1754" s="12">
        <v>46381</v>
      </c>
      <c r="B1754" s="7" t="s">
        <v>26</v>
      </c>
      <c r="C1754" s="7" t="s">
        <v>6</v>
      </c>
      <c r="D1754" s="11"/>
      <c r="E1754" s="11">
        <v>2040</v>
      </c>
      <c r="F1754" s="11" t="s">
        <v>38</v>
      </c>
      <c r="G1754" s="7" t="s">
        <v>36</v>
      </c>
      <c r="H1754" s="10"/>
      <c r="I1754" s="9"/>
      <c r="J1754" s="7" t="s">
        <v>35</v>
      </c>
      <c r="K1754" s="18" t="s">
        <v>34</v>
      </c>
      <c r="L1754" s="7"/>
      <c r="M1754" s="7" t="str">
        <f>IF(C1754="Caixa","-",VLOOKUP(J1754,[1]Estrutura!C:E,3,FALSE))</f>
        <v>4.1</v>
      </c>
      <c r="N1754" s="7"/>
      <c r="O1754" s="7">
        <f t="shared" si="108"/>
        <v>25</v>
      </c>
      <c r="P1754" s="7">
        <f t="shared" si="109"/>
        <v>12</v>
      </c>
      <c r="Q1754" s="7">
        <f t="shared" si="110"/>
        <v>2026</v>
      </c>
      <c r="R1754" s="6">
        <f t="shared" si="111"/>
        <v>-2040</v>
      </c>
      <c r="S1754" s="16">
        <v>46386</v>
      </c>
    </row>
    <row r="1755" spans="1:19">
      <c r="A1755" s="12">
        <v>46381</v>
      </c>
      <c r="B1755" s="7" t="s">
        <v>26</v>
      </c>
      <c r="C1755" s="7" t="s">
        <v>6</v>
      </c>
      <c r="D1755" s="11"/>
      <c r="E1755" s="15">
        <v>2940</v>
      </c>
      <c r="F1755" s="15" t="s">
        <v>37</v>
      </c>
      <c r="G1755" s="7" t="s">
        <v>36</v>
      </c>
      <c r="H1755" s="10"/>
      <c r="I1755" s="9"/>
      <c r="J1755" s="7" t="s">
        <v>35</v>
      </c>
      <c r="K1755" s="18" t="s">
        <v>34</v>
      </c>
      <c r="L1755" s="8"/>
      <c r="M1755" s="8" t="str">
        <f>IF(C1755="Caixa","-",VLOOKUP(J1755,[1]Estrutura!C:E,3,FALSE))</f>
        <v>4.1</v>
      </c>
      <c r="N1755" s="8"/>
      <c r="O1755" s="7">
        <f t="shared" si="108"/>
        <v>25</v>
      </c>
      <c r="P1755" s="7">
        <f t="shared" si="109"/>
        <v>12</v>
      </c>
      <c r="Q1755" s="7">
        <f t="shared" si="110"/>
        <v>2026</v>
      </c>
      <c r="R1755" s="6">
        <f t="shared" si="111"/>
        <v>-2940</v>
      </c>
      <c r="S1755" s="16">
        <v>46387</v>
      </c>
    </row>
    <row r="1756" spans="1:19">
      <c r="A1756" s="16">
        <v>46381</v>
      </c>
      <c r="B1756" s="7" t="s">
        <v>7</v>
      </c>
      <c r="C1756" s="7" t="s">
        <v>9</v>
      </c>
      <c r="D1756" s="15">
        <v>1735.42</v>
      </c>
      <c r="E1756" s="15"/>
      <c r="F1756" s="15"/>
      <c r="G1756" s="8" t="s">
        <v>11</v>
      </c>
      <c r="H1756" s="8"/>
      <c r="I1756" s="17"/>
      <c r="J1756" s="8" t="s">
        <v>10</v>
      </c>
      <c r="K1756" s="8"/>
      <c r="L1756" s="7"/>
      <c r="M1756" s="7" t="str">
        <f>IF(C1756="Caixa","-",VLOOKUP(J1756,[1]Estrutura!C:E,3,FALSE))</f>
        <v>1.1</v>
      </c>
      <c r="N1756" s="7"/>
      <c r="O1756" s="7">
        <f t="shared" si="108"/>
        <v>25</v>
      </c>
      <c r="P1756" s="7">
        <f t="shared" si="109"/>
        <v>12</v>
      </c>
      <c r="Q1756" s="7">
        <f t="shared" si="110"/>
        <v>2026</v>
      </c>
      <c r="R1756" s="6">
        <f t="shared" si="111"/>
        <v>1735.42</v>
      </c>
      <c r="S1756" s="16">
        <v>46387</v>
      </c>
    </row>
    <row r="1757" spans="1:19">
      <c r="A1757" s="16">
        <v>46381</v>
      </c>
      <c r="B1757" s="8" t="s">
        <v>7</v>
      </c>
      <c r="C1757" s="8" t="s">
        <v>9</v>
      </c>
      <c r="D1757" s="15"/>
      <c r="E1757" s="15">
        <v>3275</v>
      </c>
      <c r="F1757" s="15" t="s">
        <v>32</v>
      </c>
      <c r="G1757" s="8" t="s">
        <v>33</v>
      </c>
      <c r="H1757" s="14"/>
      <c r="I1757" s="13"/>
      <c r="J1757" s="8" t="s">
        <v>33</v>
      </c>
      <c r="K1757" s="8"/>
      <c r="L1757" s="8"/>
      <c r="M1757" s="8" t="str">
        <f>IF(C1757="Caixa","-",VLOOKUP(J1757,[1]Estrutura!C:E,3,FALSE))</f>
        <v>2.1</v>
      </c>
      <c r="N1757" s="8"/>
      <c r="O1757" s="7">
        <f t="shared" si="108"/>
        <v>25</v>
      </c>
      <c r="P1757" s="7">
        <f t="shared" si="109"/>
        <v>12</v>
      </c>
      <c r="Q1757" s="7">
        <f t="shared" si="110"/>
        <v>2026</v>
      </c>
      <c r="R1757" s="6">
        <f t="shared" si="111"/>
        <v>-3275</v>
      </c>
      <c r="S1757" s="12">
        <v>46387</v>
      </c>
    </row>
    <row r="1758" spans="1:19">
      <c r="A1758" s="12">
        <v>46381</v>
      </c>
      <c r="B1758" s="7" t="s">
        <v>7</v>
      </c>
      <c r="C1758" s="7" t="s">
        <v>9</v>
      </c>
      <c r="D1758" s="11"/>
      <c r="E1758" s="11">
        <v>709</v>
      </c>
      <c r="F1758" s="11" t="s">
        <v>32</v>
      </c>
      <c r="G1758" s="7" t="s">
        <v>31</v>
      </c>
      <c r="H1758" s="10"/>
      <c r="I1758" s="9"/>
      <c r="J1758" s="7" t="s">
        <v>31</v>
      </c>
      <c r="K1758" s="7"/>
      <c r="L1758" s="7"/>
      <c r="M1758" s="7" t="str">
        <f>IF(C1758="Caixa","-",VLOOKUP(J1758,[1]Estrutura!C:E,3,FALSE))</f>
        <v>2.1</v>
      </c>
      <c r="N1758" s="7"/>
      <c r="O1758" s="7">
        <f t="shared" si="108"/>
        <v>25</v>
      </c>
      <c r="P1758" s="7">
        <f t="shared" si="109"/>
        <v>12</v>
      </c>
      <c r="Q1758" s="7">
        <f t="shared" si="110"/>
        <v>2026</v>
      </c>
      <c r="R1758" s="6">
        <f t="shared" si="111"/>
        <v>-709</v>
      </c>
      <c r="S1758" s="12">
        <v>46381</v>
      </c>
    </row>
    <row r="1759" spans="1:19">
      <c r="A1759" s="16">
        <v>46381</v>
      </c>
      <c r="B1759" s="8" t="s">
        <v>7</v>
      </c>
      <c r="C1759" s="8" t="s">
        <v>9</v>
      </c>
      <c r="D1759" s="15"/>
      <c r="E1759" s="15">
        <v>33333</v>
      </c>
      <c r="F1759" s="15"/>
      <c r="G1759" s="8" t="s">
        <v>30</v>
      </c>
      <c r="H1759" s="14"/>
      <c r="I1759" s="13"/>
      <c r="J1759" s="8" t="s">
        <v>29</v>
      </c>
      <c r="K1759" s="8"/>
      <c r="L1759" s="8"/>
      <c r="M1759" s="8" t="str">
        <f>IF(C1759="Caixa","-",VLOOKUP(J1759,[1]Estrutura!C:E,3,FALSE))</f>
        <v>4.8</v>
      </c>
      <c r="N1759" s="8"/>
      <c r="O1759" s="7">
        <f t="shared" si="108"/>
        <v>25</v>
      </c>
      <c r="P1759" s="7">
        <f t="shared" si="109"/>
        <v>12</v>
      </c>
      <c r="Q1759" s="7">
        <f t="shared" si="110"/>
        <v>2026</v>
      </c>
      <c r="R1759" s="6">
        <f t="shared" si="111"/>
        <v>-33333</v>
      </c>
      <c r="S1759" s="16">
        <v>46381</v>
      </c>
    </row>
    <row r="1760" spans="1:19">
      <c r="A1760" s="16">
        <v>46381</v>
      </c>
      <c r="B1760" s="8" t="s">
        <v>7</v>
      </c>
      <c r="C1760" s="8" t="s">
        <v>9</v>
      </c>
      <c r="D1760" s="15"/>
      <c r="E1760" s="15">
        <v>8000</v>
      </c>
      <c r="F1760" s="15"/>
      <c r="G1760" s="8" t="s">
        <v>28</v>
      </c>
      <c r="H1760" s="8"/>
      <c r="I1760" s="13"/>
      <c r="J1760" s="8" t="s">
        <v>27</v>
      </c>
      <c r="K1760" s="8"/>
      <c r="L1760" s="7"/>
      <c r="M1760" s="7" t="str">
        <f>IF(C1760="Caixa","-",VLOOKUP(J1760,[1]Estrutura!C:E,3,FALSE))</f>
        <v>7.3</v>
      </c>
      <c r="N1760" s="7"/>
      <c r="O1760" s="7">
        <f t="shared" si="108"/>
        <v>25</v>
      </c>
      <c r="P1760" s="7">
        <f t="shared" si="109"/>
        <v>12</v>
      </c>
      <c r="Q1760" s="7">
        <f t="shared" si="110"/>
        <v>2026</v>
      </c>
      <c r="R1760" s="6">
        <f t="shared" si="111"/>
        <v>-8000</v>
      </c>
      <c r="S1760" s="12">
        <v>46381</v>
      </c>
    </row>
    <row r="1761" spans="1:19">
      <c r="A1761" s="16">
        <v>46382</v>
      </c>
      <c r="B1761" s="7" t="s">
        <v>7</v>
      </c>
      <c r="C1761" s="7" t="s">
        <v>9</v>
      </c>
      <c r="D1761" s="15">
        <v>32990.639999999999</v>
      </c>
      <c r="E1761" s="15"/>
      <c r="F1761" s="15"/>
      <c r="G1761" s="8" t="s">
        <v>11</v>
      </c>
      <c r="H1761" s="8"/>
      <c r="I1761" s="17"/>
      <c r="J1761" s="8" t="s">
        <v>10</v>
      </c>
      <c r="K1761" s="8"/>
      <c r="L1761" s="8"/>
      <c r="M1761" s="8" t="str">
        <f>IF(C1761="Caixa","-",VLOOKUP(J1761,[1]Estrutura!C:E,3,FALSE))</f>
        <v>1.1</v>
      </c>
      <c r="N1761" s="8"/>
      <c r="O1761" s="7">
        <f t="shared" si="108"/>
        <v>26</v>
      </c>
      <c r="P1761" s="7">
        <f t="shared" si="109"/>
        <v>12</v>
      </c>
      <c r="Q1761" s="7">
        <f t="shared" si="110"/>
        <v>2026</v>
      </c>
      <c r="R1761" s="6">
        <f t="shared" si="111"/>
        <v>32990.639999999999</v>
      </c>
      <c r="S1761" s="16">
        <v>46381</v>
      </c>
    </row>
    <row r="1762" spans="1:19">
      <c r="A1762" s="16">
        <v>46383</v>
      </c>
      <c r="B1762" s="8" t="s">
        <v>14</v>
      </c>
      <c r="C1762" s="7" t="s">
        <v>9</v>
      </c>
      <c r="D1762" s="15">
        <v>5091.26</v>
      </c>
      <c r="E1762" s="15"/>
      <c r="F1762" s="15"/>
      <c r="G1762" s="8" t="s">
        <v>11</v>
      </c>
      <c r="H1762" s="8"/>
      <c r="I1762" s="17"/>
      <c r="J1762" s="8" t="s">
        <v>10</v>
      </c>
      <c r="K1762" s="8"/>
      <c r="L1762" s="7"/>
      <c r="M1762" s="7" t="str">
        <f>IF(C1762="Caixa","-",VLOOKUP(J1762,[1]Estrutura!C:E,3,FALSE))</f>
        <v>1.1</v>
      </c>
      <c r="N1762" s="7"/>
      <c r="O1762" s="7">
        <f t="shared" si="108"/>
        <v>27</v>
      </c>
      <c r="P1762" s="7">
        <f t="shared" si="109"/>
        <v>12</v>
      </c>
      <c r="Q1762" s="7">
        <f t="shared" si="110"/>
        <v>2026</v>
      </c>
      <c r="R1762" s="6">
        <f t="shared" si="111"/>
        <v>5091.26</v>
      </c>
      <c r="S1762" s="12">
        <v>46381</v>
      </c>
    </row>
    <row r="1763" spans="1:19">
      <c r="A1763" s="16">
        <v>46383</v>
      </c>
      <c r="B1763" s="7" t="s">
        <v>7</v>
      </c>
      <c r="C1763" s="7" t="s">
        <v>9</v>
      </c>
      <c r="D1763" s="15">
        <v>12379.680000000002</v>
      </c>
      <c r="E1763" s="15"/>
      <c r="F1763" s="15"/>
      <c r="G1763" s="8" t="s">
        <v>11</v>
      </c>
      <c r="H1763" s="8"/>
      <c r="I1763" s="17"/>
      <c r="J1763" s="8" t="s">
        <v>10</v>
      </c>
      <c r="K1763" s="8"/>
      <c r="L1763" s="8"/>
      <c r="M1763" s="8" t="str">
        <f>IF(C1763="Caixa","-",VLOOKUP(J1763,[1]Estrutura!C:E,3,FALSE))</f>
        <v>1.1</v>
      </c>
      <c r="N1763" s="8"/>
      <c r="O1763" s="7">
        <f t="shared" si="108"/>
        <v>27</v>
      </c>
      <c r="P1763" s="7">
        <f t="shared" si="109"/>
        <v>12</v>
      </c>
      <c r="Q1763" s="7">
        <f t="shared" si="110"/>
        <v>2026</v>
      </c>
      <c r="R1763" s="6">
        <f t="shared" si="111"/>
        <v>12379.680000000002</v>
      </c>
      <c r="S1763" s="16">
        <v>46381</v>
      </c>
    </row>
    <row r="1764" spans="1:19">
      <c r="A1764" s="16">
        <v>46384</v>
      </c>
      <c r="B1764" s="8" t="s">
        <v>14</v>
      </c>
      <c r="C1764" s="7" t="s">
        <v>9</v>
      </c>
      <c r="D1764" s="15">
        <v>2854.33</v>
      </c>
      <c r="E1764" s="15"/>
      <c r="F1764" s="15"/>
      <c r="G1764" s="8" t="s">
        <v>11</v>
      </c>
      <c r="H1764" s="8"/>
      <c r="I1764" s="17"/>
      <c r="J1764" s="8" t="s">
        <v>10</v>
      </c>
      <c r="K1764" s="8"/>
      <c r="L1764" s="7"/>
      <c r="M1764" s="7" t="str">
        <f>IF(C1764="Caixa","-",VLOOKUP(J1764,[1]Estrutura!C:E,3,FALSE))</f>
        <v>1.1</v>
      </c>
      <c r="N1764" s="7"/>
      <c r="O1764" s="7">
        <f t="shared" si="108"/>
        <v>28</v>
      </c>
      <c r="P1764" s="7">
        <f t="shared" si="109"/>
        <v>12</v>
      </c>
      <c r="Q1764" s="7">
        <f t="shared" si="110"/>
        <v>2026</v>
      </c>
      <c r="R1764" s="6">
        <f t="shared" si="111"/>
        <v>2854.33</v>
      </c>
      <c r="S1764" s="12">
        <v>46381</v>
      </c>
    </row>
    <row r="1765" spans="1:19">
      <c r="A1765" s="12">
        <v>46384</v>
      </c>
      <c r="B1765" s="7" t="s">
        <v>26</v>
      </c>
      <c r="C1765" s="7" t="s">
        <v>25</v>
      </c>
      <c r="D1765" s="11"/>
      <c r="E1765" s="11">
        <v>112.4</v>
      </c>
      <c r="F1765" s="11" t="s">
        <v>24</v>
      </c>
      <c r="G1765" s="7" t="s">
        <v>23</v>
      </c>
      <c r="H1765" s="10"/>
      <c r="I1765" s="9"/>
      <c r="J1765" s="7" t="s">
        <v>22</v>
      </c>
      <c r="K1765" s="7" t="s">
        <v>21</v>
      </c>
      <c r="L1765" s="8"/>
      <c r="M1765" s="8" t="str">
        <f>IF(C1765="Caixa","-",VLOOKUP(J1765,[1]Estrutura!C:E,3,FALSE))</f>
        <v>4.3</v>
      </c>
      <c r="N1765" s="8"/>
      <c r="O1765" s="7">
        <f t="shared" si="108"/>
        <v>28</v>
      </c>
      <c r="P1765" s="7">
        <f t="shared" si="109"/>
        <v>12</v>
      </c>
      <c r="Q1765" s="7">
        <f t="shared" si="110"/>
        <v>2026</v>
      </c>
      <c r="R1765" s="6">
        <f t="shared" si="111"/>
        <v>-112.4</v>
      </c>
      <c r="S1765" s="16">
        <v>46381</v>
      </c>
    </row>
    <row r="1766" spans="1:19">
      <c r="A1766" s="16">
        <v>46384</v>
      </c>
      <c r="B1766" s="7" t="s">
        <v>7</v>
      </c>
      <c r="C1766" s="7" t="s">
        <v>9</v>
      </c>
      <c r="D1766" s="15">
        <v>9951.630000000001</v>
      </c>
      <c r="E1766" s="15"/>
      <c r="F1766" s="15"/>
      <c r="G1766" s="8" t="s">
        <v>11</v>
      </c>
      <c r="H1766" s="8"/>
      <c r="I1766" s="17"/>
      <c r="J1766" s="8" t="s">
        <v>10</v>
      </c>
      <c r="K1766" s="8"/>
      <c r="L1766" s="7"/>
      <c r="M1766" s="7" t="str">
        <f>IF(C1766="Caixa","-",VLOOKUP(J1766,[1]Estrutura!C:E,3,FALSE))</f>
        <v>1.1</v>
      </c>
      <c r="N1766" s="7"/>
      <c r="O1766" s="7">
        <f t="shared" si="108"/>
        <v>28</v>
      </c>
      <c r="P1766" s="7">
        <f t="shared" si="109"/>
        <v>12</v>
      </c>
      <c r="Q1766" s="7">
        <f t="shared" si="110"/>
        <v>2026</v>
      </c>
      <c r="R1766" s="6">
        <f t="shared" si="111"/>
        <v>9951.630000000001</v>
      </c>
      <c r="S1766" s="12">
        <v>46381</v>
      </c>
    </row>
    <row r="1767" spans="1:19">
      <c r="A1767" s="12">
        <v>46384</v>
      </c>
      <c r="B1767" s="8" t="s">
        <v>7</v>
      </c>
      <c r="C1767" s="8" t="s">
        <v>9</v>
      </c>
      <c r="D1767" s="15"/>
      <c r="E1767" s="11">
        <v>47373.33</v>
      </c>
      <c r="F1767" s="15"/>
      <c r="G1767" s="7" t="s">
        <v>20</v>
      </c>
      <c r="H1767" s="10"/>
      <c r="I1767" s="9"/>
      <c r="J1767" s="7" t="s">
        <v>19</v>
      </c>
      <c r="K1767" s="8"/>
      <c r="L1767" s="8"/>
      <c r="M1767" s="8" t="str">
        <f>IF(C1767="Caixa","-",VLOOKUP(J1767,[1]Estrutura!C:E,3,FALSE))</f>
        <v>8.7</v>
      </c>
      <c r="N1767" s="8"/>
      <c r="O1767" s="7">
        <f t="shared" si="108"/>
        <v>28</v>
      </c>
      <c r="P1767" s="7">
        <f t="shared" si="109"/>
        <v>12</v>
      </c>
      <c r="Q1767" s="7">
        <f t="shared" si="110"/>
        <v>2026</v>
      </c>
      <c r="R1767" s="6">
        <f t="shared" si="111"/>
        <v>-47373.33</v>
      </c>
      <c r="S1767" s="16">
        <v>46381</v>
      </c>
    </row>
    <row r="1768" spans="1:19">
      <c r="A1768" s="16">
        <v>46385</v>
      </c>
      <c r="B1768" s="8" t="s">
        <v>14</v>
      </c>
      <c r="C1768" s="7" t="s">
        <v>9</v>
      </c>
      <c r="D1768" s="15">
        <v>3050.8199999999997</v>
      </c>
      <c r="E1768" s="15"/>
      <c r="F1768" s="15"/>
      <c r="G1768" s="8" t="s">
        <v>11</v>
      </c>
      <c r="H1768" s="8"/>
      <c r="I1768" s="17"/>
      <c r="J1768" s="8" t="s">
        <v>10</v>
      </c>
      <c r="K1768" s="8"/>
      <c r="L1768" s="7"/>
      <c r="M1768" s="7" t="str">
        <f>IF(C1768="Caixa","-",VLOOKUP(J1768,[1]Estrutura!C:E,3,FALSE))</f>
        <v>1.1</v>
      </c>
      <c r="N1768" s="7"/>
      <c r="O1768" s="7">
        <f t="shared" si="108"/>
        <v>29</v>
      </c>
      <c r="P1768" s="7">
        <f t="shared" si="109"/>
        <v>12</v>
      </c>
      <c r="Q1768" s="7">
        <f t="shared" si="110"/>
        <v>2026</v>
      </c>
      <c r="R1768" s="6">
        <f t="shared" si="111"/>
        <v>3050.8199999999997</v>
      </c>
      <c r="S1768" s="12">
        <v>46381</v>
      </c>
    </row>
    <row r="1769" spans="1:19">
      <c r="A1769" s="12">
        <v>46385</v>
      </c>
      <c r="B1769" s="8" t="s">
        <v>14</v>
      </c>
      <c r="C1769" s="8" t="s">
        <v>9</v>
      </c>
      <c r="D1769" s="11"/>
      <c r="E1769" s="15">
        <v>1800</v>
      </c>
      <c r="F1769" s="11"/>
      <c r="G1769" s="8" t="s">
        <v>18</v>
      </c>
      <c r="H1769" s="10"/>
      <c r="I1769" s="9"/>
      <c r="J1769" s="8" t="s">
        <v>17</v>
      </c>
      <c r="K1769" s="7"/>
      <c r="L1769" s="8"/>
      <c r="M1769" s="8" t="str">
        <f>IF(C1769="Caixa","-",VLOOKUP(J1769,[1]Estrutura!C:E,3,FALSE))</f>
        <v>4.4</v>
      </c>
      <c r="N1769" s="8"/>
      <c r="O1769" s="7">
        <f t="shared" si="108"/>
        <v>29</v>
      </c>
      <c r="P1769" s="7">
        <f t="shared" si="109"/>
        <v>12</v>
      </c>
      <c r="Q1769" s="7">
        <f t="shared" si="110"/>
        <v>2026</v>
      </c>
      <c r="R1769" s="6">
        <f t="shared" si="111"/>
        <v>-1800</v>
      </c>
      <c r="S1769" s="16">
        <v>46381</v>
      </c>
    </row>
    <row r="1770" spans="1:19">
      <c r="A1770" s="16">
        <v>46385</v>
      </c>
      <c r="B1770" s="7" t="s">
        <v>7</v>
      </c>
      <c r="C1770" s="7" t="s">
        <v>9</v>
      </c>
      <c r="D1770" s="15">
        <v>4068.53</v>
      </c>
      <c r="E1770" s="15"/>
      <c r="F1770" s="15"/>
      <c r="G1770" s="8" t="s">
        <v>11</v>
      </c>
      <c r="H1770" s="8"/>
      <c r="I1770" s="17"/>
      <c r="J1770" s="8" t="s">
        <v>10</v>
      </c>
      <c r="K1770" s="8"/>
      <c r="L1770" s="7"/>
      <c r="M1770" s="7" t="str">
        <f>IF(C1770="Caixa","-",VLOOKUP(J1770,[1]Estrutura!C:E,3,FALSE))</f>
        <v>1.1</v>
      </c>
      <c r="N1770" s="7"/>
      <c r="O1770" s="7">
        <f t="shared" si="108"/>
        <v>29</v>
      </c>
      <c r="P1770" s="7">
        <f t="shared" si="109"/>
        <v>12</v>
      </c>
      <c r="Q1770" s="7">
        <f t="shared" si="110"/>
        <v>2026</v>
      </c>
      <c r="R1770" s="6">
        <f t="shared" si="111"/>
        <v>4068.53</v>
      </c>
      <c r="S1770" s="12">
        <v>46381</v>
      </c>
    </row>
    <row r="1771" spans="1:19">
      <c r="A1771" s="16">
        <v>46386</v>
      </c>
      <c r="B1771" s="8" t="s">
        <v>14</v>
      </c>
      <c r="C1771" s="7" t="s">
        <v>9</v>
      </c>
      <c r="D1771" s="15">
        <v>1569.63</v>
      </c>
      <c r="E1771" s="15"/>
      <c r="F1771" s="15"/>
      <c r="G1771" s="8" t="s">
        <v>11</v>
      </c>
      <c r="H1771" s="8"/>
      <c r="I1771" s="17"/>
      <c r="J1771" s="8" t="s">
        <v>10</v>
      </c>
      <c r="K1771" s="8"/>
      <c r="L1771" s="8"/>
      <c r="M1771" s="8" t="str">
        <f>IF(C1771="Caixa","-",VLOOKUP(J1771,[1]Estrutura!C:E,3,FALSE))</f>
        <v>1.1</v>
      </c>
      <c r="N1771" s="8"/>
      <c r="O1771" s="7">
        <f t="shared" si="108"/>
        <v>30</v>
      </c>
      <c r="P1771" s="7">
        <f t="shared" si="109"/>
        <v>12</v>
      </c>
      <c r="Q1771" s="7">
        <f t="shared" si="110"/>
        <v>2026</v>
      </c>
      <c r="R1771" s="6">
        <f t="shared" si="111"/>
        <v>1569.63</v>
      </c>
      <c r="S1771" s="16">
        <v>46381</v>
      </c>
    </row>
    <row r="1772" spans="1:19">
      <c r="A1772" s="12">
        <v>46386</v>
      </c>
      <c r="B1772" s="7" t="s">
        <v>14</v>
      </c>
      <c r="C1772" s="8" t="s">
        <v>9</v>
      </c>
      <c r="D1772" s="11"/>
      <c r="E1772" s="11">
        <v>2300.5500000000002</v>
      </c>
      <c r="F1772" s="11"/>
      <c r="G1772" s="7" t="s">
        <v>16</v>
      </c>
      <c r="H1772" s="10"/>
      <c r="I1772" s="9"/>
      <c r="J1772" s="7" t="s">
        <v>15</v>
      </c>
      <c r="K1772" s="7"/>
      <c r="L1772" s="7"/>
      <c r="M1772" s="7" t="str">
        <f>IF(C1772="Caixa","-",VLOOKUP(J1772,[1]Estrutura!C:E,3,FALSE))</f>
        <v>4.7</v>
      </c>
      <c r="N1772" s="7"/>
      <c r="O1772" s="7">
        <f t="shared" si="108"/>
        <v>30</v>
      </c>
      <c r="P1772" s="7">
        <f t="shared" si="109"/>
        <v>12</v>
      </c>
      <c r="Q1772" s="7">
        <f t="shared" si="110"/>
        <v>2026</v>
      </c>
      <c r="R1772" s="6">
        <f t="shared" si="111"/>
        <v>-2300.5500000000002</v>
      </c>
      <c r="S1772" s="12">
        <v>46381</v>
      </c>
    </row>
    <row r="1773" spans="1:19">
      <c r="A1773" s="16">
        <v>46386</v>
      </c>
      <c r="B1773" s="8" t="s">
        <v>14</v>
      </c>
      <c r="C1773" s="8" t="s">
        <v>9</v>
      </c>
      <c r="D1773" s="15"/>
      <c r="E1773" s="15">
        <v>1000</v>
      </c>
      <c r="F1773" s="15"/>
      <c r="G1773" s="8" t="s">
        <v>13</v>
      </c>
      <c r="H1773" s="14"/>
      <c r="I1773" s="13"/>
      <c r="J1773" s="8" t="s">
        <v>12</v>
      </c>
      <c r="K1773" s="8"/>
      <c r="L1773" s="8"/>
      <c r="M1773" s="8" t="str">
        <f>IF(C1773="Caixa","-",VLOOKUP(J1773,[1]Estrutura!C:E,3,FALSE))</f>
        <v>4.9</v>
      </c>
      <c r="N1773" s="8"/>
      <c r="O1773" s="7">
        <f t="shared" si="108"/>
        <v>30</v>
      </c>
      <c r="P1773" s="7">
        <f t="shared" si="109"/>
        <v>12</v>
      </c>
      <c r="Q1773" s="7">
        <f t="shared" si="110"/>
        <v>2026</v>
      </c>
      <c r="R1773" s="6">
        <f t="shared" si="111"/>
        <v>-1000</v>
      </c>
      <c r="S1773" s="12">
        <v>46382</v>
      </c>
    </row>
    <row r="1774" spans="1:19">
      <c r="A1774" s="16">
        <v>46386</v>
      </c>
      <c r="B1774" s="7" t="s">
        <v>7</v>
      </c>
      <c r="C1774" s="7" t="s">
        <v>9</v>
      </c>
      <c r="D1774" s="15">
        <v>9617.14</v>
      </c>
      <c r="E1774" s="15"/>
      <c r="F1774" s="15"/>
      <c r="G1774" s="8" t="s">
        <v>11</v>
      </c>
      <c r="H1774" s="8"/>
      <c r="I1774" s="17"/>
      <c r="J1774" s="8" t="s">
        <v>10</v>
      </c>
      <c r="K1774" s="8"/>
      <c r="L1774" s="7"/>
      <c r="M1774" s="7" t="str">
        <f>IF(C1774="Caixa","-",VLOOKUP(J1774,[1]Estrutura!C:E,3,FALSE))</f>
        <v>1.1</v>
      </c>
      <c r="N1774" s="7"/>
      <c r="O1774" s="7">
        <f t="shared" si="108"/>
        <v>30</v>
      </c>
      <c r="P1774" s="7">
        <f t="shared" si="109"/>
        <v>12</v>
      </c>
      <c r="Q1774" s="7">
        <f t="shared" si="110"/>
        <v>2026</v>
      </c>
      <c r="R1774" s="6">
        <f t="shared" si="111"/>
        <v>9617.14</v>
      </c>
      <c r="S1774" s="12">
        <v>46383</v>
      </c>
    </row>
    <row r="1775" spans="1:19">
      <c r="A1775" s="16">
        <v>46386</v>
      </c>
      <c r="B1775" s="8" t="s">
        <v>7</v>
      </c>
      <c r="C1775" s="8" t="s">
        <v>2</v>
      </c>
      <c r="D1775" s="15">
        <v>15892.369999998249</v>
      </c>
      <c r="E1775" s="15"/>
      <c r="F1775" s="15"/>
      <c r="G1775" s="8" t="s">
        <v>1</v>
      </c>
      <c r="H1775" s="14"/>
      <c r="I1775" s="13"/>
      <c r="J1775" s="8" t="s">
        <v>0</v>
      </c>
      <c r="K1775" s="8"/>
      <c r="L1775" s="7"/>
      <c r="M1775" s="7" t="str">
        <f>IF(C1775="Caixa","-",VLOOKUP(J1775,[1]Estrutura!C:E,3,FALSE))</f>
        <v>5.1</v>
      </c>
      <c r="N1775" s="7"/>
      <c r="O1775" s="7">
        <f t="shared" si="108"/>
        <v>30</v>
      </c>
      <c r="P1775" s="7">
        <f t="shared" si="109"/>
        <v>12</v>
      </c>
      <c r="Q1775" s="7">
        <f t="shared" si="110"/>
        <v>2026</v>
      </c>
      <c r="R1775" s="6">
        <f t="shared" si="111"/>
        <v>15892.369999998249</v>
      </c>
      <c r="S1775" s="12">
        <v>46383</v>
      </c>
    </row>
    <row r="1776" spans="1:19">
      <c r="A1776" s="16">
        <v>46386</v>
      </c>
      <c r="B1776" s="8" t="s">
        <v>7</v>
      </c>
      <c r="C1776" s="8" t="s">
        <v>9</v>
      </c>
      <c r="D1776" s="15"/>
      <c r="E1776" s="15">
        <v>1444.22</v>
      </c>
      <c r="F1776" s="15"/>
      <c r="G1776" s="8" t="s">
        <v>8</v>
      </c>
      <c r="H1776" s="14"/>
      <c r="I1776" s="13"/>
      <c r="J1776" s="8" t="s">
        <v>4</v>
      </c>
      <c r="K1776" s="8"/>
      <c r="L1776" s="7"/>
      <c r="M1776" s="7" t="str">
        <f>IF(C1776="Caixa","-",VLOOKUP(J1776,[1]Estrutura!C:E,3,FALSE))</f>
        <v>5.2</v>
      </c>
      <c r="N1776" s="7"/>
      <c r="O1776" s="7">
        <f t="shared" si="108"/>
        <v>30</v>
      </c>
      <c r="P1776" s="7">
        <f t="shared" si="109"/>
        <v>12</v>
      </c>
      <c r="Q1776" s="7">
        <f t="shared" si="110"/>
        <v>2026</v>
      </c>
      <c r="R1776" s="6">
        <f t="shared" si="111"/>
        <v>-1444.22</v>
      </c>
      <c r="S1776" s="12">
        <v>46384</v>
      </c>
    </row>
    <row r="1777" spans="1:19">
      <c r="A1777" s="16">
        <v>46387</v>
      </c>
      <c r="B1777" s="7" t="s">
        <v>7</v>
      </c>
      <c r="C1777" s="7" t="s">
        <v>6</v>
      </c>
      <c r="D1777" s="11"/>
      <c r="E1777" s="11">
        <v>512.15</v>
      </c>
      <c r="F1777" s="11"/>
      <c r="G1777" s="7" t="s">
        <v>5</v>
      </c>
      <c r="H1777" s="10"/>
      <c r="I1777" s="9"/>
      <c r="J1777" s="7" t="s">
        <v>4</v>
      </c>
      <c r="K1777" s="8"/>
      <c r="L1777" s="7"/>
      <c r="M1777" s="7" t="str">
        <f>IF(C1777="Caixa","-",VLOOKUP(J1777,[1]Estrutura!C:E,3,FALSE))</f>
        <v>5.2</v>
      </c>
      <c r="N1777" s="7"/>
      <c r="O1777" s="7">
        <f t="shared" si="108"/>
        <v>31</v>
      </c>
      <c r="P1777" s="7">
        <f t="shared" si="109"/>
        <v>12</v>
      </c>
      <c r="Q1777" s="7">
        <f t="shared" si="110"/>
        <v>2026</v>
      </c>
      <c r="R1777" s="6">
        <f t="shared" si="111"/>
        <v>-512.15</v>
      </c>
      <c r="S1777" s="16">
        <v>46384</v>
      </c>
    </row>
    <row r="1778" spans="1:19">
      <c r="A1778" s="16">
        <v>46387</v>
      </c>
      <c r="B1778" s="8" t="s">
        <v>7</v>
      </c>
      <c r="C1778" s="8" t="s">
        <v>6</v>
      </c>
      <c r="D1778" s="15"/>
      <c r="E1778" s="15">
        <v>486.42</v>
      </c>
      <c r="F1778" s="15"/>
      <c r="G1778" s="8" t="s">
        <v>5</v>
      </c>
      <c r="H1778" s="14"/>
      <c r="I1778" s="13"/>
      <c r="J1778" s="8" t="s">
        <v>4</v>
      </c>
      <c r="K1778" s="8"/>
      <c r="L1778" s="7"/>
      <c r="M1778" s="7" t="str">
        <f>IF(C1778="Caixa","-",VLOOKUP(J1778,[1]Estrutura!C:E,3,FALSE))</f>
        <v>5.2</v>
      </c>
      <c r="N1778" s="7"/>
      <c r="O1778" s="7">
        <f t="shared" si="108"/>
        <v>31</v>
      </c>
      <c r="P1778" s="7">
        <f t="shared" si="109"/>
        <v>12</v>
      </c>
      <c r="Q1778" s="7">
        <f t="shared" si="110"/>
        <v>2026</v>
      </c>
      <c r="R1778" s="6">
        <f t="shared" si="111"/>
        <v>-486.42</v>
      </c>
    </row>
    <row r="1779" spans="1:19">
      <c r="A1779" s="12">
        <v>46387</v>
      </c>
      <c r="B1779" s="7" t="s">
        <v>3</v>
      </c>
      <c r="C1779" s="7" t="s">
        <v>2</v>
      </c>
      <c r="D1779" s="11">
        <v>7181.359999999986</v>
      </c>
      <c r="E1779" s="11"/>
      <c r="F1779" s="11"/>
      <c r="G1779" s="7" t="s">
        <v>1</v>
      </c>
      <c r="H1779" s="10"/>
      <c r="I1779" s="9"/>
      <c r="J1779" s="7" t="s">
        <v>0</v>
      </c>
      <c r="K1779" s="7"/>
      <c r="M1779" s="8" t="str">
        <f>IF(C1779="Caixa","-",VLOOKUP(J1779,[1]Estrutura!C:E,3,FALSE))</f>
        <v>5.1</v>
      </c>
      <c r="N1779" s="8"/>
      <c r="O1779" s="7">
        <f t="shared" si="108"/>
        <v>31</v>
      </c>
      <c r="P1779" s="7">
        <f t="shared" si="109"/>
        <v>12</v>
      </c>
      <c r="Q1779" s="7">
        <f t="shared" si="110"/>
        <v>2026</v>
      </c>
      <c r="R1779" s="6">
        <f t="shared" si="111"/>
        <v>7181.359999999986</v>
      </c>
    </row>
    <row r="1780" spans="1:19">
      <c r="A1780" s="12">
        <v>46387</v>
      </c>
      <c r="B1780" s="7" t="s">
        <v>3</v>
      </c>
      <c r="C1780" s="7" t="s">
        <v>2</v>
      </c>
      <c r="D1780" s="11">
        <v>7181.359999999986</v>
      </c>
      <c r="E1780" s="11"/>
      <c r="F1780" s="11"/>
      <c r="G1780" s="7" t="s">
        <v>1</v>
      </c>
      <c r="H1780" s="10"/>
      <c r="I1780" s="9"/>
      <c r="J1780" s="7" t="s">
        <v>0</v>
      </c>
      <c r="K1780" s="7"/>
      <c r="M1780" s="8" t="str">
        <f>IF(C1780="Caixa","-",VLOOKUP(J1780,[1]Estrutura!C:E,3,FALSE))</f>
        <v>5.1</v>
      </c>
      <c r="N1780" s="8"/>
      <c r="O1780" s="7">
        <f t="shared" si="108"/>
        <v>31</v>
      </c>
      <c r="P1780" s="7">
        <f t="shared" si="109"/>
        <v>12</v>
      </c>
      <c r="Q1780" s="7">
        <f t="shared" si="110"/>
        <v>2026</v>
      </c>
      <c r="R1780" s="6">
        <f t="shared" si="111"/>
        <v>7181.359999999986</v>
      </c>
    </row>
    <row r="1781" spans="1:19">
      <c r="M1781" s="7" t="e">
        <f>IF(C1781="Caixa","-",VLOOKUP(J1781,[1]Estrutura!C:E,3,FALSE))</f>
        <v>#N/A</v>
      </c>
      <c r="N1781" s="7"/>
      <c r="O1781" s="7">
        <f t="shared" si="108"/>
        <v>0</v>
      </c>
      <c r="P1781" s="7">
        <f t="shared" si="109"/>
        <v>1</v>
      </c>
      <c r="Q1781" s="7">
        <f t="shared" si="110"/>
        <v>1900</v>
      </c>
      <c r="R1781" s="6">
        <f t="shared" si="111"/>
        <v>0</v>
      </c>
    </row>
    <row r="1782" spans="1:19">
      <c r="M1782" s="8" t="e">
        <f>IF(C1782="Caixa","-",VLOOKUP(J1782,[1]Estrutura!C:E,3,FALSE))</f>
        <v>#N/A</v>
      </c>
      <c r="N1782" s="8"/>
      <c r="O1782" s="7">
        <f t="shared" si="108"/>
        <v>0</v>
      </c>
      <c r="P1782" s="7">
        <f t="shared" si="109"/>
        <v>1</v>
      </c>
      <c r="Q1782" s="7">
        <f t="shared" si="110"/>
        <v>1900</v>
      </c>
      <c r="R1782" s="6">
        <f t="shared" si="111"/>
        <v>0</v>
      </c>
    </row>
    <row r="1783" spans="1:19">
      <c r="M1783" s="7" t="e">
        <f>IF(C1783="Caixa","-",VLOOKUP(J1783,[1]Estrutura!C:E,3,FALSE))</f>
        <v>#N/A</v>
      </c>
      <c r="N1783" s="7"/>
      <c r="O1783" s="7">
        <f t="shared" si="108"/>
        <v>0</v>
      </c>
      <c r="P1783" s="7">
        <f t="shared" si="109"/>
        <v>1</v>
      </c>
      <c r="Q1783" s="7">
        <f t="shared" si="110"/>
        <v>1900</v>
      </c>
      <c r="R1783" s="6">
        <f t="shared" si="111"/>
        <v>0</v>
      </c>
    </row>
    <row r="1784" spans="1:19">
      <c r="M1784" s="8" t="e">
        <f>IF(C1784="Caixa","-",VLOOKUP(J1784,[1]Estrutura!C:E,3,FALSE))</f>
        <v>#N/A</v>
      </c>
      <c r="N1784" s="8"/>
      <c r="O1784" s="7">
        <f t="shared" si="108"/>
        <v>0</v>
      </c>
      <c r="P1784" s="7">
        <f t="shared" si="109"/>
        <v>1</v>
      </c>
      <c r="Q1784" s="7">
        <f t="shared" si="110"/>
        <v>1900</v>
      </c>
      <c r="R1784" s="6">
        <f t="shared" si="111"/>
        <v>0</v>
      </c>
    </row>
    <row r="1785" spans="1:19">
      <c r="M1785" s="7" t="e">
        <f>IF(C1785="Caixa","-",VLOOKUP(J1785,[1]Estrutura!C:E,3,FALSE))</f>
        <v>#N/A</v>
      </c>
      <c r="N1785" s="7"/>
      <c r="O1785" s="7">
        <f t="shared" si="108"/>
        <v>0</v>
      </c>
      <c r="P1785" s="7">
        <f t="shared" si="109"/>
        <v>1</v>
      </c>
      <c r="Q1785" s="7">
        <f t="shared" si="110"/>
        <v>1900</v>
      </c>
      <c r="R1785" s="6">
        <f t="shared" si="111"/>
        <v>0</v>
      </c>
    </row>
    <row r="1786" spans="1:19">
      <c r="M1786" s="8" t="e">
        <f>IF(C1786="Caixa","-",VLOOKUP(J1786,[1]Estrutura!C:E,3,FALSE))</f>
        <v>#N/A</v>
      </c>
      <c r="N1786" s="8"/>
      <c r="O1786" s="7">
        <f t="shared" si="108"/>
        <v>0</v>
      </c>
      <c r="P1786" s="7">
        <f t="shared" si="109"/>
        <v>1</v>
      </c>
      <c r="Q1786" s="7">
        <f t="shared" si="110"/>
        <v>1900</v>
      </c>
      <c r="R1786" s="6">
        <f t="shared" si="111"/>
        <v>0</v>
      </c>
    </row>
    <row r="1787" spans="1:19">
      <c r="M1787" s="7" t="e">
        <f>IF(C1787="Caixa","-",VLOOKUP(J1787,[1]Estrutura!C:E,3,FALSE))</f>
        <v>#N/A</v>
      </c>
      <c r="N1787" s="7"/>
      <c r="O1787" s="7">
        <f t="shared" si="108"/>
        <v>0</v>
      </c>
      <c r="P1787" s="7">
        <f t="shared" si="109"/>
        <v>1</v>
      </c>
      <c r="Q1787" s="7">
        <f t="shared" si="110"/>
        <v>1900</v>
      </c>
      <c r="R1787" s="6">
        <f t="shared" si="111"/>
        <v>0</v>
      </c>
    </row>
    <row r="1788" spans="1:19">
      <c r="M1788" s="8" t="e">
        <f>IF(C1788="Caixa","-",VLOOKUP(J1788,[1]Estrutura!C:E,3,FALSE))</f>
        <v>#N/A</v>
      </c>
      <c r="N1788" s="8"/>
      <c r="O1788" s="7">
        <f t="shared" si="108"/>
        <v>0</v>
      </c>
      <c r="P1788" s="7">
        <f t="shared" si="109"/>
        <v>1</v>
      </c>
      <c r="Q1788" s="7">
        <f t="shared" si="110"/>
        <v>1900</v>
      </c>
      <c r="R1788" s="6">
        <f t="shared" si="111"/>
        <v>0</v>
      </c>
    </row>
    <row r="1789" spans="1:19">
      <c r="M1789" s="7" t="e">
        <f>IF(C1789="Caixa","-",VLOOKUP(J1789,[1]Estrutura!C:E,3,FALSE))</f>
        <v>#N/A</v>
      </c>
      <c r="N1789" s="7"/>
      <c r="O1789" s="7">
        <f t="shared" si="108"/>
        <v>0</v>
      </c>
      <c r="P1789" s="7">
        <f t="shared" si="109"/>
        <v>1</v>
      </c>
      <c r="Q1789" s="7">
        <f t="shared" si="110"/>
        <v>1900</v>
      </c>
      <c r="R1789" s="6">
        <f t="shared" si="111"/>
        <v>0</v>
      </c>
    </row>
    <row r="1790" spans="1:19">
      <c r="M1790" s="8" t="e">
        <f>IF(C1790="Caixa","-",VLOOKUP(J1790,[1]Estrutura!C:E,3,FALSE))</f>
        <v>#N/A</v>
      </c>
      <c r="N1790" s="8"/>
      <c r="O1790" s="7">
        <f t="shared" si="108"/>
        <v>0</v>
      </c>
      <c r="P1790" s="7">
        <f t="shared" si="109"/>
        <v>1</v>
      </c>
      <c r="Q1790" s="7">
        <f t="shared" si="110"/>
        <v>1900</v>
      </c>
      <c r="R1790" s="6">
        <f t="shared" si="111"/>
        <v>0</v>
      </c>
    </row>
    <row r="1791" spans="1:19">
      <c r="M1791" s="7" t="e">
        <f>IF(C1791="Caixa","-",VLOOKUP(J1791,[1]Estrutura!C:E,3,FALSE))</f>
        <v>#N/A</v>
      </c>
      <c r="N1791" s="7"/>
      <c r="O1791" s="7">
        <f t="shared" si="108"/>
        <v>0</v>
      </c>
      <c r="P1791" s="7">
        <f t="shared" si="109"/>
        <v>1</v>
      </c>
      <c r="Q1791" s="7">
        <f t="shared" si="110"/>
        <v>1900</v>
      </c>
      <c r="R1791" s="6">
        <f t="shared" si="111"/>
        <v>0</v>
      </c>
    </row>
    <row r="1792" spans="1:19">
      <c r="M1792" s="8" t="e">
        <f>IF(C1792="Caixa","-",VLOOKUP(J1792,[1]Estrutura!C:E,3,FALSE))</f>
        <v>#N/A</v>
      </c>
      <c r="N1792" s="8"/>
      <c r="O1792" s="7">
        <f t="shared" si="108"/>
        <v>0</v>
      </c>
      <c r="P1792" s="7">
        <f t="shared" si="109"/>
        <v>1</v>
      </c>
      <c r="Q1792" s="7">
        <f t="shared" si="110"/>
        <v>1900</v>
      </c>
      <c r="R1792" s="6">
        <f t="shared" si="111"/>
        <v>0</v>
      </c>
    </row>
    <row r="1793" spans="13:18">
      <c r="M1793" s="7" t="e">
        <f>IF(C1793="Caixa","-",VLOOKUP(J1793,[1]Estrutura!C:E,3,FALSE))</f>
        <v>#N/A</v>
      </c>
      <c r="N1793" s="7"/>
      <c r="O1793" s="7">
        <f t="shared" si="108"/>
        <v>0</v>
      </c>
      <c r="P1793" s="7">
        <f t="shared" si="109"/>
        <v>1</v>
      </c>
      <c r="Q1793" s="7">
        <f t="shared" si="110"/>
        <v>1900</v>
      </c>
      <c r="R1793" s="6">
        <f t="shared" si="111"/>
        <v>0</v>
      </c>
    </row>
    <row r="1794" spans="13:18">
      <c r="M1794" s="8" t="e">
        <f>IF(C1794="Caixa","-",VLOOKUP(J1794,[1]Estrutura!C:E,3,FALSE))</f>
        <v>#N/A</v>
      </c>
      <c r="N1794" s="8"/>
      <c r="O1794" s="7">
        <f t="shared" si="108"/>
        <v>0</v>
      </c>
      <c r="P1794" s="7">
        <f t="shared" si="109"/>
        <v>1</v>
      </c>
      <c r="Q1794" s="7">
        <f t="shared" si="110"/>
        <v>1900</v>
      </c>
      <c r="R1794" s="6">
        <f t="shared" si="111"/>
        <v>0</v>
      </c>
    </row>
    <row r="1795" spans="13:18">
      <c r="M1795" s="7" t="e">
        <f>IF(C1795="Caixa","-",VLOOKUP(J1795,[1]Estrutura!C:E,3,FALSE))</f>
        <v>#N/A</v>
      </c>
      <c r="N1795" s="7"/>
      <c r="O1795" s="7">
        <f t="shared" si="108"/>
        <v>0</v>
      </c>
      <c r="P1795" s="7">
        <f t="shared" si="109"/>
        <v>1</v>
      </c>
      <c r="Q1795" s="7">
        <f t="shared" si="110"/>
        <v>1900</v>
      </c>
      <c r="R1795" s="6">
        <f t="shared" si="111"/>
        <v>0</v>
      </c>
    </row>
    <row r="1796" spans="13:18">
      <c r="M1796" s="8" t="e">
        <f>IF(C1796="Caixa","-",VLOOKUP(J1796,[1]Estrutura!C:E,3,FALSE))</f>
        <v>#N/A</v>
      </c>
      <c r="N1796" s="8"/>
      <c r="O1796" s="7">
        <f t="shared" si="108"/>
        <v>0</v>
      </c>
      <c r="P1796" s="7">
        <f t="shared" si="109"/>
        <v>1</v>
      </c>
      <c r="Q1796" s="7">
        <f t="shared" si="110"/>
        <v>1900</v>
      </c>
      <c r="R1796" s="6">
        <f t="shared" si="111"/>
        <v>0</v>
      </c>
    </row>
    <row r="1797" spans="13:18">
      <c r="M1797" s="7" t="e">
        <f>IF(C1797="Caixa","-",VLOOKUP(J1797,[1]Estrutura!C:E,3,FALSE))</f>
        <v>#N/A</v>
      </c>
      <c r="N1797" s="7"/>
      <c r="O1797" s="7">
        <f t="shared" si="108"/>
        <v>0</v>
      </c>
      <c r="P1797" s="7">
        <f t="shared" si="109"/>
        <v>1</v>
      </c>
      <c r="Q1797" s="7">
        <f t="shared" si="110"/>
        <v>1900</v>
      </c>
      <c r="R1797" s="6">
        <f t="shared" si="111"/>
        <v>0</v>
      </c>
    </row>
    <row r="1798" spans="13:18">
      <c r="M1798" s="8" t="e">
        <f>IF(C1798="Caixa","-",VLOOKUP(J1798,[1]Estrutura!C:E,3,FALSE))</f>
        <v>#N/A</v>
      </c>
      <c r="N1798" s="8"/>
      <c r="O1798" s="7">
        <f t="shared" si="108"/>
        <v>0</v>
      </c>
      <c r="P1798" s="7">
        <f t="shared" si="109"/>
        <v>1</v>
      </c>
      <c r="Q1798" s="7">
        <f t="shared" si="110"/>
        <v>1900</v>
      </c>
      <c r="R1798" s="6">
        <f t="shared" si="111"/>
        <v>0</v>
      </c>
    </row>
    <row r="1799" spans="13:18">
      <c r="M1799" s="7" t="e">
        <f>IF(C1799="Caixa","-",VLOOKUP(J1799,[1]Estrutura!C:E,3,FALSE))</f>
        <v>#N/A</v>
      </c>
      <c r="N1799" s="7"/>
      <c r="O1799" s="7">
        <f t="shared" si="108"/>
        <v>0</v>
      </c>
      <c r="P1799" s="7">
        <f t="shared" si="109"/>
        <v>1</v>
      </c>
      <c r="Q1799" s="7">
        <f t="shared" si="110"/>
        <v>1900</v>
      </c>
      <c r="R1799" s="6">
        <f t="shared" si="111"/>
        <v>0</v>
      </c>
    </row>
    <row r="1800" spans="13:18">
      <c r="M1800" s="8" t="e">
        <f>IF(C1800="Caixa","-",VLOOKUP(J1800,[1]Estrutura!C:E,3,FALSE))</f>
        <v>#N/A</v>
      </c>
      <c r="N1800" s="8"/>
      <c r="O1800" s="7">
        <f t="shared" si="108"/>
        <v>0</v>
      </c>
      <c r="P1800" s="7">
        <f t="shared" si="109"/>
        <v>1</v>
      </c>
      <c r="Q1800" s="7">
        <f t="shared" si="110"/>
        <v>1900</v>
      </c>
      <c r="R1800" s="6">
        <f t="shared" si="111"/>
        <v>0</v>
      </c>
    </row>
    <row r="1801" spans="13:18">
      <c r="M1801" s="7" t="e">
        <f>IF(C1801="Caixa","-",VLOOKUP(J1801,[1]Estrutura!C:E,3,FALSE))</f>
        <v>#N/A</v>
      </c>
      <c r="N1801" s="7"/>
      <c r="O1801" s="7">
        <f t="shared" si="108"/>
        <v>0</v>
      </c>
      <c r="P1801" s="7">
        <f t="shared" si="109"/>
        <v>1</v>
      </c>
      <c r="Q1801" s="7">
        <f t="shared" si="110"/>
        <v>1900</v>
      </c>
      <c r="R1801" s="6">
        <f t="shared" si="111"/>
        <v>0</v>
      </c>
    </row>
    <row r="1802" spans="13:18">
      <c r="M1802" s="8" t="e">
        <f>IF(C1802="Caixa","-",VLOOKUP(J1802,[1]Estrutura!C:E,3,FALSE))</f>
        <v>#N/A</v>
      </c>
      <c r="N1802" s="8"/>
      <c r="O1802" s="7">
        <f t="shared" si="108"/>
        <v>0</v>
      </c>
      <c r="P1802" s="7">
        <f t="shared" si="109"/>
        <v>1</v>
      </c>
      <c r="Q1802" s="7">
        <f t="shared" si="110"/>
        <v>1900</v>
      </c>
      <c r="R1802" s="6">
        <f t="shared" si="111"/>
        <v>0</v>
      </c>
    </row>
    <row r="1803" spans="13:18">
      <c r="M1803" s="7" t="e">
        <f>IF(C1803="Caixa","-",VLOOKUP(J1803,[1]Estrutura!C:E,3,FALSE))</f>
        <v>#N/A</v>
      </c>
      <c r="N1803" s="7"/>
      <c r="O1803" s="7">
        <f t="shared" si="108"/>
        <v>0</v>
      </c>
      <c r="P1803" s="7">
        <f t="shared" si="109"/>
        <v>1</v>
      </c>
      <c r="Q1803" s="7">
        <f t="shared" si="110"/>
        <v>1900</v>
      </c>
      <c r="R1803" s="6">
        <f t="shared" si="111"/>
        <v>0</v>
      </c>
    </row>
    <row r="1804" spans="13:18">
      <c r="M1804" s="8" t="e">
        <f>IF(C1804="Caixa","-",VLOOKUP(J1804,[1]Estrutura!C:E,3,FALSE))</f>
        <v>#N/A</v>
      </c>
      <c r="N1804" s="8"/>
      <c r="O1804" s="7">
        <f t="shared" si="108"/>
        <v>0</v>
      </c>
      <c r="P1804" s="7">
        <f t="shared" si="109"/>
        <v>1</v>
      </c>
      <c r="Q1804" s="7">
        <f t="shared" si="110"/>
        <v>1900</v>
      </c>
      <c r="R1804" s="6">
        <f t="shared" si="111"/>
        <v>0</v>
      </c>
    </row>
    <row r="1805" spans="13:18">
      <c r="M1805" s="7" t="e">
        <f>IF(C1805="Caixa","-",VLOOKUP(J1805,[1]Estrutura!C:E,3,FALSE))</f>
        <v>#N/A</v>
      </c>
      <c r="N1805" s="7"/>
      <c r="O1805" s="7">
        <f t="shared" si="108"/>
        <v>0</v>
      </c>
      <c r="P1805" s="7">
        <f t="shared" si="109"/>
        <v>1</v>
      </c>
      <c r="Q1805" s="7">
        <f t="shared" si="110"/>
        <v>1900</v>
      </c>
      <c r="R1805" s="6">
        <f t="shared" si="111"/>
        <v>0</v>
      </c>
    </row>
    <row r="1806" spans="13:18">
      <c r="M1806" s="8" t="e">
        <f>IF(C1806="Caixa","-",VLOOKUP(J1806,[1]Estrutura!C:E,3,FALSE))</f>
        <v>#N/A</v>
      </c>
      <c r="N1806" s="8"/>
      <c r="O1806" s="7">
        <f t="shared" ref="O1806:O1869" si="112">DAY(A1806)</f>
        <v>0</v>
      </c>
      <c r="P1806" s="7">
        <f t="shared" ref="P1806:P1869" si="113">MONTH(A1806)</f>
        <v>1</v>
      </c>
      <c r="Q1806" s="7">
        <f t="shared" ref="Q1806:Q1869" si="114">YEAR(A1806)</f>
        <v>1900</v>
      </c>
      <c r="R1806" s="6">
        <f t="shared" ref="R1806:R1869" si="115">D1806-E1806</f>
        <v>0</v>
      </c>
    </row>
    <row r="1807" spans="13:18">
      <c r="M1807" s="7" t="e">
        <f>IF(C1807="Caixa","-",VLOOKUP(J1807,[1]Estrutura!C:E,3,FALSE))</f>
        <v>#N/A</v>
      </c>
      <c r="N1807" s="7"/>
      <c r="O1807" s="7">
        <f t="shared" si="112"/>
        <v>0</v>
      </c>
      <c r="P1807" s="7">
        <f t="shared" si="113"/>
        <v>1</v>
      </c>
      <c r="Q1807" s="7">
        <f t="shared" si="114"/>
        <v>1900</v>
      </c>
      <c r="R1807" s="6">
        <f t="shared" si="115"/>
        <v>0</v>
      </c>
    </row>
    <row r="1808" spans="13:18">
      <c r="M1808" s="8" t="e">
        <f>IF(C1808="Caixa","-",VLOOKUP(J1808,[1]Estrutura!C:E,3,FALSE))</f>
        <v>#N/A</v>
      </c>
      <c r="N1808" s="8"/>
      <c r="O1808" s="7">
        <f t="shared" si="112"/>
        <v>0</v>
      </c>
      <c r="P1808" s="7">
        <f t="shared" si="113"/>
        <v>1</v>
      </c>
      <c r="Q1808" s="7">
        <f t="shared" si="114"/>
        <v>1900</v>
      </c>
      <c r="R1808" s="6">
        <f t="shared" si="115"/>
        <v>0</v>
      </c>
    </row>
    <row r="1809" spans="13:18">
      <c r="M1809" s="7" t="e">
        <f>IF(C1809="Caixa","-",VLOOKUP(J1809,[1]Estrutura!C:E,3,FALSE))</f>
        <v>#N/A</v>
      </c>
      <c r="N1809" s="7"/>
      <c r="O1809" s="7">
        <f t="shared" si="112"/>
        <v>0</v>
      </c>
      <c r="P1809" s="7">
        <f t="shared" si="113"/>
        <v>1</v>
      </c>
      <c r="Q1809" s="7">
        <f t="shared" si="114"/>
        <v>1900</v>
      </c>
      <c r="R1809" s="6">
        <f t="shared" si="115"/>
        <v>0</v>
      </c>
    </row>
    <row r="1810" spans="13:18">
      <c r="M1810" s="8" t="e">
        <f>IF(C1810="Caixa","-",VLOOKUP(J1810,[1]Estrutura!C:E,3,FALSE))</f>
        <v>#N/A</v>
      </c>
      <c r="N1810" s="8"/>
      <c r="O1810" s="7">
        <f t="shared" si="112"/>
        <v>0</v>
      </c>
      <c r="P1810" s="7">
        <f t="shared" si="113"/>
        <v>1</v>
      </c>
      <c r="Q1810" s="7">
        <f t="shared" si="114"/>
        <v>1900</v>
      </c>
      <c r="R1810" s="6">
        <f t="shared" si="115"/>
        <v>0</v>
      </c>
    </row>
    <row r="1811" spans="13:18">
      <c r="M1811" s="7" t="e">
        <f>IF(C1811="Caixa","-",VLOOKUP(J1811,[1]Estrutura!C:E,3,FALSE))</f>
        <v>#N/A</v>
      </c>
      <c r="N1811" s="7"/>
      <c r="O1811" s="7">
        <f t="shared" si="112"/>
        <v>0</v>
      </c>
      <c r="P1811" s="7">
        <f t="shared" si="113"/>
        <v>1</v>
      </c>
      <c r="Q1811" s="7">
        <f t="shared" si="114"/>
        <v>1900</v>
      </c>
      <c r="R1811" s="6">
        <f t="shared" si="115"/>
        <v>0</v>
      </c>
    </row>
    <row r="1812" spans="13:18">
      <c r="M1812" s="8" t="e">
        <f>IF(C1812="Caixa","-",VLOOKUP(J1812,[1]Estrutura!C:E,3,FALSE))</f>
        <v>#N/A</v>
      </c>
      <c r="N1812" s="8"/>
      <c r="O1812" s="7">
        <f t="shared" si="112"/>
        <v>0</v>
      </c>
      <c r="P1812" s="7">
        <f t="shared" si="113"/>
        <v>1</v>
      </c>
      <c r="Q1812" s="7">
        <f t="shared" si="114"/>
        <v>1900</v>
      </c>
      <c r="R1812" s="6">
        <f t="shared" si="115"/>
        <v>0</v>
      </c>
    </row>
    <row r="1813" spans="13:18">
      <c r="M1813" s="7" t="e">
        <f>IF(C1813="Caixa","-",VLOOKUP(J1813,[1]Estrutura!C:E,3,FALSE))</f>
        <v>#N/A</v>
      </c>
      <c r="N1813" s="7"/>
      <c r="O1813" s="7">
        <f t="shared" si="112"/>
        <v>0</v>
      </c>
      <c r="P1813" s="7">
        <f t="shared" si="113"/>
        <v>1</v>
      </c>
      <c r="Q1813" s="7">
        <f t="shared" si="114"/>
        <v>1900</v>
      </c>
      <c r="R1813" s="6">
        <f t="shared" si="115"/>
        <v>0</v>
      </c>
    </row>
    <row r="1814" spans="13:18">
      <c r="M1814" s="8" t="e">
        <f>IF(C1814="Caixa","-",VLOOKUP(J1814,[1]Estrutura!C:E,3,FALSE))</f>
        <v>#N/A</v>
      </c>
      <c r="N1814" s="8"/>
      <c r="O1814" s="7">
        <f t="shared" si="112"/>
        <v>0</v>
      </c>
      <c r="P1814" s="7">
        <f t="shared" si="113"/>
        <v>1</v>
      </c>
      <c r="Q1814" s="7">
        <f t="shared" si="114"/>
        <v>1900</v>
      </c>
      <c r="R1814" s="6">
        <f t="shared" si="115"/>
        <v>0</v>
      </c>
    </row>
    <row r="1815" spans="13:18">
      <c r="M1815" s="7" t="e">
        <f>IF(C1815="Caixa","-",VLOOKUP(J1815,[1]Estrutura!C:E,3,FALSE))</f>
        <v>#N/A</v>
      </c>
      <c r="N1815" s="7"/>
      <c r="O1815" s="7">
        <f t="shared" si="112"/>
        <v>0</v>
      </c>
      <c r="P1815" s="7">
        <f t="shared" si="113"/>
        <v>1</v>
      </c>
      <c r="Q1815" s="7">
        <f t="shared" si="114"/>
        <v>1900</v>
      </c>
      <c r="R1815" s="6">
        <f t="shared" si="115"/>
        <v>0</v>
      </c>
    </row>
    <row r="1816" spans="13:18">
      <c r="M1816" s="8" t="e">
        <f>IF(C1816="Caixa","-",VLOOKUP(J1816,[1]Estrutura!C:E,3,FALSE))</f>
        <v>#N/A</v>
      </c>
      <c r="N1816" s="8"/>
      <c r="O1816" s="7">
        <f t="shared" si="112"/>
        <v>0</v>
      </c>
      <c r="P1816" s="7">
        <f t="shared" si="113"/>
        <v>1</v>
      </c>
      <c r="Q1816" s="7">
        <f t="shared" si="114"/>
        <v>1900</v>
      </c>
      <c r="R1816" s="6">
        <f t="shared" si="115"/>
        <v>0</v>
      </c>
    </row>
    <row r="1817" spans="13:18">
      <c r="M1817" s="7" t="e">
        <f>IF(C1817="Caixa","-",VLOOKUP(J1817,[1]Estrutura!C:E,3,FALSE))</f>
        <v>#N/A</v>
      </c>
      <c r="N1817" s="7"/>
      <c r="O1817" s="7">
        <f t="shared" si="112"/>
        <v>0</v>
      </c>
      <c r="P1817" s="7">
        <f t="shared" si="113"/>
        <v>1</v>
      </c>
      <c r="Q1817" s="7">
        <f t="shared" si="114"/>
        <v>1900</v>
      </c>
      <c r="R1817" s="6">
        <f t="shared" si="115"/>
        <v>0</v>
      </c>
    </row>
    <row r="1818" spans="13:18">
      <c r="M1818" s="8" t="e">
        <f>IF(C1818="Caixa","-",VLOOKUP(J1818,[1]Estrutura!C:E,3,FALSE))</f>
        <v>#N/A</v>
      </c>
      <c r="N1818" s="8"/>
      <c r="O1818" s="7">
        <f t="shared" si="112"/>
        <v>0</v>
      </c>
      <c r="P1818" s="7">
        <f t="shared" si="113"/>
        <v>1</v>
      </c>
      <c r="Q1818" s="7">
        <f t="shared" si="114"/>
        <v>1900</v>
      </c>
      <c r="R1818" s="6">
        <f t="shared" si="115"/>
        <v>0</v>
      </c>
    </row>
    <row r="1819" spans="13:18">
      <c r="M1819" s="7" t="e">
        <f>IF(C1819="Caixa","-",VLOOKUP(J1819,[1]Estrutura!C:E,3,FALSE))</f>
        <v>#N/A</v>
      </c>
      <c r="N1819" s="7"/>
      <c r="O1819" s="7">
        <f t="shared" si="112"/>
        <v>0</v>
      </c>
      <c r="P1819" s="7">
        <f t="shared" si="113"/>
        <v>1</v>
      </c>
      <c r="Q1819" s="7">
        <f t="shared" si="114"/>
        <v>1900</v>
      </c>
      <c r="R1819" s="6">
        <f t="shared" si="115"/>
        <v>0</v>
      </c>
    </row>
    <row r="1820" spans="13:18">
      <c r="M1820" s="8" t="e">
        <f>IF(C1820="Caixa","-",VLOOKUP(J1820,[1]Estrutura!C:E,3,FALSE))</f>
        <v>#N/A</v>
      </c>
      <c r="N1820" s="8"/>
      <c r="O1820" s="7">
        <f t="shared" si="112"/>
        <v>0</v>
      </c>
      <c r="P1820" s="7">
        <f t="shared" si="113"/>
        <v>1</v>
      </c>
      <c r="Q1820" s="7">
        <f t="shared" si="114"/>
        <v>1900</v>
      </c>
      <c r="R1820" s="6">
        <f t="shared" si="115"/>
        <v>0</v>
      </c>
    </row>
    <row r="1821" spans="13:18">
      <c r="M1821" s="7" t="e">
        <f>IF(C1821="Caixa","-",VLOOKUP(J1821,[1]Estrutura!C:E,3,FALSE))</f>
        <v>#N/A</v>
      </c>
      <c r="N1821" s="7"/>
      <c r="O1821" s="7">
        <f t="shared" si="112"/>
        <v>0</v>
      </c>
      <c r="P1821" s="7">
        <f t="shared" si="113"/>
        <v>1</v>
      </c>
      <c r="Q1821" s="7">
        <f t="shared" si="114"/>
        <v>1900</v>
      </c>
      <c r="R1821" s="6">
        <f t="shared" si="115"/>
        <v>0</v>
      </c>
    </row>
    <row r="1822" spans="13:18">
      <c r="M1822" s="8" t="e">
        <f>IF(C1822="Caixa","-",VLOOKUP(J1822,[1]Estrutura!C:E,3,FALSE))</f>
        <v>#N/A</v>
      </c>
      <c r="N1822" s="8"/>
      <c r="O1822" s="7">
        <f t="shared" si="112"/>
        <v>0</v>
      </c>
      <c r="P1822" s="7">
        <f t="shared" si="113"/>
        <v>1</v>
      </c>
      <c r="Q1822" s="7">
        <f t="shared" si="114"/>
        <v>1900</v>
      </c>
      <c r="R1822" s="6">
        <f t="shared" si="115"/>
        <v>0</v>
      </c>
    </row>
    <row r="1823" spans="13:18">
      <c r="M1823" s="7" t="e">
        <f>IF(C1823="Caixa","-",VLOOKUP(J1823,[1]Estrutura!C:E,3,FALSE))</f>
        <v>#N/A</v>
      </c>
      <c r="N1823" s="7"/>
      <c r="O1823" s="7">
        <f t="shared" si="112"/>
        <v>0</v>
      </c>
      <c r="P1823" s="7">
        <f t="shared" si="113"/>
        <v>1</v>
      </c>
      <c r="Q1823" s="7">
        <f t="shared" si="114"/>
        <v>1900</v>
      </c>
      <c r="R1823" s="6">
        <f t="shared" si="115"/>
        <v>0</v>
      </c>
    </row>
    <row r="1824" spans="13:18">
      <c r="M1824" s="8" t="e">
        <f>IF(C1824="Caixa","-",VLOOKUP(J1824,[1]Estrutura!C:E,3,FALSE))</f>
        <v>#N/A</v>
      </c>
      <c r="N1824" s="8"/>
      <c r="O1824" s="7">
        <f t="shared" si="112"/>
        <v>0</v>
      </c>
      <c r="P1824" s="7">
        <f t="shared" si="113"/>
        <v>1</v>
      </c>
      <c r="Q1824" s="7">
        <f t="shared" si="114"/>
        <v>1900</v>
      </c>
      <c r="R1824" s="6">
        <f t="shared" si="115"/>
        <v>0</v>
      </c>
    </row>
    <row r="1825" spans="13:18">
      <c r="M1825" s="7" t="e">
        <f>IF(C1825="Caixa","-",VLOOKUP(J1825,[1]Estrutura!C:E,3,FALSE))</f>
        <v>#N/A</v>
      </c>
      <c r="N1825" s="7"/>
      <c r="O1825" s="7">
        <f t="shared" si="112"/>
        <v>0</v>
      </c>
      <c r="P1825" s="7">
        <f t="shared" si="113"/>
        <v>1</v>
      </c>
      <c r="Q1825" s="7">
        <f t="shared" si="114"/>
        <v>1900</v>
      </c>
      <c r="R1825" s="6">
        <f t="shared" si="115"/>
        <v>0</v>
      </c>
    </row>
    <row r="1826" spans="13:18">
      <c r="M1826" s="8" t="e">
        <f>IF(C1826="Caixa","-",VLOOKUP(J1826,[1]Estrutura!C:E,3,FALSE))</f>
        <v>#N/A</v>
      </c>
      <c r="N1826" s="8"/>
      <c r="O1826" s="7">
        <f t="shared" si="112"/>
        <v>0</v>
      </c>
      <c r="P1826" s="7">
        <f t="shared" si="113"/>
        <v>1</v>
      </c>
      <c r="Q1826" s="7">
        <f t="shared" si="114"/>
        <v>1900</v>
      </c>
      <c r="R1826" s="6">
        <f t="shared" si="115"/>
        <v>0</v>
      </c>
    </row>
    <row r="1827" spans="13:18">
      <c r="M1827" s="7" t="e">
        <f>IF(C1827="Caixa","-",VLOOKUP(J1827,[1]Estrutura!C:E,3,FALSE))</f>
        <v>#N/A</v>
      </c>
      <c r="N1827" s="7"/>
      <c r="O1827" s="7">
        <f t="shared" si="112"/>
        <v>0</v>
      </c>
      <c r="P1827" s="7">
        <f t="shared" si="113"/>
        <v>1</v>
      </c>
      <c r="Q1827" s="7">
        <f t="shared" si="114"/>
        <v>1900</v>
      </c>
      <c r="R1827" s="6">
        <f t="shared" si="115"/>
        <v>0</v>
      </c>
    </row>
    <row r="1828" spans="13:18">
      <c r="M1828" s="8" t="e">
        <f>IF(C1828="Caixa","-",VLOOKUP(J1828,[1]Estrutura!C:E,3,FALSE))</f>
        <v>#N/A</v>
      </c>
      <c r="N1828" s="8"/>
      <c r="O1828" s="7">
        <f t="shared" si="112"/>
        <v>0</v>
      </c>
      <c r="P1828" s="7">
        <f t="shared" si="113"/>
        <v>1</v>
      </c>
      <c r="Q1828" s="7">
        <f t="shared" si="114"/>
        <v>1900</v>
      </c>
      <c r="R1828" s="6">
        <f t="shared" si="115"/>
        <v>0</v>
      </c>
    </row>
    <row r="1829" spans="13:18">
      <c r="M1829" s="7" t="e">
        <f>IF(C1829="Caixa","-",VLOOKUP(J1829,[1]Estrutura!C:E,3,FALSE))</f>
        <v>#N/A</v>
      </c>
      <c r="N1829" s="7"/>
      <c r="O1829" s="7">
        <f t="shared" si="112"/>
        <v>0</v>
      </c>
      <c r="P1829" s="7">
        <f t="shared" si="113"/>
        <v>1</v>
      </c>
      <c r="Q1829" s="7">
        <f t="shared" si="114"/>
        <v>1900</v>
      </c>
      <c r="R1829" s="6">
        <f t="shared" si="115"/>
        <v>0</v>
      </c>
    </row>
    <row r="1830" spans="13:18">
      <c r="M1830" s="8" t="e">
        <f>IF(C1830="Caixa","-",VLOOKUP(J1830,[1]Estrutura!C:E,3,FALSE))</f>
        <v>#N/A</v>
      </c>
      <c r="N1830" s="8"/>
      <c r="O1830" s="7">
        <f t="shared" si="112"/>
        <v>0</v>
      </c>
      <c r="P1830" s="7">
        <f t="shared" si="113"/>
        <v>1</v>
      </c>
      <c r="Q1830" s="7">
        <f t="shared" si="114"/>
        <v>1900</v>
      </c>
      <c r="R1830" s="6">
        <f t="shared" si="115"/>
        <v>0</v>
      </c>
    </row>
    <row r="1831" spans="13:18">
      <c r="M1831" s="7" t="e">
        <f>IF(C1831="Caixa","-",VLOOKUP(J1831,[1]Estrutura!C:E,3,FALSE))</f>
        <v>#N/A</v>
      </c>
      <c r="N1831" s="7"/>
      <c r="O1831" s="7">
        <f t="shared" si="112"/>
        <v>0</v>
      </c>
      <c r="P1831" s="7">
        <f t="shared" si="113"/>
        <v>1</v>
      </c>
      <c r="Q1831" s="7">
        <f t="shared" si="114"/>
        <v>1900</v>
      </c>
      <c r="R1831" s="6">
        <f t="shared" si="115"/>
        <v>0</v>
      </c>
    </row>
    <row r="1832" spans="13:18">
      <c r="M1832" s="8" t="e">
        <f>IF(C1832="Caixa","-",VLOOKUP(J1832,[1]Estrutura!C:E,3,FALSE))</f>
        <v>#N/A</v>
      </c>
      <c r="N1832" s="8"/>
      <c r="O1832" s="7">
        <f t="shared" si="112"/>
        <v>0</v>
      </c>
      <c r="P1832" s="7">
        <f t="shared" si="113"/>
        <v>1</v>
      </c>
      <c r="Q1832" s="7">
        <f t="shared" si="114"/>
        <v>1900</v>
      </c>
      <c r="R1832" s="6">
        <f t="shared" si="115"/>
        <v>0</v>
      </c>
    </row>
    <row r="1833" spans="13:18">
      <c r="M1833" s="7" t="e">
        <f>IF(C1833="Caixa","-",VLOOKUP(J1833,[1]Estrutura!C:E,3,FALSE))</f>
        <v>#N/A</v>
      </c>
      <c r="N1833" s="7"/>
      <c r="O1833" s="7">
        <f t="shared" si="112"/>
        <v>0</v>
      </c>
      <c r="P1833" s="7">
        <f t="shared" si="113"/>
        <v>1</v>
      </c>
      <c r="Q1833" s="7">
        <f t="shared" si="114"/>
        <v>1900</v>
      </c>
      <c r="R1833" s="6">
        <f t="shared" si="115"/>
        <v>0</v>
      </c>
    </row>
    <row r="1834" spans="13:18">
      <c r="M1834" s="8" t="e">
        <f>IF(C1834="Caixa","-",VLOOKUP(J1834,[1]Estrutura!C:E,3,FALSE))</f>
        <v>#N/A</v>
      </c>
      <c r="N1834" s="8"/>
      <c r="O1834" s="7">
        <f t="shared" si="112"/>
        <v>0</v>
      </c>
      <c r="P1834" s="7">
        <f t="shared" si="113"/>
        <v>1</v>
      </c>
      <c r="Q1834" s="7">
        <f t="shared" si="114"/>
        <v>1900</v>
      </c>
      <c r="R1834" s="6">
        <f t="shared" si="115"/>
        <v>0</v>
      </c>
    </row>
    <row r="1835" spans="13:18">
      <c r="M1835" s="7" t="e">
        <f>IF(C1835="Caixa","-",VLOOKUP(J1835,[1]Estrutura!C:E,3,FALSE))</f>
        <v>#N/A</v>
      </c>
      <c r="N1835" s="7"/>
      <c r="O1835" s="7">
        <f t="shared" si="112"/>
        <v>0</v>
      </c>
      <c r="P1835" s="7">
        <f t="shared" si="113"/>
        <v>1</v>
      </c>
      <c r="Q1835" s="7">
        <f t="shared" si="114"/>
        <v>1900</v>
      </c>
      <c r="R1835" s="6">
        <f t="shared" si="115"/>
        <v>0</v>
      </c>
    </row>
    <row r="1836" spans="13:18">
      <c r="M1836" s="8" t="e">
        <f>IF(C1836="Caixa","-",VLOOKUP(J1836,[1]Estrutura!C:E,3,FALSE))</f>
        <v>#N/A</v>
      </c>
      <c r="N1836" s="8"/>
      <c r="O1836" s="7">
        <f t="shared" si="112"/>
        <v>0</v>
      </c>
      <c r="P1836" s="7">
        <f t="shared" si="113"/>
        <v>1</v>
      </c>
      <c r="Q1836" s="7">
        <f t="shared" si="114"/>
        <v>1900</v>
      </c>
      <c r="R1836" s="6">
        <f t="shared" si="115"/>
        <v>0</v>
      </c>
    </row>
    <row r="1837" spans="13:18">
      <c r="M1837" s="7" t="e">
        <f>IF(C1837="Caixa","-",VLOOKUP(J1837,[1]Estrutura!C:E,3,FALSE))</f>
        <v>#N/A</v>
      </c>
      <c r="N1837" s="7"/>
      <c r="O1837" s="7">
        <f t="shared" si="112"/>
        <v>0</v>
      </c>
      <c r="P1837" s="7">
        <f t="shared" si="113"/>
        <v>1</v>
      </c>
      <c r="Q1837" s="7">
        <f t="shared" si="114"/>
        <v>1900</v>
      </c>
      <c r="R1837" s="6">
        <f t="shared" si="115"/>
        <v>0</v>
      </c>
    </row>
    <row r="1838" spans="13:18">
      <c r="M1838" s="8" t="e">
        <f>IF(C1838="Caixa","-",VLOOKUP(J1838,[1]Estrutura!C:E,3,FALSE))</f>
        <v>#N/A</v>
      </c>
      <c r="N1838" s="8"/>
      <c r="O1838" s="7">
        <f t="shared" si="112"/>
        <v>0</v>
      </c>
      <c r="P1838" s="7">
        <f t="shared" si="113"/>
        <v>1</v>
      </c>
      <c r="Q1838" s="7">
        <f t="shared" si="114"/>
        <v>1900</v>
      </c>
      <c r="R1838" s="6">
        <f t="shared" si="115"/>
        <v>0</v>
      </c>
    </row>
    <row r="1839" spans="13:18">
      <c r="M1839" s="7" t="e">
        <f>IF(C1839="Caixa","-",VLOOKUP(J1839,[1]Estrutura!C:E,3,FALSE))</f>
        <v>#N/A</v>
      </c>
      <c r="N1839" s="7"/>
      <c r="O1839" s="7">
        <f t="shared" si="112"/>
        <v>0</v>
      </c>
      <c r="P1839" s="7">
        <f t="shared" si="113"/>
        <v>1</v>
      </c>
      <c r="Q1839" s="7">
        <f t="shared" si="114"/>
        <v>1900</v>
      </c>
      <c r="R1839" s="6">
        <f t="shared" si="115"/>
        <v>0</v>
      </c>
    </row>
    <row r="1840" spans="13:18">
      <c r="M1840" s="8" t="e">
        <f>IF(C1840="Caixa","-",VLOOKUP(J1840,[1]Estrutura!C:E,3,FALSE))</f>
        <v>#N/A</v>
      </c>
      <c r="N1840" s="8"/>
      <c r="O1840" s="7">
        <f t="shared" si="112"/>
        <v>0</v>
      </c>
      <c r="P1840" s="7">
        <f t="shared" si="113"/>
        <v>1</v>
      </c>
      <c r="Q1840" s="7">
        <f t="shared" si="114"/>
        <v>1900</v>
      </c>
      <c r="R1840" s="6">
        <f t="shared" si="115"/>
        <v>0</v>
      </c>
    </row>
    <row r="1841" spans="13:18">
      <c r="M1841" s="7" t="e">
        <f>IF(C1841="Caixa","-",VLOOKUP(J1841,[1]Estrutura!C:E,3,FALSE))</f>
        <v>#N/A</v>
      </c>
      <c r="N1841" s="7"/>
      <c r="O1841" s="7">
        <f t="shared" si="112"/>
        <v>0</v>
      </c>
      <c r="P1841" s="7">
        <f t="shared" si="113"/>
        <v>1</v>
      </c>
      <c r="Q1841" s="7">
        <f t="shared" si="114"/>
        <v>1900</v>
      </c>
      <c r="R1841" s="6">
        <f t="shared" si="115"/>
        <v>0</v>
      </c>
    </row>
    <row r="1842" spans="13:18">
      <c r="M1842" s="8" t="e">
        <f>IF(C1842="Caixa","-",VLOOKUP(J1842,[1]Estrutura!C:E,3,FALSE))</f>
        <v>#N/A</v>
      </c>
      <c r="N1842" s="8"/>
      <c r="O1842" s="7">
        <f t="shared" si="112"/>
        <v>0</v>
      </c>
      <c r="P1842" s="7">
        <f t="shared" si="113"/>
        <v>1</v>
      </c>
      <c r="Q1842" s="7">
        <f t="shared" si="114"/>
        <v>1900</v>
      </c>
      <c r="R1842" s="6">
        <f t="shared" si="115"/>
        <v>0</v>
      </c>
    </row>
    <row r="1843" spans="13:18">
      <c r="M1843" s="7" t="e">
        <f>IF(C1843="Caixa","-",VLOOKUP(J1843,[1]Estrutura!C:E,3,FALSE))</f>
        <v>#N/A</v>
      </c>
      <c r="N1843" s="7"/>
      <c r="O1843" s="7">
        <f t="shared" si="112"/>
        <v>0</v>
      </c>
      <c r="P1843" s="7">
        <f t="shared" si="113"/>
        <v>1</v>
      </c>
      <c r="Q1843" s="7">
        <f t="shared" si="114"/>
        <v>1900</v>
      </c>
      <c r="R1843" s="6">
        <f t="shared" si="115"/>
        <v>0</v>
      </c>
    </row>
    <row r="1844" spans="13:18">
      <c r="M1844" s="8" t="e">
        <f>IF(C1844="Caixa","-",VLOOKUP(J1844,[1]Estrutura!C:E,3,FALSE))</f>
        <v>#N/A</v>
      </c>
      <c r="N1844" s="8"/>
      <c r="O1844" s="7">
        <f t="shared" si="112"/>
        <v>0</v>
      </c>
      <c r="P1844" s="7">
        <f t="shared" si="113"/>
        <v>1</v>
      </c>
      <c r="Q1844" s="7">
        <f t="shared" si="114"/>
        <v>1900</v>
      </c>
      <c r="R1844" s="6">
        <f t="shared" si="115"/>
        <v>0</v>
      </c>
    </row>
    <row r="1845" spans="13:18">
      <c r="M1845" s="7" t="e">
        <f>IF(C1845="Caixa","-",VLOOKUP(J1845,[1]Estrutura!C:E,3,FALSE))</f>
        <v>#N/A</v>
      </c>
      <c r="N1845" s="7"/>
      <c r="O1845" s="7">
        <f t="shared" si="112"/>
        <v>0</v>
      </c>
      <c r="P1845" s="7">
        <f t="shared" si="113"/>
        <v>1</v>
      </c>
      <c r="Q1845" s="7">
        <f t="shared" si="114"/>
        <v>1900</v>
      </c>
      <c r="R1845" s="6">
        <f t="shared" si="115"/>
        <v>0</v>
      </c>
    </row>
    <row r="1846" spans="13:18">
      <c r="M1846" s="8" t="e">
        <f>IF(C1846="Caixa","-",VLOOKUP(J1846,[1]Estrutura!C:E,3,FALSE))</f>
        <v>#N/A</v>
      </c>
      <c r="N1846" s="8"/>
      <c r="O1846" s="7">
        <f t="shared" si="112"/>
        <v>0</v>
      </c>
      <c r="P1846" s="7">
        <f t="shared" si="113"/>
        <v>1</v>
      </c>
      <c r="Q1846" s="7">
        <f t="shared" si="114"/>
        <v>1900</v>
      </c>
      <c r="R1846" s="6">
        <f t="shared" si="115"/>
        <v>0</v>
      </c>
    </row>
    <row r="1847" spans="13:18">
      <c r="M1847" s="7" t="e">
        <f>IF(C1847="Caixa","-",VLOOKUP(J1847,[1]Estrutura!C:E,3,FALSE))</f>
        <v>#N/A</v>
      </c>
      <c r="N1847" s="7"/>
      <c r="O1847" s="7">
        <f t="shared" si="112"/>
        <v>0</v>
      </c>
      <c r="P1847" s="7">
        <f t="shared" si="113"/>
        <v>1</v>
      </c>
      <c r="Q1847" s="7">
        <f t="shared" si="114"/>
        <v>1900</v>
      </c>
      <c r="R1847" s="6">
        <f t="shared" si="115"/>
        <v>0</v>
      </c>
    </row>
    <row r="1848" spans="13:18">
      <c r="M1848" s="8" t="e">
        <f>IF(C1848="Caixa","-",VLOOKUP(J1848,[1]Estrutura!C:E,3,FALSE))</f>
        <v>#N/A</v>
      </c>
      <c r="N1848" s="8"/>
      <c r="O1848" s="7">
        <f t="shared" si="112"/>
        <v>0</v>
      </c>
      <c r="P1848" s="7">
        <f t="shared" si="113"/>
        <v>1</v>
      </c>
      <c r="Q1848" s="7">
        <f t="shared" si="114"/>
        <v>1900</v>
      </c>
      <c r="R1848" s="6">
        <f t="shared" si="115"/>
        <v>0</v>
      </c>
    </row>
    <row r="1849" spans="13:18">
      <c r="M1849" s="7" t="e">
        <f>IF(C1849="Caixa","-",VLOOKUP(J1849,[1]Estrutura!C:E,3,FALSE))</f>
        <v>#N/A</v>
      </c>
      <c r="N1849" s="7"/>
      <c r="O1849" s="7">
        <f t="shared" si="112"/>
        <v>0</v>
      </c>
      <c r="P1849" s="7">
        <f t="shared" si="113"/>
        <v>1</v>
      </c>
      <c r="Q1849" s="7">
        <f t="shared" si="114"/>
        <v>1900</v>
      </c>
      <c r="R1849" s="6">
        <f t="shared" si="115"/>
        <v>0</v>
      </c>
    </row>
    <row r="1850" spans="13:18">
      <c r="M1850" s="8" t="e">
        <f>IF(C1850="Caixa","-",VLOOKUP(J1850,[1]Estrutura!C:E,3,FALSE))</f>
        <v>#N/A</v>
      </c>
      <c r="N1850" s="8"/>
      <c r="O1850" s="7">
        <f t="shared" si="112"/>
        <v>0</v>
      </c>
      <c r="P1850" s="7">
        <f t="shared" si="113"/>
        <v>1</v>
      </c>
      <c r="Q1850" s="7">
        <f t="shared" si="114"/>
        <v>1900</v>
      </c>
      <c r="R1850" s="6">
        <f t="shared" si="115"/>
        <v>0</v>
      </c>
    </row>
    <row r="1851" spans="13:18">
      <c r="M1851" s="7" t="e">
        <f>IF(C1851="Caixa","-",VLOOKUP(J1851,[1]Estrutura!C:E,3,FALSE))</f>
        <v>#N/A</v>
      </c>
      <c r="N1851" s="7"/>
      <c r="O1851" s="7">
        <f t="shared" si="112"/>
        <v>0</v>
      </c>
      <c r="P1851" s="7">
        <f t="shared" si="113"/>
        <v>1</v>
      </c>
      <c r="Q1851" s="7">
        <f t="shared" si="114"/>
        <v>1900</v>
      </c>
      <c r="R1851" s="6">
        <f t="shared" si="115"/>
        <v>0</v>
      </c>
    </row>
    <row r="1852" spans="13:18">
      <c r="M1852" s="8" t="e">
        <f>IF(C1852="Caixa","-",VLOOKUP(J1852,[1]Estrutura!C:E,3,FALSE))</f>
        <v>#N/A</v>
      </c>
      <c r="N1852" s="8"/>
      <c r="O1852" s="7">
        <f t="shared" si="112"/>
        <v>0</v>
      </c>
      <c r="P1852" s="7">
        <f t="shared" si="113"/>
        <v>1</v>
      </c>
      <c r="Q1852" s="7">
        <f t="shared" si="114"/>
        <v>1900</v>
      </c>
      <c r="R1852" s="6">
        <f t="shared" si="115"/>
        <v>0</v>
      </c>
    </row>
    <row r="1853" spans="13:18">
      <c r="M1853" s="7" t="e">
        <f>IF(C1853="Caixa","-",VLOOKUP(J1853,[1]Estrutura!C:E,3,FALSE))</f>
        <v>#N/A</v>
      </c>
      <c r="N1853" s="7"/>
      <c r="O1853" s="7">
        <f t="shared" si="112"/>
        <v>0</v>
      </c>
      <c r="P1853" s="7">
        <f t="shared" si="113"/>
        <v>1</v>
      </c>
      <c r="Q1853" s="7">
        <f t="shared" si="114"/>
        <v>1900</v>
      </c>
      <c r="R1853" s="6">
        <f t="shared" si="115"/>
        <v>0</v>
      </c>
    </row>
    <row r="1854" spans="13:18">
      <c r="M1854" s="8" t="e">
        <f>IF(C1854="Caixa","-",VLOOKUP(J1854,[1]Estrutura!C:E,3,FALSE))</f>
        <v>#N/A</v>
      </c>
      <c r="N1854" s="8"/>
      <c r="O1854" s="7">
        <f t="shared" si="112"/>
        <v>0</v>
      </c>
      <c r="P1854" s="7">
        <f t="shared" si="113"/>
        <v>1</v>
      </c>
      <c r="Q1854" s="7">
        <f t="shared" si="114"/>
        <v>1900</v>
      </c>
      <c r="R1854" s="6">
        <f t="shared" si="115"/>
        <v>0</v>
      </c>
    </row>
    <row r="1855" spans="13:18">
      <c r="M1855" s="7" t="e">
        <f>IF(C1855="Caixa","-",VLOOKUP(J1855,[1]Estrutura!C:E,3,FALSE))</f>
        <v>#N/A</v>
      </c>
      <c r="N1855" s="7"/>
      <c r="O1855" s="7">
        <f t="shared" si="112"/>
        <v>0</v>
      </c>
      <c r="P1855" s="7">
        <f t="shared" si="113"/>
        <v>1</v>
      </c>
      <c r="Q1855" s="7">
        <f t="shared" si="114"/>
        <v>1900</v>
      </c>
      <c r="R1855" s="6">
        <f t="shared" si="115"/>
        <v>0</v>
      </c>
    </row>
    <row r="1856" spans="13:18">
      <c r="M1856" s="8" t="e">
        <f>IF(C1856="Caixa","-",VLOOKUP(J1856,[1]Estrutura!C:E,3,FALSE))</f>
        <v>#N/A</v>
      </c>
      <c r="N1856" s="8"/>
      <c r="O1856" s="7">
        <f t="shared" si="112"/>
        <v>0</v>
      </c>
      <c r="P1856" s="7">
        <f t="shared" si="113"/>
        <v>1</v>
      </c>
      <c r="Q1856" s="7">
        <f t="shared" si="114"/>
        <v>1900</v>
      </c>
      <c r="R1856" s="6">
        <f t="shared" si="115"/>
        <v>0</v>
      </c>
    </row>
    <row r="1857" spans="13:18">
      <c r="M1857" s="7" t="e">
        <f>IF(C1857="Caixa","-",VLOOKUP(J1857,[1]Estrutura!C:E,3,FALSE))</f>
        <v>#N/A</v>
      </c>
      <c r="N1857" s="7"/>
      <c r="O1857" s="7">
        <f t="shared" si="112"/>
        <v>0</v>
      </c>
      <c r="P1857" s="7">
        <f t="shared" si="113"/>
        <v>1</v>
      </c>
      <c r="Q1857" s="7">
        <f t="shared" si="114"/>
        <v>1900</v>
      </c>
      <c r="R1857" s="6">
        <f t="shared" si="115"/>
        <v>0</v>
      </c>
    </row>
    <row r="1858" spans="13:18">
      <c r="M1858" s="8" t="e">
        <f>IF(C1858="Caixa","-",VLOOKUP(J1858,[1]Estrutura!C:E,3,FALSE))</f>
        <v>#N/A</v>
      </c>
      <c r="N1858" s="8"/>
      <c r="O1858" s="7">
        <f t="shared" si="112"/>
        <v>0</v>
      </c>
      <c r="P1858" s="7">
        <f t="shared" si="113"/>
        <v>1</v>
      </c>
      <c r="Q1858" s="7">
        <f t="shared" si="114"/>
        <v>1900</v>
      </c>
      <c r="R1858" s="6">
        <f t="shared" si="115"/>
        <v>0</v>
      </c>
    </row>
    <row r="1859" spans="13:18">
      <c r="M1859" s="7" t="e">
        <f>IF(C1859="Caixa","-",VLOOKUP(J1859,[1]Estrutura!C:E,3,FALSE))</f>
        <v>#N/A</v>
      </c>
      <c r="N1859" s="7"/>
      <c r="O1859" s="7">
        <f t="shared" si="112"/>
        <v>0</v>
      </c>
      <c r="P1859" s="7">
        <f t="shared" si="113"/>
        <v>1</v>
      </c>
      <c r="Q1859" s="7">
        <f t="shared" si="114"/>
        <v>1900</v>
      </c>
      <c r="R1859" s="6">
        <f t="shared" si="115"/>
        <v>0</v>
      </c>
    </row>
    <row r="1860" spans="13:18">
      <c r="M1860" s="8" t="e">
        <f>IF(C1860="Caixa","-",VLOOKUP(J1860,[1]Estrutura!C:E,3,FALSE))</f>
        <v>#N/A</v>
      </c>
      <c r="N1860" s="8"/>
      <c r="O1860" s="7">
        <f t="shared" si="112"/>
        <v>0</v>
      </c>
      <c r="P1860" s="7">
        <f t="shared" si="113"/>
        <v>1</v>
      </c>
      <c r="Q1860" s="7">
        <f t="shared" si="114"/>
        <v>1900</v>
      </c>
      <c r="R1860" s="6">
        <f t="shared" si="115"/>
        <v>0</v>
      </c>
    </row>
    <row r="1861" spans="13:18">
      <c r="M1861" s="7" t="e">
        <f>IF(C1861="Caixa","-",VLOOKUP(J1861,[1]Estrutura!C:E,3,FALSE))</f>
        <v>#N/A</v>
      </c>
      <c r="N1861" s="7"/>
      <c r="O1861" s="7">
        <f t="shared" si="112"/>
        <v>0</v>
      </c>
      <c r="P1861" s="7">
        <f t="shared" si="113"/>
        <v>1</v>
      </c>
      <c r="Q1861" s="7">
        <f t="shared" si="114"/>
        <v>1900</v>
      </c>
      <c r="R1861" s="6">
        <f t="shared" si="115"/>
        <v>0</v>
      </c>
    </row>
    <row r="1862" spans="13:18">
      <c r="M1862" s="8" t="e">
        <f>IF(C1862="Caixa","-",VLOOKUP(J1862,[1]Estrutura!C:E,3,FALSE))</f>
        <v>#N/A</v>
      </c>
      <c r="N1862" s="8"/>
      <c r="O1862" s="7">
        <f t="shared" si="112"/>
        <v>0</v>
      </c>
      <c r="P1862" s="7">
        <f t="shared" si="113"/>
        <v>1</v>
      </c>
      <c r="Q1862" s="7">
        <f t="shared" si="114"/>
        <v>1900</v>
      </c>
      <c r="R1862" s="6">
        <f t="shared" si="115"/>
        <v>0</v>
      </c>
    </row>
    <row r="1863" spans="13:18">
      <c r="M1863" s="7" t="e">
        <f>IF(C1863="Caixa","-",VLOOKUP(J1863,[1]Estrutura!C:E,3,FALSE))</f>
        <v>#N/A</v>
      </c>
      <c r="N1863" s="7"/>
      <c r="O1863" s="7">
        <f t="shared" si="112"/>
        <v>0</v>
      </c>
      <c r="P1863" s="7">
        <f t="shared" si="113"/>
        <v>1</v>
      </c>
      <c r="Q1863" s="7">
        <f t="shared" si="114"/>
        <v>1900</v>
      </c>
      <c r="R1863" s="6">
        <f t="shared" si="115"/>
        <v>0</v>
      </c>
    </row>
    <row r="1864" spans="13:18">
      <c r="M1864" s="8" t="e">
        <f>IF(C1864="Caixa","-",VLOOKUP(J1864,[1]Estrutura!C:E,3,FALSE))</f>
        <v>#N/A</v>
      </c>
      <c r="N1864" s="8"/>
      <c r="O1864" s="7">
        <f t="shared" si="112"/>
        <v>0</v>
      </c>
      <c r="P1864" s="7">
        <f t="shared" si="113"/>
        <v>1</v>
      </c>
      <c r="Q1864" s="7">
        <f t="shared" si="114"/>
        <v>1900</v>
      </c>
      <c r="R1864" s="6">
        <f t="shared" si="115"/>
        <v>0</v>
      </c>
    </row>
    <row r="1865" spans="13:18">
      <c r="M1865" s="7" t="e">
        <f>IF(C1865="Caixa","-",VLOOKUP(J1865,[1]Estrutura!C:E,3,FALSE))</f>
        <v>#N/A</v>
      </c>
      <c r="N1865" s="7"/>
      <c r="O1865" s="7">
        <f t="shared" si="112"/>
        <v>0</v>
      </c>
      <c r="P1865" s="7">
        <f t="shared" si="113"/>
        <v>1</v>
      </c>
      <c r="Q1865" s="7">
        <f t="shared" si="114"/>
        <v>1900</v>
      </c>
      <c r="R1865" s="6">
        <f t="shared" si="115"/>
        <v>0</v>
      </c>
    </row>
    <row r="1866" spans="13:18">
      <c r="M1866" s="8" t="e">
        <f>IF(C1866="Caixa","-",VLOOKUP(J1866,[1]Estrutura!C:E,3,FALSE))</f>
        <v>#N/A</v>
      </c>
      <c r="N1866" s="8"/>
      <c r="O1866" s="7">
        <f t="shared" si="112"/>
        <v>0</v>
      </c>
      <c r="P1866" s="7">
        <f t="shared" si="113"/>
        <v>1</v>
      </c>
      <c r="Q1866" s="7">
        <f t="shared" si="114"/>
        <v>1900</v>
      </c>
      <c r="R1866" s="6">
        <f t="shared" si="115"/>
        <v>0</v>
      </c>
    </row>
    <row r="1867" spans="13:18">
      <c r="M1867" s="7" t="e">
        <f>IF(C1867="Caixa","-",VLOOKUP(J1867,[1]Estrutura!C:E,3,FALSE))</f>
        <v>#N/A</v>
      </c>
      <c r="N1867" s="7"/>
      <c r="O1867" s="7">
        <f t="shared" si="112"/>
        <v>0</v>
      </c>
      <c r="P1867" s="7">
        <f t="shared" si="113"/>
        <v>1</v>
      </c>
      <c r="Q1867" s="7">
        <f t="shared" si="114"/>
        <v>1900</v>
      </c>
      <c r="R1867" s="6">
        <f t="shared" si="115"/>
        <v>0</v>
      </c>
    </row>
    <row r="1868" spans="13:18">
      <c r="M1868" s="8" t="e">
        <f>IF(C1868="Caixa","-",VLOOKUP(J1868,[1]Estrutura!C:E,3,FALSE))</f>
        <v>#N/A</v>
      </c>
      <c r="N1868" s="8"/>
      <c r="O1868" s="7">
        <f t="shared" si="112"/>
        <v>0</v>
      </c>
      <c r="P1868" s="7">
        <f t="shared" si="113"/>
        <v>1</v>
      </c>
      <c r="Q1868" s="7">
        <f t="shared" si="114"/>
        <v>1900</v>
      </c>
      <c r="R1868" s="6">
        <f t="shared" si="115"/>
        <v>0</v>
      </c>
    </row>
    <row r="1869" spans="13:18">
      <c r="M1869" s="7" t="e">
        <f>IF(C1869="Caixa","-",VLOOKUP(J1869,[1]Estrutura!C:E,3,FALSE))</f>
        <v>#N/A</v>
      </c>
      <c r="N1869" s="7"/>
      <c r="O1869" s="7">
        <f t="shared" si="112"/>
        <v>0</v>
      </c>
      <c r="P1869" s="7">
        <f t="shared" si="113"/>
        <v>1</v>
      </c>
      <c r="Q1869" s="7">
        <f t="shared" si="114"/>
        <v>1900</v>
      </c>
      <c r="R1869" s="6">
        <f t="shared" si="115"/>
        <v>0</v>
      </c>
    </row>
    <row r="1870" spans="13:18">
      <c r="M1870" s="8" t="e">
        <f>IF(C1870="Caixa","-",VLOOKUP(J1870,[1]Estrutura!C:E,3,FALSE))</f>
        <v>#N/A</v>
      </c>
      <c r="N1870" s="8"/>
      <c r="O1870" s="7">
        <f t="shared" ref="O1870:O1933" si="116">DAY(A1870)</f>
        <v>0</v>
      </c>
      <c r="P1870" s="7">
        <f t="shared" ref="P1870:P1933" si="117">MONTH(A1870)</f>
        <v>1</v>
      </c>
      <c r="Q1870" s="7">
        <f t="shared" ref="Q1870:Q1933" si="118">YEAR(A1870)</f>
        <v>1900</v>
      </c>
      <c r="R1870" s="6">
        <f t="shared" ref="R1870:R1933" si="119">D1870-E1870</f>
        <v>0</v>
      </c>
    </row>
    <row r="1871" spans="13:18">
      <c r="M1871" s="7" t="e">
        <f>IF(C1871="Caixa","-",VLOOKUP(J1871,[1]Estrutura!C:E,3,FALSE))</f>
        <v>#N/A</v>
      </c>
      <c r="N1871" s="7"/>
      <c r="O1871" s="7">
        <f t="shared" si="116"/>
        <v>0</v>
      </c>
      <c r="P1871" s="7">
        <f t="shared" si="117"/>
        <v>1</v>
      </c>
      <c r="Q1871" s="7">
        <f t="shared" si="118"/>
        <v>1900</v>
      </c>
      <c r="R1871" s="6">
        <f t="shared" si="119"/>
        <v>0</v>
      </c>
    </row>
    <row r="1872" spans="13:18">
      <c r="M1872" s="8" t="e">
        <f>IF(C1872="Caixa","-",VLOOKUP(J1872,[1]Estrutura!C:E,3,FALSE))</f>
        <v>#N/A</v>
      </c>
      <c r="N1872" s="8"/>
      <c r="O1872" s="7">
        <f t="shared" si="116"/>
        <v>0</v>
      </c>
      <c r="P1872" s="7">
        <f t="shared" si="117"/>
        <v>1</v>
      </c>
      <c r="Q1872" s="7">
        <f t="shared" si="118"/>
        <v>1900</v>
      </c>
      <c r="R1872" s="6">
        <f t="shared" si="119"/>
        <v>0</v>
      </c>
    </row>
    <row r="1873" spans="13:18">
      <c r="M1873" s="7" t="e">
        <f>IF(C1873="Caixa","-",VLOOKUP(J1873,[1]Estrutura!C:E,3,FALSE))</f>
        <v>#N/A</v>
      </c>
      <c r="N1873" s="7"/>
      <c r="O1873" s="7">
        <f t="shared" si="116"/>
        <v>0</v>
      </c>
      <c r="P1873" s="7">
        <f t="shared" si="117"/>
        <v>1</v>
      </c>
      <c r="Q1873" s="7">
        <f t="shared" si="118"/>
        <v>1900</v>
      </c>
      <c r="R1873" s="6">
        <f t="shared" si="119"/>
        <v>0</v>
      </c>
    </row>
    <row r="1874" spans="13:18">
      <c r="M1874" s="8" t="e">
        <f>IF(C1874="Caixa","-",VLOOKUP(J1874,[1]Estrutura!C:E,3,FALSE))</f>
        <v>#N/A</v>
      </c>
      <c r="N1874" s="8"/>
      <c r="O1874" s="7">
        <f t="shared" si="116"/>
        <v>0</v>
      </c>
      <c r="P1874" s="7">
        <f t="shared" si="117"/>
        <v>1</v>
      </c>
      <c r="Q1874" s="7">
        <f t="shared" si="118"/>
        <v>1900</v>
      </c>
      <c r="R1874" s="6">
        <f t="shared" si="119"/>
        <v>0</v>
      </c>
    </row>
    <row r="1875" spans="13:18">
      <c r="M1875" s="7" t="e">
        <f>IF(C1875="Caixa","-",VLOOKUP(J1875,[1]Estrutura!C:E,3,FALSE))</f>
        <v>#N/A</v>
      </c>
      <c r="N1875" s="7"/>
      <c r="O1875" s="7">
        <f t="shared" si="116"/>
        <v>0</v>
      </c>
      <c r="P1875" s="7">
        <f t="shared" si="117"/>
        <v>1</v>
      </c>
      <c r="Q1875" s="7">
        <f t="shared" si="118"/>
        <v>1900</v>
      </c>
      <c r="R1875" s="6">
        <f t="shared" si="119"/>
        <v>0</v>
      </c>
    </row>
    <row r="1876" spans="13:18">
      <c r="M1876" s="8" t="e">
        <f>IF(C1876="Caixa","-",VLOOKUP(J1876,[1]Estrutura!C:E,3,FALSE))</f>
        <v>#N/A</v>
      </c>
      <c r="N1876" s="8"/>
      <c r="O1876" s="7">
        <f t="shared" si="116"/>
        <v>0</v>
      </c>
      <c r="P1876" s="7">
        <f t="shared" si="117"/>
        <v>1</v>
      </c>
      <c r="Q1876" s="7">
        <f t="shared" si="118"/>
        <v>1900</v>
      </c>
      <c r="R1876" s="6">
        <f t="shared" si="119"/>
        <v>0</v>
      </c>
    </row>
    <row r="1877" spans="13:18">
      <c r="M1877" s="7" t="e">
        <f>IF(C1877="Caixa","-",VLOOKUP(J1877,[1]Estrutura!C:E,3,FALSE))</f>
        <v>#N/A</v>
      </c>
      <c r="N1877" s="7"/>
      <c r="O1877" s="7">
        <f t="shared" si="116"/>
        <v>0</v>
      </c>
      <c r="P1877" s="7">
        <f t="shared" si="117"/>
        <v>1</v>
      </c>
      <c r="Q1877" s="7">
        <f t="shared" si="118"/>
        <v>1900</v>
      </c>
      <c r="R1877" s="6">
        <f t="shared" si="119"/>
        <v>0</v>
      </c>
    </row>
    <row r="1878" spans="13:18">
      <c r="M1878" s="8" t="e">
        <f>IF(C1878="Caixa","-",VLOOKUP(J1878,[1]Estrutura!C:E,3,FALSE))</f>
        <v>#N/A</v>
      </c>
      <c r="N1878" s="8"/>
      <c r="O1878" s="7">
        <f t="shared" si="116"/>
        <v>0</v>
      </c>
      <c r="P1878" s="7">
        <f t="shared" si="117"/>
        <v>1</v>
      </c>
      <c r="Q1878" s="7">
        <f t="shared" si="118"/>
        <v>1900</v>
      </c>
      <c r="R1878" s="6">
        <f t="shared" si="119"/>
        <v>0</v>
      </c>
    </row>
    <row r="1879" spans="13:18">
      <c r="M1879" s="7" t="e">
        <f>IF(C1879="Caixa","-",VLOOKUP(J1879,[1]Estrutura!C:E,3,FALSE))</f>
        <v>#N/A</v>
      </c>
      <c r="N1879" s="7"/>
      <c r="O1879" s="7">
        <f t="shared" si="116"/>
        <v>0</v>
      </c>
      <c r="P1879" s="7">
        <f t="shared" si="117"/>
        <v>1</v>
      </c>
      <c r="Q1879" s="7">
        <f t="shared" si="118"/>
        <v>1900</v>
      </c>
      <c r="R1879" s="6">
        <f t="shared" si="119"/>
        <v>0</v>
      </c>
    </row>
    <row r="1880" spans="13:18">
      <c r="M1880" s="8" t="e">
        <f>IF(C1880="Caixa","-",VLOOKUP(J1880,[1]Estrutura!C:E,3,FALSE))</f>
        <v>#N/A</v>
      </c>
      <c r="N1880" s="8"/>
      <c r="O1880" s="7">
        <f t="shared" si="116"/>
        <v>0</v>
      </c>
      <c r="P1880" s="7">
        <f t="shared" si="117"/>
        <v>1</v>
      </c>
      <c r="Q1880" s="7">
        <f t="shared" si="118"/>
        <v>1900</v>
      </c>
      <c r="R1880" s="6">
        <f t="shared" si="119"/>
        <v>0</v>
      </c>
    </row>
    <row r="1881" spans="13:18">
      <c r="M1881" s="7" t="e">
        <f>IF(C1881="Caixa","-",VLOOKUP(J1881,[1]Estrutura!C:E,3,FALSE))</f>
        <v>#N/A</v>
      </c>
      <c r="N1881" s="7"/>
      <c r="O1881" s="7">
        <f t="shared" si="116"/>
        <v>0</v>
      </c>
      <c r="P1881" s="7">
        <f t="shared" si="117"/>
        <v>1</v>
      </c>
      <c r="Q1881" s="7">
        <f t="shared" si="118"/>
        <v>1900</v>
      </c>
      <c r="R1881" s="6">
        <f t="shared" si="119"/>
        <v>0</v>
      </c>
    </row>
    <row r="1882" spans="13:18">
      <c r="M1882" s="8" t="e">
        <f>IF(C1882="Caixa","-",VLOOKUP(J1882,[1]Estrutura!C:E,3,FALSE))</f>
        <v>#N/A</v>
      </c>
      <c r="N1882" s="8"/>
      <c r="O1882" s="7">
        <f t="shared" si="116"/>
        <v>0</v>
      </c>
      <c r="P1882" s="7">
        <f t="shared" si="117"/>
        <v>1</v>
      </c>
      <c r="Q1882" s="7">
        <f t="shared" si="118"/>
        <v>1900</v>
      </c>
      <c r="R1882" s="6">
        <f t="shared" si="119"/>
        <v>0</v>
      </c>
    </row>
    <row r="1883" spans="13:18">
      <c r="M1883" s="7" t="e">
        <f>IF(C1883="Caixa","-",VLOOKUP(J1883,[1]Estrutura!C:E,3,FALSE))</f>
        <v>#N/A</v>
      </c>
      <c r="N1883" s="7"/>
      <c r="O1883" s="7">
        <f t="shared" si="116"/>
        <v>0</v>
      </c>
      <c r="P1883" s="7">
        <f t="shared" si="117"/>
        <v>1</v>
      </c>
      <c r="Q1883" s="7">
        <f t="shared" si="118"/>
        <v>1900</v>
      </c>
      <c r="R1883" s="6">
        <f t="shared" si="119"/>
        <v>0</v>
      </c>
    </row>
    <row r="1884" spans="13:18">
      <c r="M1884" s="8" t="e">
        <f>IF(C1884="Caixa","-",VLOOKUP(J1884,[1]Estrutura!C:E,3,FALSE))</f>
        <v>#N/A</v>
      </c>
      <c r="N1884" s="8"/>
      <c r="O1884" s="7">
        <f t="shared" si="116"/>
        <v>0</v>
      </c>
      <c r="P1884" s="7">
        <f t="shared" si="117"/>
        <v>1</v>
      </c>
      <c r="Q1884" s="7">
        <f t="shared" si="118"/>
        <v>1900</v>
      </c>
      <c r="R1884" s="6">
        <f t="shared" si="119"/>
        <v>0</v>
      </c>
    </row>
    <row r="1885" spans="13:18">
      <c r="M1885" s="7" t="e">
        <f>IF(C1885="Caixa","-",VLOOKUP(J1885,[1]Estrutura!C:E,3,FALSE))</f>
        <v>#N/A</v>
      </c>
      <c r="N1885" s="7"/>
      <c r="O1885" s="7">
        <f t="shared" si="116"/>
        <v>0</v>
      </c>
      <c r="P1885" s="7">
        <f t="shared" si="117"/>
        <v>1</v>
      </c>
      <c r="Q1885" s="7">
        <f t="shared" si="118"/>
        <v>1900</v>
      </c>
      <c r="R1885" s="6">
        <f t="shared" si="119"/>
        <v>0</v>
      </c>
    </row>
    <row r="1886" spans="13:18">
      <c r="M1886" s="8" t="e">
        <f>IF(C1886="Caixa","-",VLOOKUP(J1886,[1]Estrutura!C:E,3,FALSE))</f>
        <v>#N/A</v>
      </c>
      <c r="N1886" s="8"/>
      <c r="O1886" s="7">
        <f t="shared" si="116"/>
        <v>0</v>
      </c>
      <c r="P1886" s="7">
        <f t="shared" si="117"/>
        <v>1</v>
      </c>
      <c r="Q1886" s="7">
        <f t="shared" si="118"/>
        <v>1900</v>
      </c>
      <c r="R1886" s="6">
        <f t="shared" si="119"/>
        <v>0</v>
      </c>
    </row>
    <row r="1887" spans="13:18">
      <c r="M1887" s="7" t="e">
        <f>IF(C1887="Caixa","-",VLOOKUP(J1887,[1]Estrutura!C:E,3,FALSE))</f>
        <v>#N/A</v>
      </c>
      <c r="N1887" s="7"/>
      <c r="O1887" s="7">
        <f t="shared" si="116"/>
        <v>0</v>
      </c>
      <c r="P1887" s="7">
        <f t="shared" si="117"/>
        <v>1</v>
      </c>
      <c r="Q1887" s="7">
        <f t="shared" si="118"/>
        <v>1900</v>
      </c>
      <c r="R1887" s="6">
        <f t="shared" si="119"/>
        <v>0</v>
      </c>
    </row>
    <row r="1888" spans="13:18">
      <c r="M1888" s="8" t="e">
        <f>IF(C1888="Caixa","-",VLOOKUP(J1888,[1]Estrutura!C:E,3,FALSE))</f>
        <v>#N/A</v>
      </c>
      <c r="N1888" s="8"/>
      <c r="O1888" s="7">
        <f t="shared" si="116"/>
        <v>0</v>
      </c>
      <c r="P1888" s="7">
        <f t="shared" si="117"/>
        <v>1</v>
      </c>
      <c r="Q1888" s="7">
        <f t="shared" si="118"/>
        <v>1900</v>
      </c>
      <c r="R1888" s="6">
        <f t="shared" si="119"/>
        <v>0</v>
      </c>
    </row>
    <row r="1889" spans="13:18">
      <c r="M1889" s="7" t="e">
        <f>IF(C1889="Caixa","-",VLOOKUP(J1889,[1]Estrutura!C:E,3,FALSE))</f>
        <v>#N/A</v>
      </c>
      <c r="N1889" s="7"/>
      <c r="O1889" s="7">
        <f t="shared" si="116"/>
        <v>0</v>
      </c>
      <c r="P1889" s="7">
        <f t="shared" si="117"/>
        <v>1</v>
      </c>
      <c r="Q1889" s="7">
        <f t="shared" si="118"/>
        <v>1900</v>
      </c>
      <c r="R1889" s="6">
        <f t="shared" si="119"/>
        <v>0</v>
      </c>
    </row>
    <row r="1890" spans="13:18">
      <c r="M1890" s="8" t="e">
        <f>IF(C1890="Caixa","-",VLOOKUP(J1890,[1]Estrutura!C:E,3,FALSE))</f>
        <v>#N/A</v>
      </c>
      <c r="N1890" s="8"/>
      <c r="O1890" s="7">
        <f t="shared" si="116"/>
        <v>0</v>
      </c>
      <c r="P1890" s="7">
        <f t="shared" si="117"/>
        <v>1</v>
      </c>
      <c r="Q1890" s="7">
        <f t="shared" si="118"/>
        <v>1900</v>
      </c>
      <c r="R1890" s="6">
        <f t="shared" si="119"/>
        <v>0</v>
      </c>
    </row>
    <row r="1891" spans="13:18">
      <c r="M1891" s="7" t="e">
        <f>IF(C1891="Caixa","-",VLOOKUP(J1891,[1]Estrutura!C:E,3,FALSE))</f>
        <v>#N/A</v>
      </c>
      <c r="N1891" s="7"/>
      <c r="O1891" s="7">
        <f t="shared" si="116"/>
        <v>0</v>
      </c>
      <c r="P1891" s="7">
        <f t="shared" si="117"/>
        <v>1</v>
      </c>
      <c r="Q1891" s="7">
        <f t="shared" si="118"/>
        <v>1900</v>
      </c>
      <c r="R1891" s="6">
        <f t="shared" si="119"/>
        <v>0</v>
      </c>
    </row>
    <row r="1892" spans="13:18">
      <c r="M1892" s="8" t="e">
        <f>IF(C1892="Caixa","-",VLOOKUP(J1892,[1]Estrutura!C:E,3,FALSE))</f>
        <v>#N/A</v>
      </c>
      <c r="N1892" s="8"/>
      <c r="O1892" s="7">
        <f t="shared" si="116"/>
        <v>0</v>
      </c>
      <c r="P1892" s="7">
        <f t="shared" si="117"/>
        <v>1</v>
      </c>
      <c r="Q1892" s="7">
        <f t="shared" si="118"/>
        <v>1900</v>
      </c>
      <c r="R1892" s="6">
        <f t="shared" si="119"/>
        <v>0</v>
      </c>
    </row>
    <row r="1893" spans="13:18">
      <c r="M1893" s="7" t="e">
        <f>IF(C1893="Caixa","-",VLOOKUP(J1893,[1]Estrutura!C:E,3,FALSE))</f>
        <v>#N/A</v>
      </c>
      <c r="N1893" s="7"/>
      <c r="O1893" s="7">
        <f t="shared" si="116"/>
        <v>0</v>
      </c>
      <c r="P1893" s="7">
        <f t="shared" si="117"/>
        <v>1</v>
      </c>
      <c r="Q1893" s="7">
        <f t="shared" si="118"/>
        <v>1900</v>
      </c>
      <c r="R1893" s="6">
        <f t="shared" si="119"/>
        <v>0</v>
      </c>
    </row>
    <row r="1894" spans="13:18">
      <c r="M1894" s="8" t="e">
        <f>IF(C1894="Caixa","-",VLOOKUP(J1894,[1]Estrutura!C:E,3,FALSE))</f>
        <v>#N/A</v>
      </c>
      <c r="N1894" s="8"/>
      <c r="O1894" s="7">
        <f t="shared" si="116"/>
        <v>0</v>
      </c>
      <c r="P1894" s="7">
        <f t="shared" si="117"/>
        <v>1</v>
      </c>
      <c r="Q1894" s="7">
        <f t="shared" si="118"/>
        <v>1900</v>
      </c>
      <c r="R1894" s="6">
        <f t="shared" si="119"/>
        <v>0</v>
      </c>
    </row>
    <row r="1895" spans="13:18">
      <c r="M1895" s="7" t="e">
        <f>IF(C1895="Caixa","-",VLOOKUP(J1895,[1]Estrutura!C:E,3,FALSE))</f>
        <v>#N/A</v>
      </c>
      <c r="N1895" s="7"/>
      <c r="O1895" s="7">
        <f t="shared" si="116"/>
        <v>0</v>
      </c>
      <c r="P1895" s="7">
        <f t="shared" si="117"/>
        <v>1</v>
      </c>
      <c r="Q1895" s="7">
        <f t="shared" si="118"/>
        <v>1900</v>
      </c>
      <c r="R1895" s="6">
        <f t="shared" si="119"/>
        <v>0</v>
      </c>
    </row>
    <row r="1896" spans="13:18">
      <c r="M1896" s="8" t="e">
        <f>IF(C1896="Caixa","-",VLOOKUP(J1896,[1]Estrutura!C:E,3,FALSE))</f>
        <v>#N/A</v>
      </c>
      <c r="N1896" s="8"/>
      <c r="O1896" s="7">
        <f t="shared" si="116"/>
        <v>0</v>
      </c>
      <c r="P1896" s="7">
        <f t="shared" si="117"/>
        <v>1</v>
      </c>
      <c r="Q1896" s="7">
        <f t="shared" si="118"/>
        <v>1900</v>
      </c>
      <c r="R1896" s="6">
        <f t="shared" si="119"/>
        <v>0</v>
      </c>
    </row>
    <row r="1897" spans="13:18">
      <c r="M1897" s="7" t="e">
        <f>IF(C1897="Caixa","-",VLOOKUP(J1897,[1]Estrutura!C:E,3,FALSE))</f>
        <v>#N/A</v>
      </c>
      <c r="N1897" s="7"/>
      <c r="O1897" s="7">
        <f t="shared" si="116"/>
        <v>0</v>
      </c>
      <c r="P1897" s="7">
        <f t="shared" si="117"/>
        <v>1</v>
      </c>
      <c r="Q1897" s="7">
        <f t="shared" si="118"/>
        <v>1900</v>
      </c>
      <c r="R1897" s="6">
        <f t="shared" si="119"/>
        <v>0</v>
      </c>
    </row>
    <row r="1898" spans="13:18">
      <c r="M1898" s="8" t="e">
        <f>IF(C1898="Caixa","-",VLOOKUP(J1898,[1]Estrutura!C:E,3,FALSE))</f>
        <v>#N/A</v>
      </c>
      <c r="N1898" s="8"/>
      <c r="O1898" s="7">
        <f t="shared" si="116"/>
        <v>0</v>
      </c>
      <c r="P1898" s="7">
        <f t="shared" si="117"/>
        <v>1</v>
      </c>
      <c r="Q1898" s="7">
        <f t="shared" si="118"/>
        <v>1900</v>
      </c>
      <c r="R1898" s="6">
        <f t="shared" si="119"/>
        <v>0</v>
      </c>
    </row>
    <row r="1899" spans="13:18">
      <c r="M1899" s="7" t="e">
        <f>IF(C1899="Caixa","-",VLOOKUP(J1899,[1]Estrutura!C:E,3,FALSE))</f>
        <v>#N/A</v>
      </c>
      <c r="N1899" s="7"/>
      <c r="O1899" s="7">
        <f t="shared" si="116"/>
        <v>0</v>
      </c>
      <c r="P1899" s="7">
        <f t="shared" si="117"/>
        <v>1</v>
      </c>
      <c r="Q1899" s="7">
        <f t="shared" si="118"/>
        <v>1900</v>
      </c>
      <c r="R1899" s="6">
        <f t="shared" si="119"/>
        <v>0</v>
      </c>
    </row>
    <row r="1900" spans="13:18">
      <c r="M1900" s="8" t="e">
        <f>IF(C1900="Caixa","-",VLOOKUP(J1900,[1]Estrutura!C:E,3,FALSE))</f>
        <v>#N/A</v>
      </c>
      <c r="N1900" s="8"/>
      <c r="O1900" s="7">
        <f t="shared" si="116"/>
        <v>0</v>
      </c>
      <c r="P1900" s="7">
        <f t="shared" si="117"/>
        <v>1</v>
      </c>
      <c r="Q1900" s="7">
        <f t="shared" si="118"/>
        <v>1900</v>
      </c>
      <c r="R1900" s="6">
        <f t="shared" si="119"/>
        <v>0</v>
      </c>
    </row>
    <row r="1901" spans="13:18">
      <c r="M1901" s="7" t="e">
        <f>IF(C1901="Caixa","-",VLOOKUP(J1901,[1]Estrutura!C:E,3,FALSE))</f>
        <v>#N/A</v>
      </c>
      <c r="N1901" s="7"/>
      <c r="O1901" s="7">
        <f t="shared" si="116"/>
        <v>0</v>
      </c>
      <c r="P1901" s="7">
        <f t="shared" si="117"/>
        <v>1</v>
      </c>
      <c r="Q1901" s="7">
        <f t="shared" si="118"/>
        <v>1900</v>
      </c>
      <c r="R1901" s="6">
        <f t="shared" si="119"/>
        <v>0</v>
      </c>
    </row>
    <row r="1902" spans="13:18">
      <c r="M1902" s="8" t="e">
        <f>IF(C1902="Caixa","-",VLOOKUP(J1902,[1]Estrutura!C:E,3,FALSE))</f>
        <v>#N/A</v>
      </c>
      <c r="N1902" s="8"/>
      <c r="O1902" s="7">
        <f t="shared" si="116"/>
        <v>0</v>
      </c>
      <c r="P1902" s="7">
        <f t="shared" si="117"/>
        <v>1</v>
      </c>
      <c r="Q1902" s="7">
        <f t="shared" si="118"/>
        <v>1900</v>
      </c>
      <c r="R1902" s="6">
        <f t="shared" si="119"/>
        <v>0</v>
      </c>
    </row>
    <row r="1903" spans="13:18">
      <c r="M1903" s="7" t="e">
        <f>IF(C1903="Caixa","-",VLOOKUP(J1903,[1]Estrutura!C:E,3,FALSE))</f>
        <v>#N/A</v>
      </c>
      <c r="N1903" s="7"/>
      <c r="O1903" s="7">
        <f t="shared" si="116"/>
        <v>0</v>
      </c>
      <c r="P1903" s="7">
        <f t="shared" si="117"/>
        <v>1</v>
      </c>
      <c r="Q1903" s="7">
        <f t="shared" si="118"/>
        <v>1900</v>
      </c>
      <c r="R1903" s="6">
        <f t="shared" si="119"/>
        <v>0</v>
      </c>
    </row>
    <row r="1904" spans="13:18">
      <c r="M1904" s="8" t="e">
        <f>IF(C1904="Caixa","-",VLOOKUP(J1904,[1]Estrutura!C:E,3,FALSE))</f>
        <v>#N/A</v>
      </c>
      <c r="N1904" s="8"/>
      <c r="O1904" s="7">
        <f t="shared" si="116"/>
        <v>0</v>
      </c>
      <c r="P1904" s="7">
        <f t="shared" si="117"/>
        <v>1</v>
      </c>
      <c r="Q1904" s="7">
        <f t="shared" si="118"/>
        <v>1900</v>
      </c>
      <c r="R1904" s="6">
        <f t="shared" si="119"/>
        <v>0</v>
      </c>
    </row>
    <row r="1905" spans="13:18">
      <c r="M1905" s="7" t="e">
        <f>IF(C1905="Caixa","-",VLOOKUP(J1905,[1]Estrutura!C:E,3,FALSE))</f>
        <v>#N/A</v>
      </c>
      <c r="N1905" s="7"/>
      <c r="O1905" s="7">
        <f t="shared" si="116"/>
        <v>0</v>
      </c>
      <c r="P1905" s="7">
        <f t="shared" si="117"/>
        <v>1</v>
      </c>
      <c r="Q1905" s="7">
        <f t="shared" si="118"/>
        <v>1900</v>
      </c>
      <c r="R1905" s="6">
        <f t="shared" si="119"/>
        <v>0</v>
      </c>
    </row>
    <row r="1906" spans="13:18">
      <c r="M1906" s="8" t="e">
        <f>IF(C1906="Caixa","-",VLOOKUP(J1906,[1]Estrutura!C:E,3,FALSE))</f>
        <v>#N/A</v>
      </c>
      <c r="N1906" s="8"/>
      <c r="O1906" s="7">
        <f t="shared" si="116"/>
        <v>0</v>
      </c>
      <c r="P1906" s="7">
        <f t="shared" si="117"/>
        <v>1</v>
      </c>
      <c r="Q1906" s="7">
        <f t="shared" si="118"/>
        <v>1900</v>
      </c>
      <c r="R1906" s="6">
        <f t="shared" si="119"/>
        <v>0</v>
      </c>
    </row>
    <row r="1907" spans="13:18">
      <c r="M1907" s="7" t="e">
        <f>IF(C1907="Caixa","-",VLOOKUP(J1907,[1]Estrutura!C:E,3,FALSE))</f>
        <v>#N/A</v>
      </c>
      <c r="N1907" s="7"/>
      <c r="O1907" s="7">
        <f t="shared" si="116"/>
        <v>0</v>
      </c>
      <c r="P1907" s="7">
        <f t="shared" si="117"/>
        <v>1</v>
      </c>
      <c r="Q1907" s="7">
        <f t="shared" si="118"/>
        <v>1900</v>
      </c>
      <c r="R1907" s="6">
        <f t="shared" si="119"/>
        <v>0</v>
      </c>
    </row>
    <row r="1908" spans="13:18">
      <c r="M1908" s="8" t="e">
        <f>IF(C1908="Caixa","-",VLOOKUP(J1908,[1]Estrutura!C:E,3,FALSE))</f>
        <v>#N/A</v>
      </c>
      <c r="N1908" s="8"/>
      <c r="O1908" s="7">
        <f t="shared" si="116"/>
        <v>0</v>
      </c>
      <c r="P1908" s="7">
        <f t="shared" si="117"/>
        <v>1</v>
      </c>
      <c r="Q1908" s="7">
        <f t="shared" si="118"/>
        <v>1900</v>
      </c>
      <c r="R1908" s="6">
        <f t="shared" si="119"/>
        <v>0</v>
      </c>
    </row>
    <row r="1909" spans="13:18">
      <c r="M1909" s="7" t="e">
        <f>IF(C1909="Caixa","-",VLOOKUP(J1909,[1]Estrutura!C:E,3,FALSE))</f>
        <v>#N/A</v>
      </c>
      <c r="N1909" s="7"/>
      <c r="O1909" s="7">
        <f t="shared" si="116"/>
        <v>0</v>
      </c>
      <c r="P1909" s="7">
        <f t="shared" si="117"/>
        <v>1</v>
      </c>
      <c r="Q1909" s="7">
        <f t="shared" si="118"/>
        <v>1900</v>
      </c>
      <c r="R1909" s="6">
        <f t="shared" si="119"/>
        <v>0</v>
      </c>
    </row>
    <row r="1910" spans="13:18">
      <c r="M1910" s="8" t="e">
        <f>IF(C1910="Caixa","-",VLOOKUP(J1910,[1]Estrutura!C:E,3,FALSE))</f>
        <v>#N/A</v>
      </c>
      <c r="N1910" s="8"/>
      <c r="O1910" s="7">
        <f t="shared" si="116"/>
        <v>0</v>
      </c>
      <c r="P1910" s="7">
        <f t="shared" si="117"/>
        <v>1</v>
      </c>
      <c r="Q1910" s="7">
        <f t="shared" si="118"/>
        <v>1900</v>
      </c>
      <c r="R1910" s="6">
        <f t="shared" si="119"/>
        <v>0</v>
      </c>
    </row>
    <row r="1911" spans="13:18">
      <c r="M1911" s="7" t="e">
        <f>IF(C1911="Caixa","-",VLOOKUP(J1911,[1]Estrutura!C:E,3,FALSE))</f>
        <v>#N/A</v>
      </c>
      <c r="N1911" s="7"/>
      <c r="O1911" s="7">
        <f t="shared" si="116"/>
        <v>0</v>
      </c>
      <c r="P1911" s="7">
        <f t="shared" si="117"/>
        <v>1</v>
      </c>
      <c r="Q1911" s="7">
        <f t="shared" si="118"/>
        <v>1900</v>
      </c>
      <c r="R1911" s="6">
        <f t="shared" si="119"/>
        <v>0</v>
      </c>
    </row>
    <row r="1912" spans="13:18">
      <c r="M1912" s="8" t="e">
        <f>IF(C1912="Caixa","-",VLOOKUP(J1912,[1]Estrutura!C:E,3,FALSE))</f>
        <v>#N/A</v>
      </c>
      <c r="N1912" s="8"/>
      <c r="O1912" s="7">
        <f t="shared" si="116"/>
        <v>0</v>
      </c>
      <c r="P1912" s="7">
        <f t="shared" si="117"/>
        <v>1</v>
      </c>
      <c r="Q1912" s="7">
        <f t="shared" si="118"/>
        <v>1900</v>
      </c>
      <c r="R1912" s="6">
        <f t="shared" si="119"/>
        <v>0</v>
      </c>
    </row>
    <row r="1913" spans="13:18">
      <c r="M1913" s="7" t="e">
        <f>IF(C1913="Caixa","-",VLOOKUP(J1913,[1]Estrutura!C:E,3,FALSE))</f>
        <v>#N/A</v>
      </c>
      <c r="N1913" s="7"/>
      <c r="O1913" s="7">
        <f t="shared" si="116"/>
        <v>0</v>
      </c>
      <c r="P1913" s="7">
        <f t="shared" si="117"/>
        <v>1</v>
      </c>
      <c r="Q1913" s="7">
        <f t="shared" si="118"/>
        <v>1900</v>
      </c>
      <c r="R1913" s="6">
        <f t="shared" si="119"/>
        <v>0</v>
      </c>
    </row>
    <row r="1914" spans="13:18">
      <c r="M1914" s="8" t="e">
        <f>IF(C1914="Caixa","-",VLOOKUP(J1914,[1]Estrutura!C:E,3,FALSE))</f>
        <v>#N/A</v>
      </c>
      <c r="N1914" s="8"/>
      <c r="O1914" s="7">
        <f t="shared" si="116"/>
        <v>0</v>
      </c>
      <c r="P1914" s="7">
        <f t="shared" si="117"/>
        <v>1</v>
      </c>
      <c r="Q1914" s="7">
        <f t="shared" si="118"/>
        <v>1900</v>
      </c>
      <c r="R1914" s="6">
        <f t="shared" si="119"/>
        <v>0</v>
      </c>
    </row>
    <row r="1915" spans="13:18">
      <c r="M1915" s="7" t="e">
        <f>IF(C1915="Caixa","-",VLOOKUP(J1915,[1]Estrutura!C:E,3,FALSE))</f>
        <v>#N/A</v>
      </c>
      <c r="N1915" s="7"/>
      <c r="O1915" s="7">
        <f t="shared" si="116"/>
        <v>0</v>
      </c>
      <c r="P1915" s="7">
        <f t="shared" si="117"/>
        <v>1</v>
      </c>
      <c r="Q1915" s="7">
        <f t="shared" si="118"/>
        <v>1900</v>
      </c>
      <c r="R1915" s="6">
        <f t="shared" si="119"/>
        <v>0</v>
      </c>
    </row>
    <row r="1916" spans="13:18">
      <c r="M1916" s="8" t="e">
        <f>IF(C1916="Caixa","-",VLOOKUP(J1916,[1]Estrutura!C:E,3,FALSE))</f>
        <v>#N/A</v>
      </c>
      <c r="N1916" s="8"/>
      <c r="O1916" s="7">
        <f t="shared" si="116"/>
        <v>0</v>
      </c>
      <c r="P1916" s="7">
        <f t="shared" si="117"/>
        <v>1</v>
      </c>
      <c r="Q1916" s="7">
        <f t="shared" si="118"/>
        <v>1900</v>
      </c>
      <c r="R1916" s="6">
        <f t="shared" si="119"/>
        <v>0</v>
      </c>
    </row>
    <row r="1917" spans="13:18">
      <c r="M1917" s="7" t="e">
        <f>IF(C1917="Caixa","-",VLOOKUP(J1917,[1]Estrutura!C:E,3,FALSE))</f>
        <v>#N/A</v>
      </c>
      <c r="N1917" s="7"/>
      <c r="O1917" s="7">
        <f t="shared" si="116"/>
        <v>0</v>
      </c>
      <c r="P1917" s="7">
        <f t="shared" si="117"/>
        <v>1</v>
      </c>
      <c r="Q1917" s="7">
        <f t="shared" si="118"/>
        <v>1900</v>
      </c>
      <c r="R1917" s="6">
        <f t="shared" si="119"/>
        <v>0</v>
      </c>
    </row>
    <row r="1918" spans="13:18">
      <c r="M1918" s="8" t="e">
        <f>IF(C1918="Caixa","-",VLOOKUP(J1918,[1]Estrutura!C:E,3,FALSE))</f>
        <v>#N/A</v>
      </c>
      <c r="N1918" s="8"/>
      <c r="O1918" s="7">
        <f t="shared" si="116"/>
        <v>0</v>
      </c>
      <c r="P1918" s="7">
        <f t="shared" si="117"/>
        <v>1</v>
      </c>
      <c r="Q1918" s="7">
        <f t="shared" si="118"/>
        <v>1900</v>
      </c>
      <c r="R1918" s="6">
        <f t="shared" si="119"/>
        <v>0</v>
      </c>
    </row>
    <row r="1919" spans="13:18">
      <c r="M1919" s="7" t="e">
        <f>IF(C1919="Caixa","-",VLOOKUP(J1919,[1]Estrutura!C:E,3,FALSE))</f>
        <v>#N/A</v>
      </c>
      <c r="N1919" s="7"/>
      <c r="O1919" s="7">
        <f t="shared" si="116"/>
        <v>0</v>
      </c>
      <c r="P1919" s="7">
        <f t="shared" si="117"/>
        <v>1</v>
      </c>
      <c r="Q1919" s="7">
        <f t="shared" si="118"/>
        <v>1900</v>
      </c>
      <c r="R1919" s="6">
        <f t="shared" si="119"/>
        <v>0</v>
      </c>
    </row>
    <row r="1920" spans="13:18">
      <c r="M1920" s="8" t="e">
        <f>IF(C1920="Caixa","-",VLOOKUP(J1920,[1]Estrutura!C:E,3,FALSE))</f>
        <v>#N/A</v>
      </c>
      <c r="N1920" s="8"/>
      <c r="O1920" s="7">
        <f t="shared" si="116"/>
        <v>0</v>
      </c>
      <c r="P1920" s="7">
        <f t="shared" si="117"/>
        <v>1</v>
      </c>
      <c r="Q1920" s="7">
        <f t="shared" si="118"/>
        <v>1900</v>
      </c>
      <c r="R1920" s="6">
        <f t="shared" si="119"/>
        <v>0</v>
      </c>
    </row>
    <row r="1921" spans="13:18">
      <c r="M1921" s="7" t="e">
        <f>IF(C1921="Caixa","-",VLOOKUP(J1921,[1]Estrutura!C:E,3,FALSE))</f>
        <v>#N/A</v>
      </c>
      <c r="N1921" s="7"/>
      <c r="O1921" s="7">
        <f t="shared" si="116"/>
        <v>0</v>
      </c>
      <c r="P1921" s="7">
        <f t="shared" si="117"/>
        <v>1</v>
      </c>
      <c r="Q1921" s="7">
        <f t="shared" si="118"/>
        <v>1900</v>
      </c>
      <c r="R1921" s="6">
        <f t="shared" si="119"/>
        <v>0</v>
      </c>
    </row>
    <row r="1922" spans="13:18">
      <c r="M1922" s="8" t="e">
        <f>IF(C1922="Caixa","-",VLOOKUP(J1922,[1]Estrutura!C:E,3,FALSE))</f>
        <v>#N/A</v>
      </c>
      <c r="N1922" s="8"/>
      <c r="O1922" s="7">
        <f t="shared" si="116"/>
        <v>0</v>
      </c>
      <c r="P1922" s="7">
        <f t="shared" si="117"/>
        <v>1</v>
      </c>
      <c r="Q1922" s="7">
        <f t="shared" si="118"/>
        <v>1900</v>
      </c>
      <c r="R1922" s="6">
        <f t="shared" si="119"/>
        <v>0</v>
      </c>
    </row>
    <row r="1923" spans="13:18">
      <c r="M1923" s="7" t="e">
        <f>IF(C1923="Caixa","-",VLOOKUP(J1923,[1]Estrutura!C:E,3,FALSE))</f>
        <v>#N/A</v>
      </c>
      <c r="N1923" s="7"/>
      <c r="O1923" s="7">
        <f t="shared" si="116"/>
        <v>0</v>
      </c>
      <c r="P1923" s="7">
        <f t="shared" si="117"/>
        <v>1</v>
      </c>
      <c r="Q1923" s="7">
        <f t="shared" si="118"/>
        <v>1900</v>
      </c>
      <c r="R1923" s="6">
        <f t="shared" si="119"/>
        <v>0</v>
      </c>
    </row>
    <row r="1924" spans="13:18">
      <c r="M1924" s="8" t="e">
        <f>IF(C1924="Caixa","-",VLOOKUP(J1924,[1]Estrutura!C:E,3,FALSE))</f>
        <v>#N/A</v>
      </c>
      <c r="N1924" s="8"/>
      <c r="O1924" s="7">
        <f t="shared" si="116"/>
        <v>0</v>
      </c>
      <c r="P1924" s="7">
        <f t="shared" si="117"/>
        <v>1</v>
      </c>
      <c r="Q1924" s="7">
        <f t="shared" si="118"/>
        <v>1900</v>
      </c>
      <c r="R1924" s="6">
        <f t="shared" si="119"/>
        <v>0</v>
      </c>
    </row>
    <row r="1925" spans="13:18">
      <c r="M1925" s="7" t="e">
        <f>IF(C1925="Caixa","-",VLOOKUP(J1925,[1]Estrutura!C:E,3,FALSE))</f>
        <v>#N/A</v>
      </c>
      <c r="N1925" s="7"/>
      <c r="O1925" s="7">
        <f t="shared" si="116"/>
        <v>0</v>
      </c>
      <c r="P1925" s="7">
        <f t="shared" si="117"/>
        <v>1</v>
      </c>
      <c r="Q1925" s="7">
        <f t="shared" si="118"/>
        <v>1900</v>
      </c>
      <c r="R1925" s="6">
        <f t="shared" si="119"/>
        <v>0</v>
      </c>
    </row>
    <row r="1926" spans="13:18">
      <c r="M1926" s="8" t="e">
        <f>IF(C1926="Caixa","-",VLOOKUP(J1926,[1]Estrutura!C:E,3,FALSE))</f>
        <v>#N/A</v>
      </c>
      <c r="N1926" s="8"/>
      <c r="O1926" s="7">
        <f t="shared" si="116"/>
        <v>0</v>
      </c>
      <c r="P1926" s="7">
        <f t="shared" si="117"/>
        <v>1</v>
      </c>
      <c r="Q1926" s="7">
        <f t="shared" si="118"/>
        <v>1900</v>
      </c>
      <c r="R1926" s="6">
        <f t="shared" si="119"/>
        <v>0</v>
      </c>
    </row>
    <row r="1927" spans="13:18">
      <c r="M1927" s="7" t="e">
        <f>IF(C1927="Caixa","-",VLOOKUP(J1927,[1]Estrutura!C:E,3,FALSE))</f>
        <v>#N/A</v>
      </c>
      <c r="N1927" s="7"/>
      <c r="O1927" s="7">
        <f t="shared" si="116"/>
        <v>0</v>
      </c>
      <c r="P1927" s="7">
        <f t="shared" si="117"/>
        <v>1</v>
      </c>
      <c r="Q1927" s="7">
        <f t="shared" si="118"/>
        <v>1900</v>
      </c>
      <c r="R1927" s="6">
        <f t="shared" si="119"/>
        <v>0</v>
      </c>
    </row>
    <row r="1928" spans="13:18">
      <c r="M1928" s="8" t="e">
        <f>IF(C1928="Caixa","-",VLOOKUP(J1928,[1]Estrutura!C:E,3,FALSE))</f>
        <v>#N/A</v>
      </c>
      <c r="N1928" s="8"/>
      <c r="O1928" s="7">
        <f t="shared" si="116"/>
        <v>0</v>
      </c>
      <c r="P1928" s="7">
        <f t="shared" si="117"/>
        <v>1</v>
      </c>
      <c r="Q1928" s="7">
        <f t="shared" si="118"/>
        <v>1900</v>
      </c>
      <c r="R1928" s="6">
        <f t="shared" si="119"/>
        <v>0</v>
      </c>
    </row>
    <row r="1929" spans="13:18">
      <c r="M1929" s="7" t="e">
        <f>IF(C1929="Caixa","-",VLOOKUP(J1929,[1]Estrutura!C:E,3,FALSE))</f>
        <v>#N/A</v>
      </c>
      <c r="N1929" s="7"/>
      <c r="O1929" s="7">
        <f t="shared" si="116"/>
        <v>0</v>
      </c>
      <c r="P1929" s="7">
        <f t="shared" si="117"/>
        <v>1</v>
      </c>
      <c r="Q1929" s="7">
        <f t="shared" si="118"/>
        <v>1900</v>
      </c>
      <c r="R1929" s="6">
        <f t="shared" si="119"/>
        <v>0</v>
      </c>
    </row>
    <row r="1930" spans="13:18">
      <c r="M1930" s="8" t="e">
        <f>IF(C1930="Caixa","-",VLOOKUP(J1930,[1]Estrutura!C:E,3,FALSE))</f>
        <v>#N/A</v>
      </c>
      <c r="N1930" s="8"/>
      <c r="O1930" s="7">
        <f t="shared" si="116"/>
        <v>0</v>
      </c>
      <c r="P1930" s="7">
        <f t="shared" si="117"/>
        <v>1</v>
      </c>
      <c r="Q1930" s="7">
        <f t="shared" si="118"/>
        <v>1900</v>
      </c>
      <c r="R1930" s="6">
        <f t="shared" si="119"/>
        <v>0</v>
      </c>
    </row>
    <row r="1931" spans="13:18">
      <c r="M1931" s="7" t="e">
        <f>IF(C1931="Caixa","-",VLOOKUP(J1931,[1]Estrutura!C:E,3,FALSE))</f>
        <v>#N/A</v>
      </c>
      <c r="N1931" s="7"/>
      <c r="O1931" s="7">
        <f t="shared" si="116"/>
        <v>0</v>
      </c>
      <c r="P1931" s="7">
        <f t="shared" si="117"/>
        <v>1</v>
      </c>
      <c r="Q1931" s="7">
        <f t="shared" si="118"/>
        <v>1900</v>
      </c>
      <c r="R1931" s="6">
        <f t="shared" si="119"/>
        <v>0</v>
      </c>
    </row>
    <row r="1932" spans="13:18">
      <c r="M1932" s="8" t="e">
        <f>IF(C1932="Caixa","-",VLOOKUP(J1932,[1]Estrutura!C:E,3,FALSE))</f>
        <v>#N/A</v>
      </c>
      <c r="N1932" s="8"/>
      <c r="O1932" s="7">
        <f t="shared" si="116"/>
        <v>0</v>
      </c>
      <c r="P1932" s="7">
        <f t="shared" si="117"/>
        <v>1</v>
      </c>
      <c r="Q1932" s="7">
        <f t="shared" si="118"/>
        <v>1900</v>
      </c>
      <c r="R1932" s="6">
        <f t="shared" si="119"/>
        <v>0</v>
      </c>
    </row>
    <row r="1933" spans="13:18">
      <c r="M1933" s="7" t="e">
        <f>IF(C1933="Caixa","-",VLOOKUP(J1933,[1]Estrutura!C:E,3,FALSE))</f>
        <v>#N/A</v>
      </c>
      <c r="N1933" s="7"/>
      <c r="O1933" s="7">
        <f t="shared" si="116"/>
        <v>0</v>
      </c>
      <c r="P1933" s="7">
        <f t="shared" si="117"/>
        <v>1</v>
      </c>
      <c r="Q1933" s="7">
        <f t="shared" si="118"/>
        <v>1900</v>
      </c>
      <c r="R1933" s="6">
        <f t="shared" si="119"/>
        <v>0</v>
      </c>
    </row>
    <row r="1934" spans="13:18">
      <c r="M1934" s="8" t="e">
        <f>IF(C1934="Caixa","-",VLOOKUP(J1934,[1]Estrutura!C:E,3,FALSE))</f>
        <v>#N/A</v>
      </c>
      <c r="N1934" s="8"/>
      <c r="O1934" s="7">
        <f t="shared" ref="O1934:O1997" si="120">DAY(A1934)</f>
        <v>0</v>
      </c>
      <c r="P1934" s="7">
        <f t="shared" ref="P1934:P1997" si="121">MONTH(A1934)</f>
        <v>1</v>
      </c>
      <c r="Q1934" s="7">
        <f t="shared" ref="Q1934:Q1997" si="122">YEAR(A1934)</f>
        <v>1900</v>
      </c>
      <c r="R1934" s="6">
        <f t="shared" ref="R1934:R1997" si="123">D1934-E1934</f>
        <v>0</v>
      </c>
    </row>
    <row r="1935" spans="13:18">
      <c r="M1935" s="7" t="e">
        <f>IF(C1935="Caixa","-",VLOOKUP(J1935,[1]Estrutura!C:E,3,FALSE))</f>
        <v>#N/A</v>
      </c>
      <c r="N1935" s="7"/>
      <c r="O1935" s="7">
        <f t="shared" si="120"/>
        <v>0</v>
      </c>
      <c r="P1935" s="7">
        <f t="shared" si="121"/>
        <v>1</v>
      </c>
      <c r="Q1935" s="7">
        <f t="shared" si="122"/>
        <v>1900</v>
      </c>
      <c r="R1935" s="6">
        <f t="shared" si="123"/>
        <v>0</v>
      </c>
    </row>
    <row r="1936" spans="13:18">
      <c r="M1936" s="8" t="e">
        <f>IF(C1936="Caixa","-",VLOOKUP(J1936,[1]Estrutura!C:E,3,FALSE))</f>
        <v>#N/A</v>
      </c>
      <c r="N1936" s="8"/>
      <c r="O1936" s="7">
        <f t="shared" si="120"/>
        <v>0</v>
      </c>
      <c r="P1936" s="7">
        <f t="shared" si="121"/>
        <v>1</v>
      </c>
      <c r="Q1936" s="7">
        <f t="shared" si="122"/>
        <v>1900</v>
      </c>
      <c r="R1936" s="6">
        <f t="shared" si="123"/>
        <v>0</v>
      </c>
    </row>
    <row r="1937" spans="13:18">
      <c r="M1937" s="7" t="e">
        <f>IF(C1937="Caixa","-",VLOOKUP(J1937,[1]Estrutura!C:E,3,FALSE))</f>
        <v>#N/A</v>
      </c>
      <c r="N1937" s="7"/>
      <c r="O1937" s="7">
        <f t="shared" si="120"/>
        <v>0</v>
      </c>
      <c r="P1937" s="7">
        <f t="shared" si="121"/>
        <v>1</v>
      </c>
      <c r="Q1937" s="7">
        <f t="shared" si="122"/>
        <v>1900</v>
      </c>
      <c r="R1937" s="6">
        <f t="shared" si="123"/>
        <v>0</v>
      </c>
    </row>
    <row r="1938" spans="13:18">
      <c r="M1938" s="8" t="e">
        <f>IF(C1938="Caixa","-",VLOOKUP(J1938,[1]Estrutura!C:E,3,FALSE))</f>
        <v>#N/A</v>
      </c>
      <c r="N1938" s="8"/>
      <c r="O1938" s="7">
        <f t="shared" si="120"/>
        <v>0</v>
      </c>
      <c r="P1938" s="7">
        <f t="shared" si="121"/>
        <v>1</v>
      </c>
      <c r="Q1938" s="7">
        <f t="shared" si="122"/>
        <v>1900</v>
      </c>
      <c r="R1938" s="6">
        <f t="shared" si="123"/>
        <v>0</v>
      </c>
    </row>
    <row r="1939" spans="13:18">
      <c r="M1939" s="7" t="e">
        <f>IF(C1939="Caixa","-",VLOOKUP(J1939,[1]Estrutura!C:E,3,FALSE))</f>
        <v>#N/A</v>
      </c>
      <c r="N1939" s="7"/>
      <c r="O1939" s="7">
        <f t="shared" si="120"/>
        <v>0</v>
      </c>
      <c r="P1939" s="7">
        <f t="shared" si="121"/>
        <v>1</v>
      </c>
      <c r="Q1939" s="7">
        <f t="shared" si="122"/>
        <v>1900</v>
      </c>
      <c r="R1939" s="6">
        <f t="shared" si="123"/>
        <v>0</v>
      </c>
    </row>
    <row r="1940" spans="13:18">
      <c r="M1940" s="8" t="e">
        <f>IF(C1940="Caixa","-",VLOOKUP(J1940,[1]Estrutura!C:E,3,FALSE))</f>
        <v>#N/A</v>
      </c>
      <c r="N1940" s="8"/>
      <c r="O1940" s="7">
        <f t="shared" si="120"/>
        <v>0</v>
      </c>
      <c r="P1940" s="7">
        <f t="shared" si="121"/>
        <v>1</v>
      </c>
      <c r="Q1940" s="7">
        <f t="shared" si="122"/>
        <v>1900</v>
      </c>
      <c r="R1940" s="6">
        <f t="shared" si="123"/>
        <v>0</v>
      </c>
    </row>
    <row r="1941" spans="13:18">
      <c r="M1941" s="7" t="e">
        <f>IF(C1941="Caixa","-",VLOOKUP(J1941,[1]Estrutura!C:E,3,FALSE))</f>
        <v>#N/A</v>
      </c>
      <c r="N1941" s="7"/>
      <c r="O1941" s="7">
        <f t="shared" si="120"/>
        <v>0</v>
      </c>
      <c r="P1941" s="7">
        <f t="shared" si="121"/>
        <v>1</v>
      </c>
      <c r="Q1941" s="7">
        <f t="shared" si="122"/>
        <v>1900</v>
      </c>
      <c r="R1941" s="6">
        <f t="shared" si="123"/>
        <v>0</v>
      </c>
    </row>
    <row r="1942" spans="13:18">
      <c r="M1942" s="8" t="e">
        <f>IF(C1942="Caixa","-",VLOOKUP(J1942,[1]Estrutura!C:E,3,FALSE))</f>
        <v>#N/A</v>
      </c>
      <c r="N1942" s="8"/>
      <c r="O1942" s="7">
        <f t="shared" si="120"/>
        <v>0</v>
      </c>
      <c r="P1942" s="7">
        <f t="shared" si="121"/>
        <v>1</v>
      </c>
      <c r="Q1942" s="7">
        <f t="shared" si="122"/>
        <v>1900</v>
      </c>
      <c r="R1942" s="6">
        <f t="shared" si="123"/>
        <v>0</v>
      </c>
    </row>
    <row r="1943" spans="13:18">
      <c r="M1943" s="7" t="e">
        <f>IF(C1943="Caixa","-",VLOOKUP(J1943,[1]Estrutura!C:E,3,FALSE))</f>
        <v>#N/A</v>
      </c>
      <c r="N1943" s="7"/>
      <c r="O1943" s="7">
        <f t="shared" si="120"/>
        <v>0</v>
      </c>
      <c r="P1943" s="7">
        <f t="shared" si="121"/>
        <v>1</v>
      </c>
      <c r="Q1943" s="7">
        <f t="shared" si="122"/>
        <v>1900</v>
      </c>
      <c r="R1943" s="6">
        <f t="shared" si="123"/>
        <v>0</v>
      </c>
    </row>
    <row r="1944" spans="13:18">
      <c r="M1944" s="8" t="e">
        <f>IF(C1944="Caixa","-",VLOOKUP(J1944,[1]Estrutura!C:E,3,FALSE))</f>
        <v>#N/A</v>
      </c>
      <c r="N1944" s="8"/>
      <c r="O1944" s="7">
        <f t="shared" si="120"/>
        <v>0</v>
      </c>
      <c r="P1944" s="7">
        <f t="shared" si="121"/>
        <v>1</v>
      </c>
      <c r="Q1944" s="7">
        <f t="shared" si="122"/>
        <v>1900</v>
      </c>
      <c r="R1944" s="6">
        <f t="shared" si="123"/>
        <v>0</v>
      </c>
    </row>
    <row r="1945" spans="13:18">
      <c r="M1945" s="7" t="e">
        <f>IF(C1945="Caixa","-",VLOOKUP(J1945,[1]Estrutura!C:E,3,FALSE))</f>
        <v>#N/A</v>
      </c>
      <c r="N1945" s="7"/>
      <c r="O1945" s="7">
        <f t="shared" si="120"/>
        <v>0</v>
      </c>
      <c r="P1945" s="7">
        <f t="shared" si="121"/>
        <v>1</v>
      </c>
      <c r="Q1945" s="7">
        <f t="shared" si="122"/>
        <v>1900</v>
      </c>
      <c r="R1945" s="6">
        <f t="shared" si="123"/>
        <v>0</v>
      </c>
    </row>
    <row r="1946" spans="13:18">
      <c r="M1946" s="8" t="e">
        <f>IF(C1946="Caixa","-",VLOOKUP(J1946,[1]Estrutura!C:E,3,FALSE))</f>
        <v>#N/A</v>
      </c>
      <c r="N1946" s="8"/>
      <c r="O1946" s="7">
        <f t="shared" si="120"/>
        <v>0</v>
      </c>
      <c r="P1946" s="7">
        <f t="shared" si="121"/>
        <v>1</v>
      </c>
      <c r="Q1946" s="7">
        <f t="shared" si="122"/>
        <v>1900</v>
      </c>
      <c r="R1946" s="6">
        <f t="shared" si="123"/>
        <v>0</v>
      </c>
    </row>
    <row r="1947" spans="13:18">
      <c r="M1947" s="7" t="e">
        <f>IF(C1947="Caixa","-",VLOOKUP(J1947,[1]Estrutura!C:E,3,FALSE))</f>
        <v>#N/A</v>
      </c>
      <c r="N1947" s="7"/>
      <c r="O1947" s="7">
        <f t="shared" si="120"/>
        <v>0</v>
      </c>
      <c r="P1947" s="7">
        <f t="shared" si="121"/>
        <v>1</v>
      </c>
      <c r="Q1947" s="7">
        <f t="shared" si="122"/>
        <v>1900</v>
      </c>
      <c r="R1947" s="6">
        <f t="shared" si="123"/>
        <v>0</v>
      </c>
    </row>
    <row r="1948" spans="13:18">
      <c r="M1948" s="8" t="e">
        <f>IF(C1948="Caixa","-",VLOOKUP(J1948,[1]Estrutura!C:E,3,FALSE))</f>
        <v>#N/A</v>
      </c>
      <c r="N1948" s="8"/>
      <c r="O1948" s="7">
        <f t="shared" si="120"/>
        <v>0</v>
      </c>
      <c r="P1948" s="7">
        <f t="shared" si="121"/>
        <v>1</v>
      </c>
      <c r="Q1948" s="7">
        <f t="shared" si="122"/>
        <v>1900</v>
      </c>
      <c r="R1948" s="6">
        <f t="shared" si="123"/>
        <v>0</v>
      </c>
    </row>
    <row r="1949" spans="13:18">
      <c r="M1949" s="7" t="e">
        <f>IF(C1949="Caixa","-",VLOOKUP(J1949,[1]Estrutura!C:E,3,FALSE))</f>
        <v>#N/A</v>
      </c>
      <c r="N1949" s="7"/>
      <c r="O1949" s="7">
        <f t="shared" si="120"/>
        <v>0</v>
      </c>
      <c r="P1949" s="7">
        <f t="shared" si="121"/>
        <v>1</v>
      </c>
      <c r="Q1949" s="7">
        <f t="shared" si="122"/>
        <v>1900</v>
      </c>
      <c r="R1949" s="6">
        <f t="shared" si="123"/>
        <v>0</v>
      </c>
    </row>
    <row r="1950" spans="13:18">
      <c r="M1950" s="8" t="e">
        <f>IF(C1950="Caixa","-",VLOOKUP(J1950,[1]Estrutura!C:E,3,FALSE))</f>
        <v>#N/A</v>
      </c>
      <c r="N1950" s="8"/>
      <c r="O1950" s="7">
        <f t="shared" si="120"/>
        <v>0</v>
      </c>
      <c r="P1950" s="7">
        <f t="shared" si="121"/>
        <v>1</v>
      </c>
      <c r="Q1950" s="7">
        <f t="shared" si="122"/>
        <v>1900</v>
      </c>
      <c r="R1950" s="6">
        <f t="shared" si="123"/>
        <v>0</v>
      </c>
    </row>
    <row r="1951" spans="13:18">
      <c r="M1951" s="7" t="e">
        <f>IF(C1951="Caixa","-",VLOOKUP(J1951,[1]Estrutura!C:E,3,FALSE))</f>
        <v>#N/A</v>
      </c>
      <c r="N1951" s="7"/>
      <c r="O1951" s="7">
        <f t="shared" si="120"/>
        <v>0</v>
      </c>
      <c r="P1951" s="7">
        <f t="shared" si="121"/>
        <v>1</v>
      </c>
      <c r="Q1951" s="7">
        <f t="shared" si="122"/>
        <v>1900</v>
      </c>
      <c r="R1951" s="6">
        <f t="shared" si="123"/>
        <v>0</v>
      </c>
    </row>
    <row r="1952" spans="13:18">
      <c r="M1952" s="8" t="e">
        <f>IF(C1952="Caixa","-",VLOOKUP(J1952,[1]Estrutura!C:E,3,FALSE))</f>
        <v>#N/A</v>
      </c>
      <c r="N1952" s="8"/>
      <c r="O1952" s="7">
        <f t="shared" si="120"/>
        <v>0</v>
      </c>
      <c r="P1952" s="7">
        <f t="shared" si="121"/>
        <v>1</v>
      </c>
      <c r="Q1952" s="7">
        <f t="shared" si="122"/>
        <v>1900</v>
      </c>
      <c r="R1952" s="6">
        <f t="shared" si="123"/>
        <v>0</v>
      </c>
    </row>
    <row r="1953" spans="13:18">
      <c r="M1953" s="7" t="e">
        <f>IF(C1953="Caixa","-",VLOOKUP(J1953,[1]Estrutura!C:E,3,FALSE))</f>
        <v>#N/A</v>
      </c>
      <c r="N1953" s="7"/>
      <c r="O1953" s="7">
        <f t="shared" si="120"/>
        <v>0</v>
      </c>
      <c r="P1953" s="7">
        <f t="shared" si="121"/>
        <v>1</v>
      </c>
      <c r="Q1953" s="7">
        <f t="shared" si="122"/>
        <v>1900</v>
      </c>
      <c r="R1953" s="6">
        <f t="shared" si="123"/>
        <v>0</v>
      </c>
    </row>
    <row r="1954" spans="13:18">
      <c r="M1954" s="8" t="e">
        <f>IF(C1954="Caixa","-",VLOOKUP(J1954,[1]Estrutura!C:E,3,FALSE))</f>
        <v>#N/A</v>
      </c>
      <c r="N1954" s="8"/>
      <c r="O1954" s="7">
        <f t="shared" si="120"/>
        <v>0</v>
      </c>
      <c r="P1954" s="7">
        <f t="shared" si="121"/>
        <v>1</v>
      </c>
      <c r="Q1954" s="7">
        <f t="shared" si="122"/>
        <v>1900</v>
      </c>
      <c r="R1954" s="6">
        <f t="shared" si="123"/>
        <v>0</v>
      </c>
    </row>
    <row r="1955" spans="13:18">
      <c r="M1955" s="7" t="e">
        <f>IF(C1955="Caixa","-",VLOOKUP(J1955,[1]Estrutura!C:E,3,FALSE))</f>
        <v>#N/A</v>
      </c>
      <c r="N1955" s="7"/>
      <c r="O1955" s="7">
        <f t="shared" si="120"/>
        <v>0</v>
      </c>
      <c r="P1955" s="7">
        <f t="shared" si="121"/>
        <v>1</v>
      </c>
      <c r="Q1955" s="7">
        <f t="shared" si="122"/>
        <v>1900</v>
      </c>
      <c r="R1955" s="6">
        <f t="shared" si="123"/>
        <v>0</v>
      </c>
    </row>
    <row r="1956" spans="13:18">
      <c r="M1956" s="8" t="e">
        <f>IF(C1956="Caixa","-",VLOOKUP(J1956,[1]Estrutura!C:E,3,FALSE))</f>
        <v>#N/A</v>
      </c>
      <c r="N1956" s="8"/>
      <c r="O1956" s="7">
        <f t="shared" si="120"/>
        <v>0</v>
      </c>
      <c r="P1956" s="7">
        <f t="shared" si="121"/>
        <v>1</v>
      </c>
      <c r="Q1956" s="7">
        <f t="shared" si="122"/>
        <v>1900</v>
      </c>
      <c r="R1956" s="6">
        <f t="shared" si="123"/>
        <v>0</v>
      </c>
    </row>
    <row r="1957" spans="13:18">
      <c r="M1957" s="7" t="e">
        <f>IF(C1957="Caixa","-",VLOOKUP(J1957,[1]Estrutura!C:E,3,FALSE))</f>
        <v>#N/A</v>
      </c>
      <c r="N1957" s="7"/>
      <c r="O1957" s="7">
        <f t="shared" si="120"/>
        <v>0</v>
      </c>
      <c r="P1957" s="7">
        <f t="shared" si="121"/>
        <v>1</v>
      </c>
      <c r="Q1957" s="7">
        <f t="shared" si="122"/>
        <v>1900</v>
      </c>
      <c r="R1957" s="6">
        <f t="shared" si="123"/>
        <v>0</v>
      </c>
    </row>
    <row r="1958" spans="13:18">
      <c r="M1958" s="8" t="e">
        <f>IF(C1958="Caixa","-",VLOOKUP(J1958,[1]Estrutura!C:E,3,FALSE))</f>
        <v>#N/A</v>
      </c>
      <c r="N1958" s="8"/>
      <c r="O1958" s="7">
        <f t="shared" si="120"/>
        <v>0</v>
      </c>
      <c r="P1958" s="7">
        <f t="shared" si="121"/>
        <v>1</v>
      </c>
      <c r="Q1958" s="7">
        <f t="shared" si="122"/>
        <v>1900</v>
      </c>
      <c r="R1958" s="6">
        <f t="shared" si="123"/>
        <v>0</v>
      </c>
    </row>
    <row r="1959" spans="13:18">
      <c r="M1959" s="7" t="e">
        <f>IF(C1959="Caixa","-",VLOOKUP(J1959,[1]Estrutura!C:E,3,FALSE))</f>
        <v>#N/A</v>
      </c>
      <c r="N1959" s="7"/>
      <c r="O1959" s="7">
        <f t="shared" si="120"/>
        <v>0</v>
      </c>
      <c r="P1959" s="7">
        <f t="shared" si="121"/>
        <v>1</v>
      </c>
      <c r="Q1959" s="7">
        <f t="shared" si="122"/>
        <v>1900</v>
      </c>
      <c r="R1959" s="6">
        <f t="shared" si="123"/>
        <v>0</v>
      </c>
    </row>
    <row r="1960" spans="13:18">
      <c r="M1960" s="8" t="e">
        <f>IF(C1960="Caixa","-",VLOOKUP(J1960,[1]Estrutura!C:E,3,FALSE))</f>
        <v>#N/A</v>
      </c>
      <c r="N1960" s="8"/>
      <c r="O1960" s="7">
        <f t="shared" si="120"/>
        <v>0</v>
      </c>
      <c r="P1960" s="7">
        <f t="shared" si="121"/>
        <v>1</v>
      </c>
      <c r="Q1960" s="7">
        <f t="shared" si="122"/>
        <v>1900</v>
      </c>
      <c r="R1960" s="6">
        <f t="shared" si="123"/>
        <v>0</v>
      </c>
    </row>
    <row r="1961" spans="13:18">
      <c r="M1961" s="7" t="e">
        <f>IF(C1961="Caixa","-",VLOOKUP(J1961,[1]Estrutura!C:E,3,FALSE))</f>
        <v>#N/A</v>
      </c>
      <c r="N1961" s="7"/>
      <c r="O1961" s="7">
        <f t="shared" si="120"/>
        <v>0</v>
      </c>
      <c r="P1961" s="7">
        <f t="shared" si="121"/>
        <v>1</v>
      </c>
      <c r="Q1961" s="7">
        <f t="shared" si="122"/>
        <v>1900</v>
      </c>
      <c r="R1961" s="6">
        <f t="shared" si="123"/>
        <v>0</v>
      </c>
    </row>
    <row r="1962" spans="13:18">
      <c r="M1962" s="8" t="e">
        <f>IF(C1962="Caixa","-",VLOOKUP(J1962,[1]Estrutura!C:E,3,FALSE))</f>
        <v>#N/A</v>
      </c>
      <c r="N1962" s="8"/>
      <c r="O1962" s="7">
        <f t="shared" si="120"/>
        <v>0</v>
      </c>
      <c r="P1962" s="7">
        <f t="shared" si="121"/>
        <v>1</v>
      </c>
      <c r="Q1962" s="7">
        <f t="shared" si="122"/>
        <v>1900</v>
      </c>
      <c r="R1962" s="6">
        <f t="shared" si="123"/>
        <v>0</v>
      </c>
    </row>
    <row r="1963" spans="13:18">
      <c r="M1963" s="7" t="e">
        <f>IF(C1963="Caixa","-",VLOOKUP(J1963,[1]Estrutura!C:E,3,FALSE))</f>
        <v>#N/A</v>
      </c>
      <c r="N1963" s="7"/>
      <c r="O1963" s="7">
        <f t="shared" si="120"/>
        <v>0</v>
      </c>
      <c r="P1963" s="7">
        <f t="shared" si="121"/>
        <v>1</v>
      </c>
      <c r="Q1963" s="7">
        <f t="shared" si="122"/>
        <v>1900</v>
      </c>
      <c r="R1963" s="6">
        <f t="shared" si="123"/>
        <v>0</v>
      </c>
    </row>
    <row r="1964" spans="13:18">
      <c r="M1964" s="8" t="e">
        <f>IF(C1964="Caixa","-",VLOOKUP(J1964,[1]Estrutura!C:E,3,FALSE))</f>
        <v>#N/A</v>
      </c>
      <c r="N1964" s="8"/>
      <c r="O1964" s="7">
        <f t="shared" si="120"/>
        <v>0</v>
      </c>
      <c r="P1964" s="7">
        <f t="shared" si="121"/>
        <v>1</v>
      </c>
      <c r="Q1964" s="7">
        <f t="shared" si="122"/>
        <v>1900</v>
      </c>
      <c r="R1964" s="6">
        <f t="shared" si="123"/>
        <v>0</v>
      </c>
    </row>
    <row r="1965" spans="13:18">
      <c r="M1965" s="7" t="e">
        <f>IF(C1965="Caixa","-",VLOOKUP(J1965,[1]Estrutura!C:E,3,FALSE))</f>
        <v>#N/A</v>
      </c>
      <c r="N1965" s="7"/>
      <c r="O1965" s="7">
        <f t="shared" si="120"/>
        <v>0</v>
      </c>
      <c r="P1965" s="7">
        <f t="shared" si="121"/>
        <v>1</v>
      </c>
      <c r="Q1965" s="7">
        <f t="shared" si="122"/>
        <v>1900</v>
      </c>
      <c r="R1965" s="6">
        <f t="shared" si="123"/>
        <v>0</v>
      </c>
    </row>
    <row r="1966" spans="13:18">
      <c r="M1966" s="8" t="e">
        <f>IF(C1966="Caixa","-",VLOOKUP(J1966,[1]Estrutura!C:E,3,FALSE))</f>
        <v>#N/A</v>
      </c>
      <c r="N1966" s="8"/>
      <c r="O1966" s="7">
        <f t="shared" si="120"/>
        <v>0</v>
      </c>
      <c r="P1966" s="7">
        <f t="shared" si="121"/>
        <v>1</v>
      </c>
      <c r="Q1966" s="7">
        <f t="shared" si="122"/>
        <v>1900</v>
      </c>
      <c r="R1966" s="6">
        <f t="shared" si="123"/>
        <v>0</v>
      </c>
    </row>
    <row r="1967" spans="13:18">
      <c r="M1967" s="7" t="e">
        <f>IF(C1967="Caixa","-",VLOOKUP(J1967,[1]Estrutura!C:E,3,FALSE))</f>
        <v>#N/A</v>
      </c>
      <c r="N1967" s="7"/>
      <c r="O1967" s="7">
        <f t="shared" si="120"/>
        <v>0</v>
      </c>
      <c r="P1967" s="7">
        <f t="shared" si="121"/>
        <v>1</v>
      </c>
      <c r="Q1967" s="7">
        <f t="shared" si="122"/>
        <v>1900</v>
      </c>
      <c r="R1967" s="6">
        <f t="shared" si="123"/>
        <v>0</v>
      </c>
    </row>
    <row r="1968" spans="13:18">
      <c r="M1968" s="8" t="e">
        <f>IF(C1968="Caixa","-",VLOOKUP(J1968,[1]Estrutura!C:E,3,FALSE))</f>
        <v>#N/A</v>
      </c>
      <c r="N1968" s="8"/>
      <c r="O1968" s="7">
        <f t="shared" si="120"/>
        <v>0</v>
      </c>
      <c r="P1968" s="7">
        <f t="shared" si="121"/>
        <v>1</v>
      </c>
      <c r="Q1968" s="7">
        <f t="shared" si="122"/>
        <v>1900</v>
      </c>
      <c r="R1968" s="6">
        <f t="shared" si="123"/>
        <v>0</v>
      </c>
    </row>
    <row r="1969" spans="13:18">
      <c r="M1969" s="7" t="e">
        <f>IF(C1969="Caixa","-",VLOOKUP(J1969,[1]Estrutura!C:E,3,FALSE))</f>
        <v>#N/A</v>
      </c>
      <c r="N1969" s="7"/>
      <c r="O1969" s="7">
        <f t="shared" si="120"/>
        <v>0</v>
      </c>
      <c r="P1969" s="7">
        <f t="shared" si="121"/>
        <v>1</v>
      </c>
      <c r="Q1969" s="7">
        <f t="shared" si="122"/>
        <v>1900</v>
      </c>
      <c r="R1969" s="6">
        <f t="shared" si="123"/>
        <v>0</v>
      </c>
    </row>
    <row r="1970" spans="13:18">
      <c r="M1970" s="8" t="e">
        <f>IF(C1970="Caixa","-",VLOOKUP(J1970,[1]Estrutura!C:E,3,FALSE))</f>
        <v>#N/A</v>
      </c>
      <c r="N1970" s="8"/>
      <c r="O1970" s="7">
        <f t="shared" si="120"/>
        <v>0</v>
      </c>
      <c r="P1970" s="7">
        <f t="shared" si="121"/>
        <v>1</v>
      </c>
      <c r="Q1970" s="7">
        <f t="shared" si="122"/>
        <v>1900</v>
      </c>
      <c r="R1970" s="6">
        <f t="shared" si="123"/>
        <v>0</v>
      </c>
    </row>
    <row r="1971" spans="13:18">
      <c r="M1971" s="7" t="e">
        <f>IF(C1971="Caixa","-",VLOOKUP(J1971,[1]Estrutura!C:E,3,FALSE))</f>
        <v>#N/A</v>
      </c>
      <c r="N1971" s="7"/>
      <c r="O1971" s="7">
        <f t="shared" si="120"/>
        <v>0</v>
      </c>
      <c r="P1971" s="7">
        <f t="shared" si="121"/>
        <v>1</v>
      </c>
      <c r="Q1971" s="7">
        <f t="shared" si="122"/>
        <v>1900</v>
      </c>
      <c r="R1971" s="6">
        <f t="shared" si="123"/>
        <v>0</v>
      </c>
    </row>
    <row r="1972" spans="13:18">
      <c r="M1972" s="8" t="e">
        <f>IF(C1972="Caixa","-",VLOOKUP(J1972,[1]Estrutura!C:E,3,FALSE))</f>
        <v>#N/A</v>
      </c>
      <c r="N1972" s="8"/>
      <c r="O1972" s="7">
        <f t="shared" si="120"/>
        <v>0</v>
      </c>
      <c r="P1972" s="7">
        <f t="shared" si="121"/>
        <v>1</v>
      </c>
      <c r="Q1972" s="7">
        <f t="shared" si="122"/>
        <v>1900</v>
      </c>
      <c r="R1972" s="6">
        <f t="shared" si="123"/>
        <v>0</v>
      </c>
    </row>
    <row r="1973" spans="13:18">
      <c r="M1973" s="7" t="e">
        <f>IF(C1973="Caixa","-",VLOOKUP(J1973,[1]Estrutura!C:E,3,FALSE))</f>
        <v>#N/A</v>
      </c>
      <c r="N1973" s="7"/>
      <c r="O1973" s="7">
        <f t="shared" si="120"/>
        <v>0</v>
      </c>
      <c r="P1973" s="7">
        <f t="shared" si="121"/>
        <v>1</v>
      </c>
      <c r="Q1973" s="7">
        <f t="shared" si="122"/>
        <v>1900</v>
      </c>
      <c r="R1973" s="6">
        <f t="shared" si="123"/>
        <v>0</v>
      </c>
    </row>
    <row r="1974" spans="13:18">
      <c r="M1974" s="8" t="e">
        <f>IF(C1974="Caixa","-",VLOOKUP(J1974,[1]Estrutura!C:E,3,FALSE))</f>
        <v>#N/A</v>
      </c>
      <c r="N1974" s="8"/>
      <c r="O1974" s="7">
        <f t="shared" si="120"/>
        <v>0</v>
      </c>
      <c r="P1974" s="7">
        <f t="shared" si="121"/>
        <v>1</v>
      </c>
      <c r="Q1974" s="7">
        <f t="shared" si="122"/>
        <v>1900</v>
      </c>
      <c r="R1974" s="6">
        <f t="shared" si="123"/>
        <v>0</v>
      </c>
    </row>
    <row r="1975" spans="13:18">
      <c r="M1975" s="7" t="e">
        <f>IF(C1975="Caixa","-",VLOOKUP(J1975,[1]Estrutura!C:E,3,FALSE))</f>
        <v>#N/A</v>
      </c>
      <c r="N1975" s="7"/>
      <c r="O1975" s="7">
        <f t="shared" si="120"/>
        <v>0</v>
      </c>
      <c r="P1975" s="7">
        <f t="shared" si="121"/>
        <v>1</v>
      </c>
      <c r="Q1975" s="7">
        <f t="shared" si="122"/>
        <v>1900</v>
      </c>
      <c r="R1975" s="6">
        <f t="shared" si="123"/>
        <v>0</v>
      </c>
    </row>
    <row r="1976" spans="13:18">
      <c r="M1976" s="8" t="e">
        <f>IF(C1976="Caixa","-",VLOOKUP(J1976,[1]Estrutura!C:E,3,FALSE))</f>
        <v>#N/A</v>
      </c>
      <c r="N1976" s="8"/>
      <c r="O1976" s="7">
        <f t="shared" si="120"/>
        <v>0</v>
      </c>
      <c r="P1976" s="7">
        <f t="shared" si="121"/>
        <v>1</v>
      </c>
      <c r="Q1976" s="7">
        <f t="shared" si="122"/>
        <v>1900</v>
      </c>
      <c r="R1976" s="6">
        <f t="shared" si="123"/>
        <v>0</v>
      </c>
    </row>
    <row r="1977" spans="13:18">
      <c r="M1977" s="7" t="e">
        <f>IF(C1977="Caixa","-",VLOOKUP(J1977,[1]Estrutura!C:E,3,FALSE))</f>
        <v>#N/A</v>
      </c>
      <c r="N1977" s="7"/>
      <c r="O1977" s="7">
        <f t="shared" si="120"/>
        <v>0</v>
      </c>
      <c r="P1977" s="7">
        <f t="shared" si="121"/>
        <v>1</v>
      </c>
      <c r="Q1977" s="7">
        <f t="shared" si="122"/>
        <v>1900</v>
      </c>
      <c r="R1977" s="6">
        <f t="shared" si="123"/>
        <v>0</v>
      </c>
    </row>
    <row r="1978" spans="13:18">
      <c r="M1978" s="8" t="e">
        <f>IF(C1978="Caixa","-",VLOOKUP(J1978,[1]Estrutura!C:E,3,FALSE))</f>
        <v>#N/A</v>
      </c>
      <c r="N1978" s="8"/>
      <c r="O1978" s="7">
        <f t="shared" si="120"/>
        <v>0</v>
      </c>
      <c r="P1978" s="7">
        <f t="shared" si="121"/>
        <v>1</v>
      </c>
      <c r="Q1978" s="7">
        <f t="shared" si="122"/>
        <v>1900</v>
      </c>
      <c r="R1978" s="6">
        <f t="shared" si="123"/>
        <v>0</v>
      </c>
    </row>
    <row r="1979" spans="13:18">
      <c r="M1979" s="7" t="e">
        <f>IF(C1979="Caixa","-",VLOOKUP(J1979,[1]Estrutura!C:E,3,FALSE))</f>
        <v>#N/A</v>
      </c>
      <c r="N1979" s="7"/>
      <c r="O1979" s="7">
        <f t="shared" si="120"/>
        <v>0</v>
      </c>
      <c r="P1979" s="7">
        <f t="shared" si="121"/>
        <v>1</v>
      </c>
      <c r="Q1979" s="7">
        <f t="shared" si="122"/>
        <v>1900</v>
      </c>
      <c r="R1979" s="6">
        <f t="shared" si="123"/>
        <v>0</v>
      </c>
    </row>
    <row r="1980" spans="13:18">
      <c r="M1980" s="8" t="e">
        <f>IF(C1980="Caixa","-",VLOOKUP(J1980,[1]Estrutura!C:E,3,FALSE))</f>
        <v>#N/A</v>
      </c>
      <c r="N1980" s="8"/>
      <c r="O1980" s="7">
        <f t="shared" si="120"/>
        <v>0</v>
      </c>
      <c r="P1980" s="7">
        <f t="shared" si="121"/>
        <v>1</v>
      </c>
      <c r="Q1980" s="7">
        <f t="shared" si="122"/>
        <v>1900</v>
      </c>
      <c r="R1980" s="6">
        <f t="shared" si="123"/>
        <v>0</v>
      </c>
    </row>
    <row r="1981" spans="13:18">
      <c r="M1981" s="7" t="e">
        <f>IF(C1981="Caixa","-",VLOOKUP(J1981,[1]Estrutura!C:E,3,FALSE))</f>
        <v>#N/A</v>
      </c>
      <c r="N1981" s="7"/>
      <c r="O1981" s="7">
        <f t="shared" si="120"/>
        <v>0</v>
      </c>
      <c r="P1981" s="7">
        <f t="shared" si="121"/>
        <v>1</v>
      </c>
      <c r="Q1981" s="7">
        <f t="shared" si="122"/>
        <v>1900</v>
      </c>
      <c r="R1981" s="6">
        <f t="shared" si="123"/>
        <v>0</v>
      </c>
    </row>
    <row r="1982" spans="13:18">
      <c r="M1982" s="8" t="e">
        <f>IF(C1982="Caixa","-",VLOOKUP(J1982,[1]Estrutura!C:E,3,FALSE))</f>
        <v>#N/A</v>
      </c>
      <c r="N1982" s="8"/>
      <c r="O1982" s="7">
        <f t="shared" si="120"/>
        <v>0</v>
      </c>
      <c r="P1982" s="7">
        <f t="shared" si="121"/>
        <v>1</v>
      </c>
      <c r="Q1982" s="7">
        <f t="shared" si="122"/>
        <v>1900</v>
      </c>
      <c r="R1982" s="6">
        <f t="shared" si="123"/>
        <v>0</v>
      </c>
    </row>
    <row r="1983" spans="13:18">
      <c r="M1983" s="7" t="e">
        <f>IF(C1983="Caixa","-",VLOOKUP(J1983,[1]Estrutura!C:E,3,FALSE))</f>
        <v>#N/A</v>
      </c>
      <c r="N1983" s="7"/>
      <c r="O1983" s="7">
        <f t="shared" si="120"/>
        <v>0</v>
      </c>
      <c r="P1983" s="7">
        <f t="shared" si="121"/>
        <v>1</v>
      </c>
      <c r="Q1983" s="7">
        <f t="shared" si="122"/>
        <v>1900</v>
      </c>
      <c r="R1983" s="6">
        <f t="shared" si="123"/>
        <v>0</v>
      </c>
    </row>
    <row r="1984" spans="13:18">
      <c r="M1984" s="8" t="e">
        <f>IF(C1984="Caixa","-",VLOOKUP(J1984,[1]Estrutura!C:E,3,FALSE))</f>
        <v>#N/A</v>
      </c>
      <c r="N1984" s="8"/>
      <c r="O1984" s="7">
        <f t="shared" si="120"/>
        <v>0</v>
      </c>
      <c r="P1984" s="7">
        <f t="shared" si="121"/>
        <v>1</v>
      </c>
      <c r="Q1984" s="7">
        <f t="shared" si="122"/>
        <v>1900</v>
      </c>
      <c r="R1984" s="6">
        <f t="shared" si="123"/>
        <v>0</v>
      </c>
    </row>
    <row r="1985" spans="13:18">
      <c r="M1985" s="7" t="e">
        <f>IF(C1985="Caixa","-",VLOOKUP(J1985,[1]Estrutura!C:E,3,FALSE))</f>
        <v>#N/A</v>
      </c>
      <c r="N1985" s="7"/>
      <c r="O1985" s="7">
        <f t="shared" si="120"/>
        <v>0</v>
      </c>
      <c r="P1985" s="7">
        <f t="shared" si="121"/>
        <v>1</v>
      </c>
      <c r="Q1985" s="7">
        <f t="shared" si="122"/>
        <v>1900</v>
      </c>
      <c r="R1985" s="6">
        <f t="shared" si="123"/>
        <v>0</v>
      </c>
    </row>
    <row r="1986" spans="13:18">
      <c r="M1986" s="8" t="e">
        <f>IF(C1986="Caixa","-",VLOOKUP(J1986,[1]Estrutura!C:E,3,FALSE))</f>
        <v>#N/A</v>
      </c>
      <c r="N1986" s="8"/>
      <c r="O1986" s="7">
        <f t="shared" si="120"/>
        <v>0</v>
      </c>
      <c r="P1986" s="7">
        <f t="shared" si="121"/>
        <v>1</v>
      </c>
      <c r="Q1986" s="7">
        <f t="shared" si="122"/>
        <v>1900</v>
      </c>
      <c r="R1986" s="6">
        <f t="shared" si="123"/>
        <v>0</v>
      </c>
    </row>
    <row r="1987" spans="13:18">
      <c r="M1987" s="7" t="e">
        <f>IF(C1987="Caixa","-",VLOOKUP(J1987,[1]Estrutura!C:E,3,FALSE))</f>
        <v>#N/A</v>
      </c>
      <c r="N1987" s="7"/>
      <c r="O1987" s="7">
        <f t="shared" si="120"/>
        <v>0</v>
      </c>
      <c r="P1987" s="7">
        <f t="shared" si="121"/>
        <v>1</v>
      </c>
      <c r="Q1987" s="7">
        <f t="shared" si="122"/>
        <v>1900</v>
      </c>
      <c r="R1987" s="6">
        <f t="shared" si="123"/>
        <v>0</v>
      </c>
    </row>
    <row r="1988" spans="13:18">
      <c r="M1988" s="8" t="e">
        <f>IF(C1988="Caixa","-",VLOOKUP(J1988,[1]Estrutura!C:E,3,FALSE))</f>
        <v>#N/A</v>
      </c>
      <c r="N1988" s="8"/>
      <c r="O1988" s="7">
        <f t="shared" si="120"/>
        <v>0</v>
      </c>
      <c r="P1988" s="7">
        <f t="shared" si="121"/>
        <v>1</v>
      </c>
      <c r="Q1988" s="7">
        <f t="shared" si="122"/>
        <v>1900</v>
      </c>
      <c r="R1988" s="6">
        <f t="shared" si="123"/>
        <v>0</v>
      </c>
    </row>
    <row r="1989" spans="13:18">
      <c r="M1989" s="7" t="e">
        <f>IF(C1989="Caixa","-",VLOOKUP(J1989,[1]Estrutura!C:E,3,FALSE))</f>
        <v>#N/A</v>
      </c>
      <c r="N1989" s="7"/>
      <c r="O1989" s="7">
        <f t="shared" si="120"/>
        <v>0</v>
      </c>
      <c r="P1989" s="7">
        <f t="shared" si="121"/>
        <v>1</v>
      </c>
      <c r="Q1989" s="7">
        <f t="shared" si="122"/>
        <v>1900</v>
      </c>
      <c r="R1989" s="6">
        <f t="shared" si="123"/>
        <v>0</v>
      </c>
    </row>
    <row r="1990" spans="13:18">
      <c r="M1990" s="8" t="e">
        <f>IF(C1990="Caixa","-",VLOOKUP(J1990,[1]Estrutura!C:E,3,FALSE))</f>
        <v>#N/A</v>
      </c>
      <c r="N1990" s="8"/>
      <c r="O1990" s="7">
        <f t="shared" si="120"/>
        <v>0</v>
      </c>
      <c r="P1990" s="7">
        <f t="shared" si="121"/>
        <v>1</v>
      </c>
      <c r="Q1990" s="7">
        <f t="shared" si="122"/>
        <v>1900</v>
      </c>
      <c r="R1990" s="6">
        <f t="shared" si="123"/>
        <v>0</v>
      </c>
    </row>
    <row r="1991" spans="13:18">
      <c r="M1991" s="7" t="e">
        <f>IF(C1991="Caixa","-",VLOOKUP(J1991,[1]Estrutura!C:E,3,FALSE))</f>
        <v>#N/A</v>
      </c>
      <c r="N1991" s="7"/>
      <c r="O1991" s="7">
        <f t="shared" si="120"/>
        <v>0</v>
      </c>
      <c r="P1991" s="7">
        <f t="shared" si="121"/>
        <v>1</v>
      </c>
      <c r="Q1991" s="7">
        <f t="shared" si="122"/>
        <v>1900</v>
      </c>
      <c r="R1991" s="6">
        <f t="shared" si="123"/>
        <v>0</v>
      </c>
    </row>
    <row r="1992" spans="13:18">
      <c r="M1992" s="8" t="e">
        <f>IF(C1992="Caixa","-",VLOOKUP(J1992,[1]Estrutura!C:E,3,FALSE))</f>
        <v>#N/A</v>
      </c>
      <c r="N1992" s="8"/>
      <c r="O1992" s="7">
        <f t="shared" si="120"/>
        <v>0</v>
      </c>
      <c r="P1992" s="7">
        <f t="shared" si="121"/>
        <v>1</v>
      </c>
      <c r="Q1992" s="7">
        <f t="shared" si="122"/>
        <v>1900</v>
      </c>
      <c r="R1992" s="6">
        <f t="shared" si="123"/>
        <v>0</v>
      </c>
    </row>
    <row r="1993" spans="13:18">
      <c r="M1993" s="7" t="e">
        <f>IF(C1993="Caixa","-",VLOOKUP(J1993,[1]Estrutura!C:E,3,FALSE))</f>
        <v>#N/A</v>
      </c>
      <c r="N1993" s="7"/>
      <c r="O1993" s="7">
        <f t="shared" si="120"/>
        <v>0</v>
      </c>
      <c r="P1993" s="7">
        <f t="shared" si="121"/>
        <v>1</v>
      </c>
      <c r="Q1993" s="7">
        <f t="shared" si="122"/>
        <v>1900</v>
      </c>
      <c r="R1993" s="6">
        <f t="shared" si="123"/>
        <v>0</v>
      </c>
    </row>
    <row r="1994" spans="13:18">
      <c r="M1994" s="8" t="e">
        <f>IF(C1994="Caixa","-",VLOOKUP(J1994,[1]Estrutura!C:E,3,FALSE))</f>
        <v>#N/A</v>
      </c>
      <c r="N1994" s="8"/>
      <c r="O1994" s="7">
        <f t="shared" si="120"/>
        <v>0</v>
      </c>
      <c r="P1994" s="7">
        <f t="shared" si="121"/>
        <v>1</v>
      </c>
      <c r="Q1994" s="7">
        <f t="shared" si="122"/>
        <v>1900</v>
      </c>
      <c r="R1994" s="6">
        <f t="shared" si="123"/>
        <v>0</v>
      </c>
    </row>
    <row r="1995" spans="13:18">
      <c r="M1995" s="7" t="e">
        <f>IF(C1995="Caixa","-",VLOOKUP(J1995,[1]Estrutura!C:E,3,FALSE))</f>
        <v>#N/A</v>
      </c>
      <c r="N1995" s="7"/>
      <c r="O1995" s="7">
        <f t="shared" si="120"/>
        <v>0</v>
      </c>
      <c r="P1995" s="7">
        <f t="shared" si="121"/>
        <v>1</v>
      </c>
      <c r="Q1995" s="7">
        <f t="shared" si="122"/>
        <v>1900</v>
      </c>
      <c r="R1995" s="6">
        <f t="shared" si="123"/>
        <v>0</v>
      </c>
    </row>
    <row r="1996" spans="13:18">
      <c r="M1996" s="8" t="e">
        <f>IF(C1996="Caixa","-",VLOOKUP(J1996,[1]Estrutura!C:E,3,FALSE))</f>
        <v>#N/A</v>
      </c>
      <c r="N1996" s="8"/>
      <c r="O1996" s="7">
        <f t="shared" si="120"/>
        <v>0</v>
      </c>
      <c r="P1996" s="7">
        <f t="shared" si="121"/>
        <v>1</v>
      </c>
      <c r="Q1996" s="7">
        <f t="shared" si="122"/>
        <v>1900</v>
      </c>
      <c r="R1996" s="6">
        <f t="shared" si="123"/>
        <v>0</v>
      </c>
    </row>
    <row r="1997" spans="13:18">
      <c r="M1997" s="7" t="e">
        <f>IF(C1997="Caixa","-",VLOOKUP(J1997,[1]Estrutura!C:E,3,FALSE))</f>
        <v>#N/A</v>
      </c>
      <c r="N1997" s="7"/>
      <c r="O1997" s="7">
        <f t="shared" si="120"/>
        <v>0</v>
      </c>
      <c r="P1997" s="7">
        <f t="shared" si="121"/>
        <v>1</v>
      </c>
      <c r="Q1997" s="7">
        <f t="shared" si="122"/>
        <v>1900</v>
      </c>
      <c r="R1997" s="6">
        <f t="shared" si="123"/>
        <v>0</v>
      </c>
    </row>
    <row r="1998" spans="13:18">
      <c r="M1998" s="8" t="e">
        <f>IF(C1998="Caixa","-",VLOOKUP(J1998,[1]Estrutura!C:E,3,FALSE))</f>
        <v>#N/A</v>
      </c>
      <c r="N1998" s="8"/>
      <c r="O1998" s="7">
        <f t="shared" ref="O1998:O2061" si="124">DAY(A1998)</f>
        <v>0</v>
      </c>
      <c r="P1998" s="7">
        <f t="shared" ref="P1998:P2061" si="125">MONTH(A1998)</f>
        <v>1</v>
      </c>
      <c r="Q1998" s="7">
        <f t="shared" ref="Q1998:Q2061" si="126">YEAR(A1998)</f>
        <v>1900</v>
      </c>
      <c r="R1998" s="6">
        <f t="shared" ref="R1998:R2061" si="127">D1998-E1998</f>
        <v>0</v>
      </c>
    </row>
    <row r="1999" spans="13:18">
      <c r="M1999" s="7" t="e">
        <f>IF(C1999="Caixa","-",VLOOKUP(J1999,[1]Estrutura!C:E,3,FALSE))</f>
        <v>#N/A</v>
      </c>
      <c r="N1999" s="7"/>
      <c r="O1999" s="7">
        <f t="shared" si="124"/>
        <v>0</v>
      </c>
      <c r="P1999" s="7">
        <f t="shared" si="125"/>
        <v>1</v>
      </c>
      <c r="Q1999" s="7">
        <f t="shared" si="126"/>
        <v>1900</v>
      </c>
      <c r="R1999" s="6">
        <f t="shared" si="127"/>
        <v>0</v>
      </c>
    </row>
    <row r="2000" spans="13:18">
      <c r="M2000" s="8" t="e">
        <f>IF(C2000="Caixa","-",VLOOKUP(J2000,[1]Estrutura!C:E,3,FALSE))</f>
        <v>#N/A</v>
      </c>
      <c r="N2000" s="8"/>
      <c r="O2000" s="7">
        <f t="shared" si="124"/>
        <v>0</v>
      </c>
      <c r="P2000" s="7">
        <f t="shared" si="125"/>
        <v>1</v>
      </c>
      <c r="Q2000" s="7">
        <f t="shared" si="126"/>
        <v>1900</v>
      </c>
      <c r="R2000" s="6">
        <f t="shared" si="127"/>
        <v>0</v>
      </c>
    </row>
    <row r="2001" spans="13:18">
      <c r="M2001" s="7" t="e">
        <f>IF(C2001="Caixa","-",VLOOKUP(J2001,[1]Estrutura!C:E,3,FALSE))</f>
        <v>#N/A</v>
      </c>
      <c r="N2001" s="7"/>
      <c r="O2001" s="7">
        <f t="shared" si="124"/>
        <v>0</v>
      </c>
      <c r="P2001" s="7">
        <f t="shared" si="125"/>
        <v>1</v>
      </c>
      <c r="Q2001" s="7">
        <f t="shared" si="126"/>
        <v>1900</v>
      </c>
      <c r="R2001" s="6">
        <f t="shared" si="127"/>
        <v>0</v>
      </c>
    </row>
    <row r="2002" spans="13:18">
      <c r="M2002" s="8" t="e">
        <f>IF(C2002="Caixa","-",VLOOKUP(J2002,[1]Estrutura!C:E,3,FALSE))</f>
        <v>#N/A</v>
      </c>
      <c r="N2002" s="8"/>
      <c r="O2002" s="7">
        <f t="shared" si="124"/>
        <v>0</v>
      </c>
      <c r="P2002" s="7">
        <f t="shared" si="125"/>
        <v>1</v>
      </c>
      <c r="Q2002" s="7">
        <f t="shared" si="126"/>
        <v>1900</v>
      </c>
      <c r="R2002" s="6">
        <f t="shared" si="127"/>
        <v>0</v>
      </c>
    </row>
    <row r="2003" spans="13:18">
      <c r="M2003" s="7" t="e">
        <f>IF(C2003="Caixa","-",VLOOKUP(J2003,[1]Estrutura!C:E,3,FALSE))</f>
        <v>#N/A</v>
      </c>
      <c r="N2003" s="7"/>
      <c r="O2003" s="7">
        <f t="shared" si="124"/>
        <v>0</v>
      </c>
      <c r="P2003" s="7">
        <f t="shared" si="125"/>
        <v>1</v>
      </c>
      <c r="Q2003" s="7">
        <f t="shared" si="126"/>
        <v>1900</v>
      </c>
      <c r="R2003" s="6">
        <f t="shared" si="127"/>
        <v>0</v>
      </c>
    </row>
    <row r="2004" spans="13:18">
      <c r="M2004" s="8" t="e">
        <f>IF(C2004="Caixa","-",VLOOKUP(J2004,[1]Estrutura!C:E,3,FALSE))</f>
        <v>#N/A</v>
      </c>
      <c r="N2004" s="8"/>
      <c r="O2004" s="7">
        <f t="shared" si="124"/>
        <v>0</v>
      </c>
      <c r="P2004" s="7">
        <f t="shared" si="125"/>
        <v>1</v>
      </c>
      <c r="Q2004" s="7">
        <f t="shared" si="126"/>
        <v>1900</v>
      </c>
      <c r="R2004" s="6">
        <f t="shared" si="127"/>
        <v>0</v>
      </c>
    </row>
    <row r="2005" spans="13:18">
      <c r="M2005" s="7" t="e">
        <f>IF(C2005="Caixa","-",VLOOKUP(J2005,[1]Estrutura!C:E,3,FALSE))</f>
        <v>#N/A</v>
      </c>
      <c r="N2005" s="7"/>
      <c r="O2005" s="7">
        <f t="shared" si="124"/>
        <v>0</v>
      </c>
      <c r="P2005" s="7">
        <f t="shared" si="125"/>
        <v>1</v>
      </c>
      <c r="Q2005" s="7">
        <f t="shared" si="126"/>
        <v>1900</v>
      </c>
      <c r="R2005" s="6">
        <f t="shared" si="127"/>
        <v>0</v>
      </c>
    </row>
    <row r="2006" spans="13:18">
      <c r="M2006" s="8" t="e">
        <f>IF(C2006="Caixa","-",VLOOKUP(J2006,[1]Estrutura!C:E,3,FALSE))</f>
        <v>#N/A</v>
      </c>
      <c r="N2006" s="8"/>
      <c r="O2006" s="7">
        <f t="shared" si="124"/>
        <v>0</v>
      </c>
      <c r="P2006" s="7">
        <f t="shared" si="125"/>
        <v>1</v>
      </c>
      <c r="Q2006" s="7">
        <f t="shared" si="126"/>
        <v>1900</v>
      </c>
      <c r="R2006" s="6">
        <f t="shared" si="127"/>
        <v>0</v>
      </c>
    </row>
    <row r="2007" spans="13:18">
      <c r="M2007" s="7" t="e">
        <f>IF(C2007="Caixa","-",VLOOKUP(J2007,[1]Estrutura!C:E,3,FALSE))</f>
        <v>#N/A</v>
      </c>
      <c r="N2007" s="7"/>
      <c r="O2007" s="7">
        <f t="shared" si="124"/>
        <v>0</v>
      </c>
      <c r="P2007" s="7">
        <f t="shared" si="125"/>
        <v>1</v>
      </c>
      <c r="Q2007" s="7">
        <f t="shared" si="126"/>
        <v>1900</v>
      </c>
      <c r="R2007" s="6">
        <f t="shared" si="127"/>
        <v>0</v>
      </c>
    </row>
    <row r="2008" spans="13:18">
      <c r="M2008" s="8" t="e">
        <f>IF(C2008="Caixa","-",VLOOKUP(J2008,[1]Estrutura!C:E,3,FALSE))</f>
        <v>#N/A</v>
      </c>
      <c r="N2008" s="8"/>
      <c r="O2008" s="7">
        <f t="shared" si="124"/>
        <v>0</v>
      </c>
      <c r="P2008" s="7">
        <f t="shared" si="125"/>
        <v>1</v>
      </c>
      <c r="Q2008" s="7">
        <f t="shared" si="126"/>
        <v>1900</v>
      </c>
      <c r="R2008" s="6">
        <f t="shared" si="127"/>
        <v>0</v>
      </c>
    </row>
    <row r="2009" spans="13:18">
      <c r="M2009" s="7" t="e">
        <f>IF(C2009="Caixa","-",VLOOKUP(J2009,[1]Estrutura!C:E,3,FALSE))</f>
        <v>#N/A</v>
      </c>
      <c r="N2009" s="7"/>
      <c r="O2009" s="7">
        <f t="shared" si="124"/>
        <v>0</v>
      </c>
      <c r="P2009" s="7">
        <f t="shared" si="125"/>
        <v>1</v>
      </c>
      <c r="Q2009" s="7">
        <f t="shared" si="126"/>
        <v>1900</v>
      </c>
      <c r="R2009" s="6">
        <f t="shared" si="127"/>
        <v>0</v>
      </c>
    </row>
    <row r="2010" spans="13:18">
      <c r="M2010" s="8" t="e">
        <f>IF(C2010="Caixa","-",VLOOKUP(J2010,[1]Estrutura!C:E,3,FALSE))</f>
        <v>#N/A</v>
      </c>
      <c r="N2010" s="8"/>
      <c r="O2010" s="7">
        <f t="shared" si="124"/>
        <v>0</v>
      </c>
      <c r="P2010" s="7">
        <f t="shared" si="125"/>
        <v>1</v>
      </c>
      <c r="Q2010" s="7">
        <f t="shared" si="126"/>
        <v>1900</v>
      </c>
      <c r="R2010" s="6">
        <f t="shared" si="127"/>
        <v>0</v>
      </c>
    </row>
    <row r="2011" spans="13:18">
      <c r="M2011" s="7" t="e">
        <f>IF(C2011="Caixa","-",VLOOKUP(J2011,[1]Estrutura!C:E,3,FALSE))</f>
        <v>#N/A</v>
      </c>
      <c r="N2011" s="7"/>
      <c r="O2011" s="7">
        <f t="shared" si="124"/>
        <v>0</v>
      </c>
      <c r="P2011" s="7">
        <f t="shared" si="125"/>
        <v>1</v>
      </c>
      <c r="Q2011" s="7">
        <f t="shared" si="126"/>
        <v>1900</v>
      </c>
      <c r="R2011" s="6">
        <f t="shared" si="127"/>
        <v>0</v>
      </c>
    </row>
    <row r="2012" spans="13:18">
      <c r="M2012" s="8" t="e">
        <f>IF(C2012="Caixa","-",VLOOKUP(J2012,[1]Estrutura!C:E,3,FALSE))</f>
        <v>#N/A</v>
      </c>
      <c r="N2012" s="8"/>
      <c r="O2012" s="7">
        <f t="shared" si="124"/>
        <v>0</v>
      </c>
      <c r="P2012" s="7">
        <f t="shared" si="125"/>
        <v>1</v>
      </c>
      <c r="Q2012" s="7">
        <f t="shared" si="126"/>
        <v>1900</v>
      </c>
      <c r="R2012" s="6">
        <f t="shared" si="127"/>
        <v>0</v>
      </c>
    </row>
    <row r="2013" spans="13:18">
      <c r="M2013" s="7" t="e">
        <f>IF(C2013="Caixa","-",VLOOKUP(J2013,[1]Estrutura!C:E,3,FALSE))</f>
        <v>#N/A</v>
      </c>
      <c r="N2013" s="7"/>
      <c r="O2013" s="7">
        <f t="shared" si="124"/>
        <v>0</v>
      </c>
      <c r="P2013" s="7">
        <f t="shared" si="125"/>
        <v>1</v>
      </c>
      <c r="Q2013" s="7">
        <f t="shared" si="126"/>
        <v>1900</v>
      </c>
      <c r="R2013" s="6">
        <f t="shared" si="127"/>
        <v>0</v>
      </c>
    </row>
    <row r="2014" spans="13:18">
      <c r="M2014" s="8" t="e">
        <f>IF(C2014="Caixa","-",VLOOKUP(J2014,[1]Estrutura!C:E,3,FALSE))</f>
        <v>#N/A</v>
      </c>
      <c r="N2014" s="8"/>
      <c r="O2014" s="7">
        <f t="shared" si="124"/>
        <v>0</v>
      </c>
      <c r="P2014" s="7">
        <f t="shared" si="125"/>
        <v>1</v>
      </c>
      <c r="Q2014" s="7">
        <f t="shared" si="126"/>
        <v>1900</v>
      </c>
      <c r="R2014" s="6">
        <f t="shared" si="127"/>
        <v>0</v>
      </c>
    </row>
    <row r="2015" spans="13:18">
      <c r="M2015" s="7" t="e">
        <f>IF(C2015="Caixa","-",VLOOKUP(J2015,[1]Estrutura!C:E,3,FALSE))</f>
        <v>#N/A</v>
      </c>
      <c r="N2015" s="7"/>
      <c r="O2015" s="7">
        <f t="shared" si="124"/>
        <v>0</v>
      </c>
      <c r="P2015" s="7">
        <f t="shared" si="125"/>
        <v>1</v>
      </c>
      <c r="Q2015" s="7">
        <f t="shared" si="126"/>
        <v>1900</v>
      </c>
      <c r="R2015" s="6">
        <f t="shared" si="127"/>
        <v>0</v>
      </c>
    </row>
    <row r="2016" spans="13:18">
      <c r="M2016" s="8" t="e">
        <f>IF(C2016="Caixa","-",VLOOKUP(J2016,[1]Estrutura!C:E,3,FALSE))</f>
        <v>#N/A</v>
      </c>
      <c r="N2016" s="8"/>
      <c r="O2016" s="7">
        <f t="shared" si="124"/>
        <v>0</v>
      </c>
      <c r="P2016" s="7">
        <f t="shared" si="125"/>
        <v>1</v>
      </c>
      <c r="Q2016" s="7">
        <f t="shared" si="126"/>
        <v>1900</v>
      </c>
      <c r="R2016" s="6">
        <f t="shared" si="127"/>
        <v>0</v>
      </c>
    </row>
    <row r="2017" spans="13:18">
      <c r="M2017" s="7" t="e">
        <f>IF(C2017="Caixa","-",VLOOKUP(J2017,[1]Estrutura!C:E,3,FALSE))</f>
        <v>#N/A</v>
      </c>
      <c r="N2017" s="7"/>
      <c r="O2017" s="7">
        <f t="shared" si="124"/>
        <v>0</v>
      </c>
      <c r="P2017" s="7">
        <f t="shared" si="125"/>
        <v>1</v>
      </c>
      <c r="Q2017" s="7">
        <f t="shared" si="126"/>
        <v>1900</v>
      </c>
      <c r="R2017" s="6">
        <f t="shared" si="127"/>
        <v>0</v>
      </c>
    </row>
    <row r="2018" spans="13:18">
      <c r="M2018" s="8" t="e">
        <f>IF(C2018="Caixa","-",VLOOKUP(J2018,[1]Estrutura!C:E,3,FALSE))</f>
        <v>#N/A</v>
      </c>
      <c r="N2018" s="8"/>
      <c r="O2018" s="7">
        <f t="shared" si="124"/>
        <v>0</v>
      </c>
      <c r="P2018" s="7">
        <f t="shared" si="125"/>
        <v>1</v>
      </c>
      <c r="Q2018" s="7">
        <f t="shared" si="126"/>
        <v>1900</v>
      </c>
      <c r="R2018" s="6">
        <f t="shared" si="127"/>
        <v>0</v>
      </c>
    </row>
    <row r="2019" spans="13:18">
      <c r="M2019" s="7" t="e">
        <f>IF(C2019="Caixa","-",VLOOKUP(J2019,[1]Estrutura!C:E,3,FALSE))</f>
        <v>#N/A</v>
      </c>
      <c r="N2019" s="7"/>
      <c r="O2019" s="7">
        <f t="shared" si="124"/>
        <v>0</v>
      </c>
      <c r="P2019" s="7">
        <f t="shared" si="125"/>
        <v>1</v>
      </c>
      <c r="Q2019" s="7">
        <f t="shared" si="126"/>
        <v>1900</v>
      </c>
      <c r="R2019" s="6">
        <f t="shared" si="127"/>
        <v>0</v>
      </c>
    </row>
    <row r="2020" spans="13:18">
      <c r="M2020" s="8" t="e">
        <f>IF(C2020="Caixa","-",VLOOKUP(J2020,[1]Estrutura!C:E,3,FALSE))</f>
        <v>#N/A</v>
      </c>
      <c r="N2020" s="8"/>
      <c r="O2020" s="7">
        <f t="shared" si="124"/>
        <v>0</v>
      </c>
      <c r="P2020" s="7">
        <f t="shared" si="125"/>
        <v>1</v>
      </c>
      <c r="Q2020" s="7">
        <f t="shared" si="126"/>
        <v>1900</v>
      </c>
      <c r="R2020" s="6">
        <f t="shared" si="127"/>
        <v>0</v>
      </c>
    </row>
    <row r="2021" spans="13:18">
      <c r="M2021" s="7" t="e">
        <f>IF(C2021="Caixa","-",VLOOKUP(J2021,[1]Estrutura!C:E,3,FALSE))</f>
        <v>#N/A</v>
      </c>
      <c r="N2021" s="7"/>
      <c r="O2021" s="7">
        <f t="shared" si="124"/>
        <v>0</v>
      </c>
      <c r="P2021" s="7">
        <f t="shared" si="125"/>
        <v>1</v>
      </c>
      <c r="Q2021" s="7">
        <f t="shared" si="126"/>
        <v>1900</v>
      </c>
      <c r="R2021" s="6">
        <f t="shared" si="127"/>
        <v>0</v>
      </c>
    </row>
    <row r="2022" spans="13:18">
      <c r="M2022" s="8" t="e">
        <f>IF(C2022="Caixa","-",VLOOKUP(J2022,[1]Estrutura!C:E,3,FALSE))</f>
        <v>#N/A</v>
      </c>
      <c r="N2022" s="8"/>
      <c r="O2022" s="7">
        <f t="shared" si="124"/>
        <v>0</v>
      </c>
      <c r="P2022" s="7">
        <f t="shared" si="125"/>
        <v>1</v>
      </c>
      <c r="Q2022" s="7">
        <f t="shared" si="126"/>
        <v>1900</v>
      </c>
      <c r="R2022" s="6">
        <f t="shared" si="127"/>
        <v>0</v>
      </c>
    </row>
    <row r="2023" spans="13:18">
      <c r="M2023" s="7" t="e">
        <f>IF(C2023="Caixa","-",VLOOKUP(J2023,[1]Estrutura!C:E,3,FALSE))</f>
        <v>#N/A</v>
      </c>
      <c r="N2023" s="7"/>
      <c r="O2023" s="7">
        <f t="shared" si="124"/>
        <v>0</v>
      </c>
      <c r="P2023" s="7">
        <f t="shared" si="125"/>
        <v>1</v>
      </c>
      <c r="Q2023" s="7">
        <f t="shared" si="126"/>
        <v>1900</v>
      </c>
      <c r="R2023" s="6">
        <f t="shared" si="127"/>
        <v>0</v>
      </c>
    </row>
    <row r="2024" spans="13:18">
      <c r="M2024" s="8" t="e">
        <f>IF(C2024="Caixa","-",VLOOKUP(J2024,[1]Estrutura!C:E,3,FALSE))</f>
        <v>#N/A</v>
      </c>
      <c r="N2024" s="8"/>
      <c r="O2024" s="7">
        <f t="shared" si="124"/>
        <v>0</v>
      </c>
      <c r="P2024" s="7">
        <f t="shared" si="125"/>
        <v>1</v>
      </c>
      <c r="Q2024" s="7">
        <f t="shared" si="126"/>
        <v>1900</v>
      </c>
      <c r="R2024" s="6">
        <f t="shared" si="127"/>
        <v>0</v>
      </c>
    </row>
    <row r="2025" spans="13:18">
      <c r="M2025" s="7" t="e">
        <f>IF(C2025="Caixa","-",VLOOKUP(J2025,[1]Estrutura!C:E,3,FALSE))</f>
        <v>#N/A</v>
      </c>
      <c r="N2025" s="7"/>
      <c r="O2025" s="7">
        <f t="shared" si="124"/>
        <v>0</v>
      </c>
      <c r="P2025" s="7">
        <f t="shared" si="125"/>
        <v>1</v>
      </c>
      <c r="Q2025" s="7">
        <f t="shared" si="126"/>
        <v>1900</v>
      </c>
      <c r="R2025" s="6">
        <f t="shared" si="127"/>
        <v>0</v>
      </c>
    </row>
    <row r="2026" spans="13:18">
      <c r="M2026" s="8" t="e">
        <f>IF(C2026="Caixa","-",VLOOKUP(J2026,[1]Estrutura!C:E,3,FALSE))</f>
        <v>#N/A</v>
      </c>
      <c r="N2026" s="8"/>
      <c r="O2026" s="7">
        <f t="shared" si="124"/>
        <v>0</v>
      </c>
      <c r="P2026" s="7">
        <f t="shared" si="125"/>
        <v>1</v>
      </c>
      <c r="Q2026" s="7">
        <f t="shared" si="126"/>
        <v>1900</v>
      </c>
      <c r="R2026" s="6">
        <f t="shared" si="127"/>
        <v>0</v>
      </c>
    </row>
    <row r="2027" spans="13:18">
      <c r="M2027" s="7" t="e">
        <f>IF(C2027="Caixa","-",VLOOKUP(J2027,[1]Estrutura!C:E,3,FALSE))</f>
        <v>#N/A</v>
      </c>
      <c r="N2027" s="7"/>
      <c r="O2027" s="7">
        <f t="shared" si="124"/>
        <v>0</v>
      </c>
      <c r="P2027" s="7">
        <f t="shared" si="125"/>
        <v>1</v>
      </c>
      <c r="Q2027" s="7">
        <f t="shared" si="126"/>
        <v>1900</v>
      </c>
      <c r="R2027" s="6">
        <f t="shared" si="127"/>
        <v>0</v>
      </c>
    </row>
    <row r="2028" spans="13:18">
      <c r="M2028" s="8" t="e">
        <f>IF(C2028="Caixa","-",VLOOKUP(J2028,[1]Estrutura!C:E,3,FALSE))</f>
        <v>#N/A</v>
      </c>
      <c r="N2028" s="8"/>
      <c r="O2028" s="7">
        <f t="shared" si="124"/>
        <v>0</v>
      </c>
      <c r="P2028" s="7">
        <f t="shared" si="125"/>
        <v>1</v>
      </c>
      <c r="Q2028" s="7">
        <f t="shared" si="126"/>
        <v>1900</v>
      </c>
      <c r="R2028" s="6">
        <f t="shared" si="127"/>
        <v>0</v>
      </c>
    </row>
    <row r="2029" spans="13:18">
      <c r="M2029" s="7" t="e">
        <f>IF(C2029="Caixa","-",VLOOKUP(J2029,[1]Estrutura!C:E,3,FALSE))</f>
        <v>#N/A</v>
      </c>
      <c r="N2029" s="7"/>
      <c r="O2029" s="7">
        <f t="shared" si="124"/>
        <v>0</v>
      </c>
      <c r="P2029" s="7">
        <f t="shared" si="125"/>
        <v>1</v>
      </c>
      <c r="Q2029" s="7">
        <f t="shared" si="126"/>
        <v>1900</v>
      </c>
      <c r="R2029" s="6">
        <f t="shared" si="127"/>
        <v>0</v>
      </c>
    </row>
    <row r="2030" spans="13:18">
      <c r="M2030" s="8" t="e">
        <f>IF(C2030="Caixa","-",VLOOKUP(J2030,[1]Estrutura!C:E,3,FALSE))</f>
        <v>#N/A</v>
      </c>
      <c r="N2030" s="8"/>
      <c r="O2030" s="7">
        <f t="shared" si="124"/>
        <v>0</v>
      </c>
      <c r="P2030" s="7">
        <f t="shared" si="125"/>
        <v>1</v>
      </c>
      <c r="Q2030" s="7">
        <f t="shared" si="126"/>
        <v>1900</v>
      </c>
      <c r="R2030" s="6">
        <f t="shared" si="127"/>
        <v>0</v>
      </c>
    </row>
    <row r="2031" spans="13:18">
      <c r="M2031" s="7" t="e">
        <f>IF(C2031="Caixa","-",VLOOKUP(J2031,[1]Estrutura!C:E,3,FALSE))</f>
        <v>#N/A</v>
      </c>
      <c r="N2031" s="7"/>
      <c r="O2031" s="7">
        <f t="shared" si="124"/>
        <v>0</v>
      </c>
      <c r="P2031" s="7">
        <f t="shared" si="125"/>
        <v>1</v>
      </c>
      <c r="Q2031" s="7">
        <f t="shared" si="126"/>
        <v>1900</v>
      </c>
      <c r="R2031" s="6">
        <f t="shared" si="127"/>
        <v>0</v>
      </c>
    </row>
    <row r="2032" spans="13:18">
      <c r="M2032" s="8" t="e">
        <f>IF(C2032="Caixa","-",VLOOKUP(J2032,[1]Estrutura!C:E,3,FALSE))</f>
        <v>#N/A</v>
      </c>
      <c r="N2032" s="8"/>
      <c r="O2032" s="7">
        <f t="shared" si="124"/>
        <v>0</v>
      </c>
      <c r="P2032" s="7">
        <f t="shared" si="125"/>
        <v>1</v>
      </c>
      <c r="Q2032" s="7">
        <f t="shared" si="126"/>
        <v>1900</v>
      </c>
      <c r="R2032" s="6">
        <f t="shared" si="127"/>
        <v>0</v>
      </c>
    </row>
    <row r="2033" spans="13:18">
      <c r="M2033" s="7" t="e">
        <f>IF(C2033="Caixa","-",VLOOKUP(J2033,[1]Estrutura!C:E,3,FALSE))</f>
        <v>#N/A</v>
      </c>
      <c r="N2033" s="7"/>
      <c r="O2033" s="7">
        <f t="shared" si="124"/>
        <v>0</v>
      </c>
      <c r="P2033" s="7">
        <f t="shared" si="125"/>
        <v>1</v>
      </c>
      <c r="Q2033" s="7">
        <f t="shared" si="126"/>
        <v>1900</v>
      </c>
      <c r="R2033" s="6">
        <f t="shared" si="127"/>
        <v>0</v>
      </c>
    </row>
    <row r="2034" spans="13:18">
      <c r="M2034" s="8" t="e">
        <f>IF(C2034="Caixa","-",VLOOKUP(J2034,[1]Estrutura!C:E,3,FALSE))</f>
        <v>#N/A</v>
      </c>
      <c r="N2034" s="8"/>
      <c r="O2034" s="7">
        <f t="shared" si="124"/>
        <v>0</v>
      </c>
      <c r="P2034" s="7">
        <f t="shared" si="125"/>
        <v>1</v>
      </c>
      <c r="Q2034" s="7">
        <f t="shared" si="126"/>
        <v>1900</v>
      </c>
      <c r="R2034" s="6">
        <f t="shared" si="127"/>
        <v>0</v>
      </c>
    </row>
    <row r="2035" spans="13:18">
      <c r="M2035" s="7" t="e">
        <f>IF(C2035="Caixa","-",VLOOKUP(J2035,[1]Estrutura!C:E,3,FALSE))</f>
        <v>#N/A</v>
      </c>
      <c r="N2035" s="7"/>
      <c r="O2035" s="7">
        <f t="shared" si="124"/>
        <v>0</v>
      </c>
      <c r="P2035" s="7">
        <f t="shared" si="125"/>
        <v>1</v>
      </c>
      <c r="Q2035" s="7">
        <f t="shared" si="126"/>
        <v>1900</v>
      </c>
      <c r="R2035" s="6">
        <f t="shared" si="127"/>
        <v>0</v>
      </c>
    </row>
    <row r="2036" spans="13:18">
      <c r="M2036" s="8" t="e">
        <f>IF(C2036="Caixa","-",VLOOKUP(J2036,[1]Estrutura!C:E,3,FALSE))</f>
        <v>#N/A</v>
      </c>
      <c r="N2036" s="8"/>
      <c r="O2036" s="7">
        <f t="shared" si="124"/>
        <v>0</v>
      </c>
      <c r="P2036" s="7">
        <f t="shared" si="125"/>
        <v>1</v>
      </c>
      <c r="Q2036" s="7">
        <f t="shared" si="126"/>
        <v>1900</v>
      </c>
      <c r="R2036" s="6">
        <f t="shared" si="127"/>
        <v>0</v>
      </c>
    </row>
    <row r="2037" spans="13:18">
      <c r="M2037" s="7" t="e">
        <f>IF(C2037="Caixa","-",VLOOKUP(J2037,[1]Estrutura!C:E,3,FALSE))</f>
        <v>#N/A</v>
      </c>
      <c r="N2037" s="7"/>
      <c r="O2037" s="7">
        <f t="shared" si="124"/>
        <v>0</v>
      </c>
      <c r="P2037" s="7">
        <f t="shared" si="125"/>
        <v>1</v>
      </c>
      <c r="Q2037" s="7">
        <f t="shared" si="126"/>
        <v>1900</v>
      </c>
      <c r="R2037" s="6">
        <f t="shared" si="127"/>
        <v>0</v>
      </c>
    </row>
    <row r="2038" spans="13:18">
      <c r="M2038" s="8" t="e">
        <f>IF(C2038="Caixa","-",VLOOKUP(J2038,[1]Estrutura!C:E,3,FALSE))</f>
        <v>#N/A</v>
      </c>
      <c r="N2038" s="8"/>
      <c r="O2038" s="7">
        <f t="shared" si="124"/>
        <v>0</v>
      </c>
      <c r="P2038" s="7">
        <f t="shared" si="125"/>
        <v>1</v>
      </c>
      <c r="Q2038" s="7">
        <f t="shared" si="126"/>
        <v>1900</v>
      </c>
      <c r="R2038" s="6">
        <f t="shared" si="127"/>
        <v>0</v>
      </c>
    </row>
    <row r="2039" spans="13:18">
      <c r="M2039" s="7" t="e">
        <f>IF(C2039="Caixa","-",VLOOKUP(J2039,[1]Estrutura!C:E,3,FALSE))</f>
        <v>#N/A</v>
      </c>
      <c r="N2039" s="7"/>
      <c r="O2039" s="7">
        <f t="shared" si="124"/>
        <v>0</v>
      </c>
      <c r="P2039" s="7">
        <f t="shared" si="125"/>
        <v>1</v>
      </c>
      <c r="Q2039" s="7">
        <f t="shared" si="126"/>
        <v>1900</v>
      </c>
      <c r="R2039" s="6">
        <f t="shared" si="127"/>
        <v>0</v>
      </c>
    </row>
    <row r="2040" spans="13:18">
      <c r="M2040" s="8" t="e">
        <f>IF(C2040="Caixa","-",VLOOKUP(J2040,[1]Estrutura!C:E,3,FALSE))</f>
        <v>#N/A</v>
      </c>
      <c r="N2040" s="8"/>
      <c r="O2040" s="7">
        <f t="shared" si="124"/>
        <v>0</v>
      </c>
      <c r="P2040" s="7">
        <f t="shared" si="125"/>
        <v>1</v>
      </c>
      <c r="Q2040" s="7">
        <f t="shared" si="126"/>
        <v>1900</v>
      </c>
      <c r="R2040" s="6">
        <f t="shared" si="127"/>
        <v>0</v>
      </c>
    </row>
    <row r="2041" spans="13:18">
      <c r="M2041" s="7" t="e">
        <f>IF(C2041="Caixa","-",VLOOKUP(J2041,[1]Estrutura!C:E,3,FALSE))</f>
        <v>#N/A</v>
      </c>
      <c r="N2041" s="7"/>
      <c r="O2041" s="7">
        <f t="shared" si="124"/>
        <v>0</v>
      </c>
      <c r="P2041" s="7">
        <f t="shared" si="125"/>
        <v>1</v>
      </c>
      <c r="Q2041" s="7">
        <f t="shared" si="126"/>
        <v>1900</v>
      </c>
      <c r="R2041" s="6">
        <f t="shared" si="127"/>
        <v>0</v>
      </c>
    </row>
    <row r="2042" spans="13:18">
      <c r="M2042" s="8" t="e">
        <f>IF(C2042="Caixa","-",VLOOKUP(J2042,[1]Estrutura!C:E,3,FALSE))</f>
        <v>#N/A</v>
      </c>
      <c r="N2042" s="8"/>
      <c r="O2042" s="7">
        <f t="shared" si="124"/>
        <v>0</v>
      </c>
      <c r="P2042" s="7">
        <f t="shared" si="125"/>
        <v>1</v>
      </c>
      <c r="Q2042" s="7">
        <f t="shared" si="126"/>
        <v>1900</v>
      </c>
      <c r="R2042" s="6">
        <f t="shared" si="127"/>
        <v>0</v>
      </c>
    </row>
    <row r="2043" spans="13:18">
      <c r="M2043" s="7" t="e">
        <f>IF(C2043="Caixa","-",VLOOKUP(J2043,[1]Estrutura!C:E,3,FALSE))</f>
        <v>#N/A</v>
      </c>
      <c r="N2043" s="7"/>
      <c r="O2043" s="7">
        <f t="shared" si="124"/>
        <v>0</v>
      </c>
      <c r="P2043" s="7">
        <f t="shared" si="125"/>
        <v>1</v>
      </c>
      <c r="Q2043" s="7">
        <f t="shared" si="126"/>
        <v>1900</v>
      </c>
      <c r="R2043" s="6">
        <f t="shared" si="127"/>
        <v>0</v>
      </c>
    </row>
    <row r="2044" spans="13:18">
      <c r="M2044" s="8" t="e">
        <f>IF(C2044="Caixa","-",VLOOKUP(J2044,[1]Estrutura!C:E,3,FALSE))</f>
        <v>#N/A</v>
      </c>
      <c r="N2044" s="8"/>
      <c r="O2044" s="7">
        <f t="shared" si="124"/>
        <v>0</v>
      </c>
      <c r="P2044" s="7">
        <f t="shared" si="125"/>
        <v>1</v>
      </c>
      <c r="Q2044" s="7">
        <f t="shared" si="126"/>
        <v>1900</v>
      </c>
      <c r="R2044" s="6">
        <f t="shared" si="127"/>
        <v>0</v>
      </c>
    </row>
    <row r="2045" spans="13:18">
      <c r="M2045" s="7" t="e">
        <f>IF(C2045="Caixa","-",VLOOKUP(J2045,[1]Estrutura!C:E,3,FALSE))</f>
        <v>#N/A</v>
      </c>
      <c r="N2045" s="7"/>
      <c r="O2045" s="7">
        <f t="shared" si="124"/>
        <v>0</v>
      </c>
      <c r="P2045" s="7">
        <f t="shared" si="125"/>
        <v>1</v>
      </c>
      <c r="Q2045" s="7">
        <f t="shared" si="126"/>
        <v>1900</v>
      </c>
      <c r="R2045" s="6">
        <f t="shared" si="127"/>
        <v>0</v>
      </c>
    </row>
    <row r="2046" spans="13:18">
      <c r="M2046" s="8" t="e">
        <f>IF(C2046="Caixa","-",VLOOKUP(J2046,[1]Estrutura!C:E,3,FALSE))</f>
        <v>#N/A</v>
      </c>
      <c r="N2046" s="8"/>
      <c r="O2046" s="7">
        <f t="shared" si="124"/>
        <v>0</v>
      </c>
      <c r="P2046" s="7">
        <f t="shared" si="125"/>
        <v>1</v>
      </c>
      <c r="Q2046" s="7">
        <f t="shared" si="126"/>
        <v>1900</v>
      </c>
      <c r="R2046" s="6">
        <f t="shared" si="127"/>
        <v>0</v>
      </c>
    </row>
    <row r="2047" spans="13:18">
      <c r="M2047" s="7" t="e">
        <f>IF(C2047="Caixa","-",VLOOKUP(J2047,[1]Estrutura!C:E,3,FALSE))</f>
        <v>#N/A</v>
      </c>
      <c r="N2047" s="7"/>
      <c r="O2047" s="7">
        <f t="shared" si="124"/>
        <v>0</v>
      </c>
      <c r="P2047" s="7">
        <f t="shared" si="125"/>
        <v>1</v>
      </c>
      <c r="Q2047" s="7">
        <f t="shared" si="126"/>
        <v>1900</v>
      </c>
      <c r="R2047" s="6">
        <f t="shared" si="127"/>
        <v>0</v>
      </c>
    </row>
    <row r="2048" spans="13:18">
      <c r="M2048" s="8" t="e">
        <f>IF(C2048="Caixa","-",VLOOKUP(J2048,[1]Estrutura!C:E,3,FALSE))</f>
        <v>#N/A</v>
      </c>
      <c r="N2048" s="8"/>
      <c r="O2048" s="7">
        <f t="shared" si="124"/>
        <v>0</v>
      </c>
      <c r="P2048" s="7">
        <f t="shared" si="125"/>
        <v>1</v>
      </c>
      <c r="Q2048" s="7">
        <f t="shared" si="126"/>
        <v>1900</v>
      </c>
      <c r="R2048" s="6">
        <f t="shared" si="127"/>
        <v>0</v>
      </c>
    </row>
    <row r="2049" spans="13:18">
      <c r="M2049" s="7" t="e">
        <f>IF(C2049="Caixa","-",VLOOKUP(J2049,[1]Estrutura!C:E,3,FALSE))</f>
        <v>#N/A</v>
      </c>
      <c r="N2049" s="7"/>
      <c r="O2049" s="7">
        <f t="shared" si="124"/>
        <v>0</v>
      </c>
      <c r="P2049" s="7">
        <f t="shared" si="125"/>
        <v>1</v>
      </c>
      <c r="Q2049" s="7">
        <f t="shared" si="126"/>
        <v>1900</v>
      </c>
      <c r="R2049" s="6">
        <f t="shared" si="127"/>
        <v>0</v>
      </c>
    </row>
    <row r="2050" spans="13:18">
      <c r="M2050" s="8" t="e">
        <f>IF(C2050="Caixa","-",VLOOKUP(J2050,[1]Estrutura!C:E,3,FALSE))</f>
        <v>#N/A</v>
      </c>
      <c r="N2050" s="8"/>
      <c r="O2050" s="7">
        <f t="shared" si="124"/>
        <v>0</v>
      </c>
      <c r="P2050" s="7">
        <f t="shared" si="125"/>
        <v>1</v>
      </c>
      <c r="Q2050" s="7">
        <f t="shared" si="126"/>
        <v>1900</v>
      </c>
      <c r="R2050" s="6">
        <f t="shared" si="127"/>
        <v>0</v>
      </c>
    </row>
    <row r="2051" spans="13:18">
      <c r="M2051" s="7" t="e">
        <f>IF(C2051="Caixa","-",VLOOKUP(J2051,[1]Estrutura!C:E,3,FALSE))</f>
        <v>#N/A</v>
      </c>
      <c r="N2051" s="7"/>
      <c r="O2051" s="7">
        <f t="shared" si="124"/>
        <v>0</v>
      </c>
      <c r="P2051" s="7">
        <f t="shared" si="125"/>
        <v>1</v>
      </c>
      <c r="Q2051" s="7">
        <f t="shared" si="126"/>
        <v>1900</v>
      </c>
      <c r="R2051" s="6">
        <f t="shared" si="127"/>
        <v>0</v>
      </c>
    </row>
    <row r="2052" spans="13:18">
      <c r="M2052" s="8" t="e">
        <f>IF(C2052="Caixa","-",VLOOKUP(J2052,[1]Estrutura!C:E,3,FALSE))</f>
        <v>#N/A</v>
      </c>
      <c r="N2052" s="8"/>
      <c r="O2052" s="7">
        <f t="shared" si="124"/>
        <v>0</v>
      </c>
      <c r="P2052" s="7">
        <f t="shared" si="125"/>
        <v>1</v>
      </c>
      <c r="Q2052" s="7">
        <f t="shared" si="126"/>
        <v>1900</v>
      </c>
      <c r="R2052" s="6">
        <f t="shared" si="127"/>
        <v>0</v>
      </c>
    </row>
    <row r="2053" spans="13:18">
      <c r="M2053" s="7" t="e">
        <f>IF(C2053="Caixa","-",VLOOKUP(J2053,[1]Estrutura!C:E,3,FALSE))</f>
        <v>#N/A</v>
      </c>
      <c r="N2053" s="7"/>
      <c r="O2053" s="7">
        <f t="shared" si="124"/>
        <v>0</v>
      </c>
      <c r="P2053" s="7">
        <f t="shared" si="125"/>
        <v>1</v>
      </c>
      <c r="Q2053" s="7">
        <f t="shared" si="126"/>
        <v>1900</v>
      </c>
      <c r="R2053" s="6">
        <f t="shared" si="127"/>
        <v>0</v>
      </c>
    </row>
    <row r="2054" spans="13:18">
      <c r="M2054" s="8" t="e">
        <f>IF(C2054="Caixa","-",VLOOKUP(J2054,[1]Estrutura!C:E,3,FALSE))</f>
        <v>#N/A</v>
      </c>
      <c r="N2054" s="8"/>
      <c r="O2054" s="7">
        <f t="shared" si="124"/>
        <v>0</v>
      </c>
      <c r="P2054" s="7">
        <f t="shared" si="125"/>
        <v>1</v>
      </c>
      <c r="Q2054" s="7">
        <f t="shared" si="126"/>
        <v>1900</v>
      </c>
      <c r="R2054" s="6">
        <f t="shared" si="127"/>
        <v>0</v>
      </c>
    </row>
    <row r="2055" spans="13:18">
      <c r="M2055" s="7" t="e">
        <f>IF(C2055="Caixa","-",VLOOKUP(J2055,[1]Estrutura!C:E,3,FALSE))</f>
        <v>#N/A</v>
      </c>
      <c r="N2055" s="7"/>
      <c r="O2055" s="7">
        <f t="shared" si="124"/>
        <v>0</v>
      </c>
      <c r="P2055" s="7">
        <f t="shared" si="125"/>
        <v>1</v>
      </c>
      <c r="Q2055" s="7">
        <f t="shared" si="126"/>
        <v>1900</v>
      </c>
      <c r="R2055" s="6">
        <f t="shared" si="127"/>
        <v>0</v>
      </c>
    </row>
    <row r="2056" spans="13:18">
      <c r="M2056" s="8" t="e">
        <f>IF(C2056="Caixa","-",VLOOKUP(J2056,[1]Estrutura!C:E,3,FALSE))</f>
        <v>#N/A</v>
      </c>
      <c r="N2056" s="8"/>
      <c r="O2056" s="7">
        <f t="shared" si="124"/>
        <v>0</v>
      </c>
      <c r="P2056" s="7">
        <f t="shared" si="125"/>
        <v>1</v>
      </c>
      <c r="Q2056" s="7">
        <f t="shared" si="126"/>
        <v>1900</v>
      </c>
      <c r="R2056" s="6">
        <f t="shared" si="127"/>
        <v>0</v>
      </c>
    </row>
    <row r="2057" spans="13:18">
      <c r="M2057" s="7" t="e">
        <f>IF(C2057="Caixa","-",VLOOKUP(J2057,[1]Estrutura!C:E,3,FALSE))</f>
        <v>#N/A</v>
      </c>
      <c r="N2057" s="7"/>
      <c r="O2057" s="7">
        <f t="shared" si="124"/>
        <v>0</v>
      </c>
      <c r="P2057" s="7">
        <f t="shared" si="125"/>
        <v>1</v>
      </c>
      <c r="Q2057" s="7">
        <f t="shared" si="126"/>
        <v>1900</v>
      </c>
      <c r="R2057" s="6">
        <f t="shared" si="127"/>
        <v>0</v>
      </c>
    </row>
    <row r="2058" spans="13:18">
      <c r="M2058" s="8" t="e">
        <f>IF(C2058="Caixa","-",VLOOKUP(J2058,[1]Estrutura!C:E,3,FALSE))</f>
        <v>#N/A</v>
      </c>
      <c r="N2058" s="8"/>
      <c r="O2058" s="7">
        <f t="shared" si="124"/>
        <v>0</v>
      </c>
      <c r="P2058" s="7">
        <f t="shared" si="125"/>
        <v>1</v>
      </c>
      <c r="Q2058" s="7">
        <f t="shared" si="126"/>
        <v>1900</v>
      </c>
      <c r="R2058" s="6">
        <f t="shared" si="127"/>
        <v>0</v>
      </c>
    </row>
    <row r="2059" spans="13:18">
      <c r="M2059" s="7" t="e">
        <f>IF(C2059="Caixa","-",VLOOKUP(J2059,[1]Estrutura!C:E,3,FALSE))</f>
        <v>#N/A</v>
      </c>
      <c r="N2059" s="7"/>
      <c r="O2059" s="7">
        <f t="shared" si="124"/>
        <v>0</v>
      </c>
      <c r="P2059" s="7">
        <f t="shared" si="125"/>
        <v>1</v>
      </c>
      <c r="Q2059" s="7">
        <f t="shared" si="126"/>
        <v>1900</v>
      </c>
      <c r="R2059" s="6">
        <f t="shared" si="127"/>
        <v>0</v>
      </c>
    </row>
    <row r="2060" spans="13:18">
      <c r="M2060" s="8" t="e">
        <f>IF(C2060="Caixa","-",VLOOKUP(J2060,[1]Estrutura!C:E,3,FALSE))</f>
        <v>#N/A</v>
      </c>
      <c r="N2060" s="8"/>
      <c r="O2060" s="7">
        <f t="shared" si="124"/>
        <v>0</v>
      </c>
      <c r="P2060" s="7">
        <f t="shared" si="125"/>
        <v>1</v>
      </c>
      <c r="Q2060" s="7">
        <f t="shared" si="126"/>
        <v>1900</v>
      </c>
      <c r="R2060" s="6">
        <f t="shared" si="127"/>
        <v>0</v>
      </c>
    </row>
    <row r="2061" spans="13:18">
      <c r="M2061" s="7" t="e">
        <f>IF(C2061="Caixa","-",VLOOKUP(J2061,[1]Estrutura!C:E,3,FALSE))</f>
        <v>#N/A</v>
      </c>
      <c r="N2061" s="7"/>
      <c r="O2061" s="7">
        <f t="shared" si="124"/>
        <v>0</v>
      </c>
      <c r="P2061" s="7">
        <f t="shared" si="125"/>
        <v>1</v>
      </c>
      <c r="Q2061" s="7">
        <f t="shared" si="126"/>
        <v>1900</v>
      </c>
      <c r="R2061" s="6">
        <f t="shared" si="127"/>
        <v>0</v>
      </c>
    </row>
    <row r="2062" spans="13:18">
      <c r="M2062" s="8" t="e">
        <f>IF(C2062="Caixa","-",VLOOKUP(J2062,[1]Estrutura!C:E,3,FALSE))</f>
        <v>#N/A</v>
      </c>
      <c r="N2062" s="8"/>
      <c r="O2062" s="7">
        <f t="shared" ref="O2062:O2125" si="128">DAY(A2062)</f>
        <v>0</v>
      </c>
      <c r="P2062" s="7">
        <f t="shared" ref="P2062:P2125" si="129">MONTH(A2062)</f>
        <v>1</v>
      </c>
      <c r="Q2062" s="7">
        <f t="shared" ref="Q2062:Q2125" si="130">YEAR(A2062)</f>
        <v>1900</v>
      </c>
      <c r="R2062" s="6">
        <f t="shared" ref="R2062:R2125" si="131">D2062-E2062</f>
        <v>0</v>
      </c>
    </row>
    <row r="2063" spans="13:18">
      <c r="M2063" s="7" t="e">
        <f>IF(C2063="Caixa","-",VLOOKUP(J2063,[1]Estrutura!C:E,3,FALSE))</f>
        <v>#N/A</v>
      </c>
      <c r="N2063" s="7"/>
      <c r="O2063" s="7">
        <f t="shared" si="128"/>
        <v>0</v>
      </c>
      <c r="P2063" s="7">
        <f t="shared" si="129"/>
        <v>1</v>
      </c>
      <c r="Q2063" s="7">
        <f t="shared" si="130"/>
        <v>1900</v>
      </c>
      <c r="R2063" s="6">
        <f t="shared" si="131"/>
        <v>0</v>
      </c>
    </row>
    <row r="2064" spans="13:18">
      <c r="M2064" s="8" t="e">
        <f>IF(C2064="Caixa","-",VLOOKUP(J2064,[1]Estrutura!C:E,3,FALSE))</f>
        <v>#N/A</v>
      </c>
      <c r="N2064" s="8"/>
      <c r="O2064" s="7">
        <f t="shared" si="128"/>
        <v>0</v>
      </c>
      <c r="P2064" s="7">
        <f t="shared" si="129"/>
        <v>1</v>
      </c>
      <c r="Q2064" s="7">
        <f t="shared" si="130"/>
        <v>1900</v>
      </c>
      <c r="R2064" s="6">
        <f t="shared" si="131"/>
        <v>0</v>
      </c>
    </row>
    <row r="2065" spans="13:18">
      <c r="M2065" s="7" t="e">
        <f>IF(C2065="Caixa","-",VLOOKUP(J2065,[1]Estrutura!C:E,3,FALSE))</f>
        <v>#N/A</v>
      </c>
      <c r="N2065" s="7"/>
      <c r="O2065" s="7">
        <f t="shared" si="128"/>
        <v>0</v>
      </c>
      <c r="P2065" s="7">
        <f t="shared" si="129"/>
        <v>1</v>
      </c>
      <c r="Q2065" s="7">
        <f t="shared" si="130"/>
        <v>1900</v>
      </c>
      <c r="R2065" s="6">
        <f t="shared" si="131"/>
        <v>0</v>
      </c>
    </row>
    <row r="2066" spans="13:18">
      <c r="M2066" s="8" t="e">
        <f>IF(C2066="Caixa","-",VLOOKUP(J2066,[1]Estrutura!C:E,3,FALSE))</f>
        <v>#N/A</v>
      </c>
      <c r="N2066" s="8"/>
      <c r="O2066" s="7">
        <f t="shared" si="128"/>
        <v>0</v>
      </c>
      <c r="P2066" s="7">
        <f t="shared" si="129"/>
        <v>1</v>
      </c>
      <c r="Q2066" s="7">
        <f t="shared" si="130"/>
        <v>1900</v>
      </c>
      <c r="R2066" s="6">
        <f t="shared" si="131"/>
        <v>0</v>
      </c>
    </row>
    <row r="2067" spans="13:18">
      <c r="M2067" s="7" t="e">
        <f>IF(C2067="Caixa","-",VLOOKUP(J2067,[1]Estrutura!C:E,3,FALSE))</f>
        <v>#N/A</v>
      </c>
      <c r="N2067" s="7"/>
      <c r="O2067" s="7">
        <f t="shared" si="128"/>
        <v>0</v>
      </c>
      <c r="P2067" s="7">
        <f t="shared" si="129"/>
        <v>1</v>
      </c>
      <c r="Q2067" s="7">
        <f t="shared" si="130"/>
        <v>1900</v>
      </c>
      <c r="R2067" s="6">
        <f t="shared" si="131"/>
        <v>0</v>
      </c>
    </row>
    <row r="2068" spans="13:18">
      <c r="M2068" s="8" t="e">
        <f>IF(C2068="Caixa","-",VLOOKUP(J2068,[1]Estrutura!C:E,3,FALSE))</f>
        <v>#N/A</v>
      </c>
      <c r="N2068" s="8"/>
      <c r="O2068" s="7">
        <f t="shared" si="128"/>
        <v>0</v>
      </c>
      <c r="P2068" s="7">
        <f t="shared" si="129"/>
        <v>1</v>
      </c>
      <c r="Q2068" s="7">
        <f t="shared" si="130"/>
        <v>1900</v>
      </c>
      <c r="R2068" s="6">
        <f t="shared" si="131"/>
        <v>0</v>
      </c>
    </row>
    <row r="2069" spans="13:18">
      <c r="M2069" s="7" t="e">
        <f>IF(C2069="Caixa","-",VLOOKUP(J2069,[1]Estrutura!C:E,3,FALSE))</f>
        <v>#N/A</v>
      </c>
      <c r="N2069" s="7"/>
      <c r="O2069" s="7">
        <f t="shared" si="128"/>
        <v>0</v>
      </c>
      <c r="P2069" s="7">
        <f t="shared" si="129"/>
        <v>1</v>
      </c>
      <c r="Q2069" s="7">
        <f t="shared" si="130"/>
        <v>1900</v>
      </c>
      <c r="R2069" s="6">
        <f t="shared" si="131"/>
        <v>0</v>
      </c>
    </row>
    <row r="2070" spans="13:18">
      <c r="M2070" s="8" t="e">
        <f>IF(C2070="Caixa","-",VLOOKUP(J2070,[1]Estrutura!C:E,3,FALSE))</f>
        <v>#N/A</v>
      </c>
      <c r="N2070" s="8"/>
      <c r="O2070" s="7">
        <f t="shared" si="128"/>
        <v>0</v>
      </c>
      <c r="P2070" s="7">
        <f t="shared" si="129"/>
        <v>1</v>
      </c>
      <c r="Q2070" s="7">
        <f t="shared" si="130"/>
        <v>1900</v>
      </c>
      <c r="R2070" s="6">
        <f t="shared" si="131"/>
        <v>0</v>
      </c>
    </row>
    <row r="2071" spans="13:18">
      <c r="M2071" s="7" t="e">
        <f>IF(C2071="Caixa","-",VLOOKUP(J2071,[1]Estrutura!C:E,3,FALSE))</f>
        <v>#N/A</v>
      </c>
      <c r="N2071" s="7"/>
      <c r="O2071" s="7">
        <f t="shared" si="128"/>
        <v>0</v>
      </c>
      <c r="P2071" s="7">
        <f t="shared" si="129"/>
        <v>1</v>
      </c>
      <c r="Q2071" s="7">
        <f t="shared" si="130"/>
        <v>1900</v>
      </c>
      <c r="R2071" s="6">
        <f t="shared" si="131"/>
        <v>0</v>
      </c>
    </row>
    <row r="2072" spans="13:18">
      <c r="M2072" s="8" t="e">
        <f>IF(C2072="Caixa","-",VLOOKUP(J2072,[1]Estrutura!C:E,3,FALSE))</f>
        <v>#N/A</v>
      </c>
      <c r="N2072" s="8"/>
      <c r="O2072" s="7">
        <f t="shared" si="128"/>
        <v>0</v>
      </c>
      <c r="P2072" s="7">
        <f t="shared" si="129"/>
        <v>1</v>
      </c>
      <c r="Q2072" s="7">
        <f t="shared" si="130"/>
        <v>1900</v>
      </c>
      <c r="R2072" s="6">
        <f t="shared" si="131"/>
        <v>0</v>
      </c>
    </row>
    <row r="2073" spans="13:18">
      <c r="M2073" s="7" t="e">
        <f>IF(C2073="Caixa","-",VLOOKUP(J2073,[1]Estrutura!C:E,3,FALSE))</f>
        <v>#N/A</v>
      </c>
      <c r="N2073" s="7"/>
      <c r="O2073" s="7">
        <f t="shared" si="128"/>
        <v>0</v>
      </c>
      <c r="P2073" s="7">
        <f t="shared" si="129"/>
        <v>1</v>
      </c>
      <c r="Q2073" s="7">
        <f t="shared" si="130"/>
        <v>1900</v>
      </c>
      <c r="R2073" s="6">
        <f t="shared" si="131"/>
        <v>0</v>
      </c>
    </row>
    <row r="2074" spans="13:18">
      <c r="M2074" s="8" t="e">
        <f>IF(C2074="Caixa","-",VLOOKUP(J2074,[1]Estrutura!C:E,3,FALSE))</f>
        <v>#N/A</v>
      </c>
      <c r="N2074" s="8"/>
      <c r="O2074" s="7">
        <f t="shared" si="128"/>
        <v>0</v>
      </c>
      <c r="P2074" s="7">
        <f t="shared" si="129"/>
        <v>1</v>
      </c>
      <c r="Q2074" s="7">
        <f t="shared" si="130"/>
        <v>1900</v>
      </c>
      <c r="R2074" s="6">
        <f t="shared" si="131"/>
        <v>0</v>
      </c>
    </row>
    <row r="2075" spans="13:18">
      <c r="M2075" s="7" t="e">
        <f>IF(C2075="Caixa","-",VLOOKUP(J2075,[1]Estrutura!C:E,3,FALSE))</f>
        <v>#N/A</v>
      </c>
      <c r="N2075" s="7"/>
      <c r="O2075" s="7">
        <f t="shared" si="128"/>
        <v>0</v>
      </c>
      <c r="P2075" s="7">
        <f t="shared" si="129"/>
        <v>1</v>
      </c>
      <c r="Q2075" s="7">
        <f t="shared" si="130"/>
        <v>1900</v>
      </c>
      <c r="R2075" s="6">
        <f t="shared" si="131"/>
        <v>0</v>
      </c>
    </row>
    <row r="2076" spans="13:18">
      <c r="M2076" s="8" t="e">
        <f>IF(C2076="Caixa","-",VLOOKUP(J2076,[1]Estrutura!C:E,3,FALSE))</f>
        <v>#N/A</v>
      </c>
      <c r="N2076" s="8"/>
      <c r="O2076" s="7">
        <f t="shared" si="128"/>
        <v>0</v>
      </c>
      <c r="P2076" s="7">
        <f t="shared" si="129"/>
        <v>1</v>
      </c>
      <c r="Q2076" s="7">
        <f t="shared" si="130"/>
        <v>1900</v>
      </c>
      <c r="R2076" s="6">
        <f t="shared" si="131"/>
        <v>0</v>
      </c>
    </row>
    <row r="2077" spans="13:18">
      <c r="M2077" s="7" t="e">
        <f>IF(C2077="Caixa","-",VLOOKUP(J2077,[1]Estrutura!C:E,3,FALSE))</f>
        <v>#N/A</v>
      </c>
      <c r="N2077" s="7"/>
      <c r="O2077" s="7">
        <f t="shared" si="128"/>
        <v>0</v>
      </c>
      <c r="P2077" s="7">
        <f t="shared" si="129"/>
        <v>1</v>
      </c>
      <c r="Q2077" s="7">
        <f t="shared" si="130"/>
        <v>1900</v>
      </c>
      <c r="R2077" s="6">
        <f t="shared" si="131"/>
        <v>0</v>
      </c>
    </row>
    <row r="2078" spans="13:18">
      <c r="M2078" s="8" t="e">
        <f>IF(C2078="Caixa","-",VLOOKUP(J2078,[1]Estrutura!C:E,3,FALSE))</f>
        <v>#N/A</v>
      </c>
      <c r="N2078" s="8"/>
      <c r="O2078" s="7">
        <f t="shared" si="128"/>
        <v>0</v>
      </c>
      <c r="P2078" s="7">
        <f t="shared" si="129"/>
        <v>1</v>
      </c>
      <c r="Q2078" s="7">
        <f t="shared" si="130"/>
        <v>1900</v>
      </c>
      <c r="R2078" s="6">
        <f t="shared" si="131"/>
        <v>0</v>
      </c>
    </row>
    <row r="2079" spans="13:18">
      <c r="M2079" s="7" t="e">
        <f>IF(C2079="Caixa","-",VLOOKUP(J2079,[1]Estrutura!C:E,3,FALSE))</f>
        <v>#N/A</v>
      </c>
      <c r="N2079" s="7"/>
      <c r="O2079" s="7">
        <f t="shared" si="128"/>
        <v>0</v>
      </c>
      <c r="P2079" s="7">
        <f t="shared" si="129"/>
        <v>1</v>
      </c>
      <c r="Q2079" s="7">
        <f t="shared" si="130"/>
        <v>1900</v>
      </c>
      <c r="R2079" s="6">
        <f t="shared" si="131"/>
        <v>0</v>
      </c>
    </row>
    <row r="2080" spans="13:18">
      <c r="M2080" s="8" t="e">
        <f>IF(C2080="Caixa","-",VLOOKUP(J2080,[1]Estrutura!C:E,3,FALSE))</f>
        <v>#N/A</v>
      </c>
      <c r="N2080" s="8"/>
      <c r="O2080" s="7">
        <f t="shared" si="128"/>
        <v>0</v>
      </c>
      <c r="P2080" s="7">
        <f t="shared" si="129"/>
        <v>1</v>
      </c>
      <c r="Q2080" s="7">
        <f t="shared" si="130"/>
        <v>1900</v>
      </c>
      <c r="R2080" s="6">
        <f t="shared" si="131"/>
        <v>0</v>
      </c>
    </row>
    <row r="2081" spans="13:18">
      <c r="M2081" s="7" t="e">
        <f>IF(C2081="Caixa","-",VLOOKUP(J2081,[1]Estrutura!C:E,3,FALSE))</f>
        <v>#N/A</v>
      </c>
      <c r="N2081" s="7"/>
      <c r="O2081" s="7">
        <f t="shared" si="128"/>
        <v>0</v>
      </c>
      <c r="P2081" s="7">
        <f t="shared" si="129"/>
        <v>1</v>
      </c>
      <c r="Q2081" s="7">
        <f t="shared" si="130"/>
        <v>1900</v>
      </c>
      <c r="R2081" s="6">
        <f t="shared" si="131"/>
        <v>0</v>
      </c>
    </row>
    <row r="2082" spans="13:18">
      <c r="M2082" s="8" t="e">
        <f>IF(C2082="Caixa","-",VLOOKUP(J2082,[1]Estrutura!C:E,3,FALSE))</f>
        <v>#N/A</v>
      </c>
      <c r="N2082" s="8"/>
      <c r="O2082" s="7">
        <f t="shared" si="128"/>
        <v>0</v>
      </c>
      <c r="P2082" s="7">
        <f t="shared" si="129"/>
        <v>1</v>
      </c>
      <c r="Q2082" s="7">
        <f t="shared" si="130"/>
        <v>1900</v>
      </c>
      <c r="R2082" s="6">
        <f t="shared" si="131"/>
        <v>0</v>
      </c>
    </row>
    <row r="2083" spans="13:18">
      <c r="M2083" s="7" t="e">
        <f>IF(C2083="Caixa","-",VLOOKUP(J2083,[1]Estrutura!C:E,3,FALSE))</f>
        <v>#N/A</v>
      </c>
      <c r="N2083" s="7"/>
      <c r="O2083" s="7">
        <f t="shared" si="128"/>
        <v>0</v>
      </c>
      <c r="P2083" s="7">
        <f t="shared" si="129"/>
        <v>1</v>
      </c>
      <c r="Q2083" s="7">
        <f t="shared" si="130"/>
        <v>1900</v>
      </c>
      <c r="R2083" s="6">
        <f t="shared" si="131"/>
        <v>0</v>
      </c>
    </row>
    <row r="2084" spans="13:18">
      <c r="M2084" s="8" t="e">
        <f>IF(C2084="Caixa","-",VLOOKUP(J2084,[1]Estrutura!C:E,3,FALSE))</f>
        <v>#N/A</v>
      </c>
      <c r="N2084" s="8"/>
      <c r="O2084" s="7">
        <f t="shared" si="128"/>
        <v>0</v>
      </c>
      <c r="P2084" s="7">
        <f t="shared" si="129"/>
        <v>1</v>
      </c>
      <c r="Q2084" s="7">
        <f t="shared" si="130"/>
        <v>1900</v>
      </c>
      <c r="R2084" s="6">
        <f t="shared" si="131"/>
        <v>0</v>
      </c>
    </row>
    <row r="2085" spans="13:18">
      <c r="M2085" s="7" t="e">
        <f>IF(C2085="Caixa","-",VLOOKUP(J2085,[1]Estrutura!C:E,3,FALSE))</f>
        <v>#N/A</v>
      </c>
      <c r="N2085" s="7"/>
      <c r="O2085" s="7">
        <f t="shared" si="128"/>
        <v>0</v>
      </c>
      <c r="P2085" s="7">
        <f t="shared" si="129"/>
        <v>1</v>
      </c>
      <c r="Q2085" s="7">
        <f t="shared" si="130"/>
        <v>1900</v>
      </c>
      <c r="R2085" s="6">
        <f t="shared" si="131"/>
        <v>0</v>
      </c>
    </row>
    <row r="2086" spans="13:18">
      <c r="M2086" s="8" t="e">
        <f>IF(C2086="Caixa","-",VLOOKUP(J2086,[1]Estrutura!C:E,3,FALSE))</f>
        <v>#N/A</v>
      </c>
      <c r="N2086" s="8"/>
      <c r="O2086" s="7">
        <f t="shared" si="128"/>
        <v>0</v>
      </c>
      <c r="P2086" s="7">
        <f t="shared" si="129"/>
        <v>1</v>
      </c>
      <c r="Q2086" s="7">
        <f t="shared" si="130"/>
        <v>1900</v>
      </c>
      <c r="R2086" s="6">
        <f t="shared" si="131"/>
        <v>0</v>
      </c>
    </row>
    <row r="2087" spans="13:18">
      <c r="M2087" s="7" t="e">
        <f>IF(C2087="Caixa","-",VLOOKUP(J2087,[1]Estrutura!C:E,3,FALSE))</f>
        <v>#N/A</v>
      </c>
      <c r="N2087" s="7"/>
      <c r="O2087" s="7">
        <f t="shared" si="128"/>
        <v>0</v>
      </c>
      <c r="P2087" s="7">
        <f t="shared" si="129"/>
        <v>1</v>
      </c>
      <c r="Q2087" s="7">
        <f t="shared" si="130"/>
        <v>1900</v>
      </c>
      <c r="R2087" s="6">
        <f t="shared" si="131"/>
        <v>0</v>
      </c>
    </row>
    <row r="2088" spans="13:18">
      <c r="M2088" s="8" t="e">
        <f>IF(C2088="Caixa","-",VLOOKUP(J2088,[1]Estrutura!C:E,3,FALSE))</f>
        <v>#N/A</v>
      </c>
      <c r="N2088" s="8"/>
      <c r="O2088" s="7">
        <f t="shared" si="128"/>
        <v>0</v>
      </c>
      <c r="P2088" s="7">
        <f t="shared" si="129"/>
        <v>1</v>
      </c>
      <c r="Q2088" s="7">
        <f t="shared" si="130"/>
        <v>1900</v>
      </c>
      <c r="R2088" s="6">
        <f t="shared" si="131"/>
        <v>0</v>
      </c>
    </row>
    <row r="2089" spans="13:18">
      <c r="M2089" s="7" t="e">
        <f>IF(C2089="Caixa","-",VLOOKUP(J2089,[1]Estrutura!C:E,3,FALSE))</f>
        <v>#N/A</v>
      </c>
      <c r="N2089" s="7"/>
      <c r="O2089" s="7">
        <f t="shared" si="128"/>
        <v>0</v>
      </c>
      <c r="P2089" s="7">
        <f t="shared" si="129"/>
        <v>1</v>
      </c>
      <c r="Q2089" s="7">
        <f t="shared" si="130"/>
        <v>1900</v>
      </c>
      <c r="R2089" s="6">
        <f t="shared" si="131"/>
        <v>0</v>
      </c>
    </row>
    <row r="2090" spans="13:18">
      <c r="M2090" s="8" t="e">
        <f>IF(C2090="Caixa","-",VLOOKUP(J2090,[1]Estrutura!C:E,3,FALSE))</f>
        <v>#N/A</v>
      </c>
      <c r="N2090" s="8"/>
      <c r="O2090" s="7">
        <f t="shared" si="128"/>
        <v>0</v>
      </c>
      <c r="P2090" s="7">
        <f t="shared" si="129"/>
        <v>1</v>
      </c>
      <c r="Q2090" s="7">
        <f t="shared" si="130"/>
        <v>1900</v>
      </c>
      <c r="R2090" s="6">
        <f t="shared" si="131"/>
        <v>0</v>
      </c>
    </row>
    <row r="2091" spans="13:18">
      <c r="M2091" s="7" t="e">
        <f>IF(C2091="Caixa","-",VLOOKUP(J2091,[1]Estrutura!C:E,3,FALSE))</f>
        <v>#N/A</v>
      </c>
      <c r="N2091" s="7"/>
      <c r="O2091" s="7">
        <f t="shared" si="128"/>
        <v>0</v>
      </c>
      <c r="P2091" s="7">
        <f t="shared" si="129"/>
        <v>1</v>
      </c>
      <c r="Q2091" s="7">
        <f t="shared" si="130"/>
        <v>1900</v>
      </c>
      <c r="R2091" s="6">
        <f t="shared" si="131"/>
        <v>0</v>
      </c>
    </row>
    <row r="2092" spans="13:18">
      <c r="M2092" s="8" t="e">
        <f>IF(C2092="Caixa","-",VLOOKUP(J2092,[1]Estrutura!C:E,3,FALSE))</f>
        <v>#N/A</v>
      </c>
      <c r="N2092" s="8"/>
      <c r="O2092" s="7">
        <f t="shared" si="128"/>
        <v>0</v>
      </c>
      <c r="P2092" s="7">
        <f t="shared" si="129"/>
        <v>1</v>
      </c>
      <c r="Q2092" s="7">
        <f t="shared" si="130"/>
        <v>1900</v>
      </c>
      <c r="R2092" s="6">
        <f t="shared" si="131"/>
        <v>0</v>
      </c>
    </row>
    <row r="2093" spans="13:18">
      <c r="M2093" s="7" t="e">
        <f>IF(C2093="Caixa","-",VLOOKUP(J2093,[1]Estrutura!C:E,3,FALSE))</f>
        <v>#N/A</v>
      </c>
      <c r="N2093" s="7"/>
      <c r="O2093" s="7">
        <f t="shared" si="128"/>
        <v>0</v>
      </c>
      <c r="P2093" s="7">
        <f t="shared" si="129"/>
        <v>1</v>
      </c>
      <c r="Q2093" s="7">
        <f t="shared" si="130"/>
        <v>1900</v>
      </c>
      <c r="R2093" s="6">
        <f t="shared" si="131"/>
        <v>0</v>
      </c>
    </row>
    <row r="2094" spans="13:18">
      <c r="M2094" s="8" t="e">
        <f>IF(C2094="Caixa","-",VLOOKUP(J2094,[1]Estrutura!C:E,3,FALSE))</f>
        <v>#N/A</v>
      </c>
      <c r="N2094" s="8"/>
      <c r="O2094" s="7">
        <f t="shared" si="128"/>
        <v>0</v>
      </c>
      <c r="P2094" s="7">
        <f t="shared" si="129"/>
        <v>1</v>
      </c>
      <c r="Q2094" s="7">
        <f t="shared" si="130"/>
        <v>1900</v>
      </c>
      <c r="R2094" s="6">
        <f t="shared" si="131"/>
        <v>0</v>
      </c>
    </row>
    <row r="2095" spans="13:18">
      <c r="M2095" s="7" t="e">
        <f>IF(C2095="Caixa","-",VLOOKUP(J2095,[1]Estrutura!C:E,3,FALSE))</f>
        <v>#N/A</v>
      </c>
      <c r="N2095" s="7"/>
      <c r="O2095" s="7">
        <f t="shared" si="128"/>
        <v>0</v>
      </c>
      <c r="P2095" s="7">
        <f t="shared" si="129"/>
        <v>1</v>
      </c>
      <c r="Q2095" s="7">
        <f t="shared" si="130"/>
        <v>1900</v>
      </c>
      <c r="R2095" s="6">
        <f t="shared" si="131"/>
        <v>0</v>
      </c>
    </row>
    <row r="2096" spans="13:18">
      <c r="M2096" s="8" t="e">
        <f>IF(C2096="Caixa","-",VLOOKUP(J2096,[1]Estrutura!C:E,3,FALSE))</f>
        <v>#N/A</v>
      </c>
      <c r="N2096" s="8"/>
      <c r="O2096" s="7">
        <f t="shared" si="128"/>
        <v>0</v>
      </c>
      <c r="P2096" s="7">
        <f t="shared" si="129"/>
        <v>1</v>
      </c>
      <c r="Q2096" s="7">
        <f t="shared" si="130"/>
        <v>1900</v>
      </c>
      <c r="R2096" s="6">
        <f t="shared" si="131"/>
        <v>0</v>
      </c>
    </row>
    <row r="2097" spans="13:18">
      <c r="M2097" s="7" t="e">
        <f>IF(C2097="Caixa","-",VLOOKUP(J2097,[1]Estrutura!C:E,3,FALSE))</f>
        <v>#N/A</v>
      </c>
      <c r="N2097" s="7"/>
      <c r="O2097" s="7">
        <f t="shared" si="128"/>
        <v>0</v>
      </c>
      <c r="P2097" s="7">
        <f t="shared" si="129"/>
        <v>1</v>
      </c>
      <c r="Q2097" s="7">
        <f t="shared" si="130"/>
        <v>1900</v>
      </c>
      <c r="R2097" s="6">
        <f t="shared" si="131"/>
        <v>0</v>
      </c>
    </row>
    <row r="2098" spans="13:18">
      <c r="M2098" s="8" t="e">
        <f>IF(C2098="Caixa","-",VLOOKUP(J2098,[1]Estrutura!C:E,3,FALSE))</f>
        <v>#N/A</v>
      </c>
      <c r="N2098" s="8"/>
      <c r="O2098" s="7">
        <f t="shared" si="128"/>
        <v>0</v>
      </c>
      <c r="P2098" s="7">
        <f t="shared" si="129"/>
        <v>1</v>
      </c>
      <c r="Q2098" s="7">
        <f t="shared" si="130"/>
        <v>1900</v>
      </c>
      <c r="R2098" s="6">
        <f t="shared" si="131"/>
        <v>0</v>
      </c>
    </row>
    <row r="2099" spans="13:18">
      <c r="M2099" s="7" t="e">
        <f>IF(C2099="Caixa","-",VLOOKUP(J2099,[1]Estrutura!C:E,3,FALSE))</f>
        <v>#N/A</v>
      </c>
      <c r="N2099" s="7"/>
      <c r="O2099" s="7">
        <f t="shared" si="128"/>
        <v>0</v>
      </c>
      <c r="P2099" s="7">
        <f t="shared" si="129"/>
        <v>1</v>
      </c>
      <c r="Q2099" s="7">
        <f t="shared" si="130"/>
        <v>1900</v>
      </c>
      <c r="R2099" s="6">
        <f t="shared" si="131"/>
        <v>0</v>
      </c>
    </row>
    <row r="2100" spans="13:18">
      <c r="M2100" s="8" t="e">
        <f>IF(C2100="Caixa","-",VLOOKUP(J2100,[1]Estrutura!C:E,3,FALSE))</f>
        <v>#N/A</v>
      </c>
      <c r="N2100" s="8"/>
      <c r="O2100" s="7">
        <f t="shared" si="128"/>
        <v>0</v>
      </c>
      <c r="P2100" s="7">
        <f t="shared" si="129"/>
        <v>1</v>
      </c>
      <c r="Q2100" s="7">
        <f t="shared" si="130"/>
        <v>1900</v>
      </c>
      <c r="R2100" s="6">
        <f t="shared" si="131"/>
        <v>0</v>
      </c>
    </row>
    <row r="2101" spans="13:18">
      <c r="M2101" s="7" t="e">
        <f>IF(C2101="Caixa","-",VLOOKUP(J2101,[1]Estrutura!C:E,3,FALSE))</f>
        <v>#N/A</v>
      </c>
      <c r="N2101" s="7"/>
      <c r="O2101" s="7">
        <f t="shared" si="128"/>
        <v>0</v>
      </c>
      <c r="P2101" s="7">
        <f t="shared" si="129"/>
        <v>1</v>
      </c>
      <c r="Q2101" s="7">
        <f t="shared" si="130"/>
        <v>1900</v>
      </c>
      <c r="R2101" s="6">
        <f t="shared" si="131"/>
        <v>0</v>
      </c>
    </row>
    <row r="2102" spans="13:18">
      <c r="M2102" s="8" t="e">
        <f>IF(C2102="Caixa","-",VLOOKUP(J2102,[1]Estrutura!C:E,3,FALSE))</f>
        <v>#N/A</v>
      </c>
      <c r="N2102" s="8"/>
      <c r="O2102" s="7">
        <f t="shared" si="128"/>
        <v>0</v>
      </c>
      <c r="P2102" s="7">
        <f t="shared" si="129"/>
        <v>1</v>
      </c>
      <c r="Q2102" s="7">
        <f t="shared" si="130"/>
        <v>1900</v>
      </c>
      <c r="R2102" s="6">
        <f t="shared" si="131"/>
        <v>0</v>
      </c>
    </row>
    <row r="2103" spans="13:18">
      <c r="M2103" s="7" t="e">
        <f>IF(C2103="Caixa","-",VLOOKUP(J2103,[1]Estrutura!C:E,3,FALSE))</f>
        <v>#N/A</v>
      </c>
      <c r="N2103" s="7"/>
      <c r="O2103" s="7">
        <f t="shared" si="128"/>
        <v>0</v>
      </c>
      <c r="P2103" s="7">
        <f t="shared" si="129"/>
        <v>1</v>
      </c>
      <c r="Q2103" s="7">
        <f t="shared" si="130"/>
        <v>1900</v>
      </c>
      <c r="R2103" s="6">
        <f t="shared" si="131"/>
        <v>0</v>
      </c>
    </row>
    <row r="2104" spans="13:18">
      <c r="M2104" s="8" t="e">
        <f>IF(C2104="Caixa","-",VLOOKUP(J2104,[1]Estrutura!C:E,3,FALSE))</f>
        <v>#N/A</v>
      </c>
      <c r="N2104" s="8"/>
      <c r="O2104" s="7">
        <f t="shared" si="128"/>
        <v>0</v>
      </c>
      <c r="P2104" s="7">
        <f t="shared" si="129"/>
        <v>1</v>
      </c>
      <c r="Q2104" s="7">
        <f t="shared" si="130"/>
        <v>1900</v>
      </c>
      <c r="R2104" s="6">
        <f t="shared" si="131"/>
        <v>0</v>
      </c>
    </row>
    <row r="2105" spans="13:18">
      <c r="M2105" s="7" t="e">
        <f>IF(C2105="Caixa","-",VLOOKUP(J2105,[1]Estrutura!C:E,3,FALSE))</f>
        <v>#N/A</v>
      </c>
      <c r="N2105" s="7"/>
      <c r="O2105" s="7">
        <f t="shared" si="128"/>
        <v>0</v>
      </c>
      <c r="P2105" s="7">
        <f t="shared" si="129"/>
        <v>1</v>
      </c>
      <c r="Q2105" s="7">
        <f t="shared" si="130"/>
        <v>1900</v>
      </c>
      <c r="R2105" s="6">
        <f t="shared" si="131"/>
        <v>0</v>
      </c>
    </row>
    <row r="2106" spans="13:18">
      <c r="M2106" s="8" t="e">
        <f>IF(C2106="Caixa","-",VLOOKUP(J2106,[1]Estrutura!C:E,3,FALSE))</f>
        <v>#N/A</v>
      </c>
      <c r="N2106" s="8"/>
      <c r="O2106" s="7">
        <f t="shared" si="128"/>
        <v>0</v>
      </c>
      <c r="P2106" s="7">
        <f t="shared" si="129"/>
        <v>1</v>
      </c>
      <c r="Q2106" s="7">
        <f t="shared" si="130"/>
        <v>1900</v>
      </c>
      <c r="R2106" s="6">
        <f t="shared" si="131"/>
        <v>0</v>
      </c>
    </row>
    <row r="2107" spans="13:18">
      <c r="M2107" s="7" t="e">
        <f>IF(C2107="Caixa","-",VLOOKUP(J2107,[1]Estrutura!C:E,3,FALSE))</f>
        <v>#N/A</v>
      </c>
      <c r="N2107" s="7"/>
      <c r="O2107" s="7">
        <f t="shared" si="128"/>
        <v>0</v>
      </c>
      <c r="P2107" s="7">
        <f t="shared" si="129"/>
        <v>1</v>
      </c>
      <c r="Q2107" s="7">
        <f t="shared" si="130"/>
        <v>1900</v>
      </c>
      <c r="R2107" s="6">
        <f t="shared" si="131"/>
        <v>0</v>
      </c>
    </row>
    <row r="2108" spans="13:18">
      <c r="M2108" s="8" t="e">
        <f>IF(C2108="Caixa","-",VLOOKUP(J2108,[1]Estrutura!C:E,3,FALSE))</f>
        <v>#N/A</v>
      </c>
      <c r="N2108" s="8"/>
      <c r="O2108" s="7">
        <f t="shared" si="128"/>
        <v>0</v>
      </c>
      <c r="P2108" s="7">
        <f t="shared" si="129"/>
        <v>1</v>
      </c>
      <c r="Q2108" s="7">
        <f t="shared" si="130"/>
        <v>1900</v>
      </c>
      <c r="R2108" s="6">
        <f t="shared" si="131"/>
        <v>0</v>
      </c>
    </row>
    <row r="2109" spans="13:18">
      <c r="M2109" s="7" t="e">
        <f>IF(C2109="Caixa","-",VLOOKUP(J2109,[1]Estrutura!C:E,3,FALSE))</f>
        <v>#N/A</v>
      </c>
      <c r="N2109" s="7"/>
      <c r="O2109" s="7">
        <f t="shared" si="128"/>
        <v>0</v>
      </c>
      <c r="P2109" s="7">
        <f t="shared" si="129"/>
        <v>1</v>
      </c>
      <c r="Q2109" s="7">
        <f t="shared" si="130"/>
        <v>1900</v>
      </c>
      <c r="R2109" s="6">
        <f t="shared" si="131"/>
        <v>0</v>
      </c>
    </row>
    <row r="2110" spans="13:18">
      <c r="M2110" s="8" t="e">
        <f>IF(C2110="Caixa","-",VLOOKUP(J2110,[1]Estrutura!C:E,3,FALSE))</f>
        <v>#N/A</v>
      </c>
      <c r="N2110" s="8"/>
      <c r="O2110" s="7">
        <f t="shared" si="128"/>
        <v>0</v>
      </c>
      <c r="P2110" s="7">
        <f t="shared" si="129"/>
        <v>1</v>
      </c>
      <c r="Q2110" s="7">
        <f t="shared" si="130"/>
        <v>1900</v>
      </c>
      <c r="R2110" s="6">
        <f t="shared" si="131"/>
        <v>0</v>
      </c>
    </row>
    <row r="2111" spans="13:18">
      <c r="M2111" s="7" t="e">
        <f>IF(C2111="Caixa","-",VLOOKUP(J2111,[1]Estrutura!C:E,3,FALSE))</f>
        <v>#N/A</v>
      </c>
      <c r="N2111" s="7"/>
      <c r="O2111" s="7">
        <f t="shared" si="128"/>
        <v>0</v>
      </c>
      <c r="P2111" s="7">
        <f t="shared" si="129"/>
        <v>1</v>
      </c>
      <c r="Q2111" s="7">
        <f t="shared" si="130"/>
        <v>1900</v>
      </c>
      <c r="R2111" s="6">
        <f t="shared" si="131"/>
        <v>0</v>
      </c>
    </row>
    <row r="2112" spans="13:18">
      <c r="M2112" s="8" t="e">
        <f>IF(C2112="Caixa","-",VLOOKUP(J2112,[1]Estrutura!C:E,3,FALSE))</f>
        <v>#N/A</v>
      </c>
      <c r="N2112" s="8"/>
      <c r="O2112" s="7">
        <f t="shared" si="128"/>
        <v>0</v>
      </c>
      <c r="P2112" s="7">
        <f t="shared" si="129"/>
        <v>1</v>
      </c>
      <c r="Q2112" s="7">
        <f t="shared" si="130"/>
        <v>1900</v>
      </c>
      <c r="R2112" s="6">
        <f t="shared" si="131"/>
        <v>0</v>
      </c>
    </row>
    <row r="2113" spans="13:18">
      <c r="M2113" s="7" t="e">
        <f>IF(C2113="Caixa","-",VLOOKUP(J2113,[1]Estrutura!C:E,3,FALSE))</f>
        <v>#N/A</v>
      </c>
      <c r="N2113" s="7"/>
      <c r="O2113" s="7">
        <f t="shared" si="128"/>
        <v>0</v>
      </c>
      <c r="P2113" s="7">
        <f t="shared" si="129"/>
        <v>1</v>
      </c>
      <c r="Q2113" s="7">
        <f t="shared" si="130"/>
        <v>1900</v>
      </c>
      <c r="R2113" s="6">
        <f t="shared" si="131"/>
        <v>0</v>
      </c>
    </row>
    <row r="2114" spans="13:18">
      <c r="M2114" s="8" t="e">
        <f>IF(C2114="Caixa","-",VLOOKUP(J2114,[1]Estrutura!C:E,3,FALSE))</f>
        <v>#N/A</v>
      </c>
      <c r="N2114" s="8"/>
      <c r="O2114" s="7">
        <f t="shared" si="128"/>
        <v>0</v>
      </c>
      <c r="P2114" s="7">
        <f t="shared" si="129"/>
        <v>1</v>
      </c>
      <c r="Q2114" s="7">
        <f t="shared" si="130"/>
        <v>1900</v>
      </c>
      <c r="R2114" s="6">
        <f t="shared" si="131"/>
        <v>0</v>
      </c>
    </row>
    <row r="2115" spans="13:18">
      <c r="M2115" s="7" t="e">
        <f>IF(C2115="Caixa","-",VLOOKUP(J2115,[1]Estrutura!C:E,3,FALSE))</f>
        <v>#N/A</v>
      </c>
      <c r="N2115" s="7"/>
      <c r="O2115" s="7">
        <f t="shared" si="128"/>
        <v>0</v>
      </c>
      <c r="P2115" s="7">
        <f t="shared" si="129"/>
        <v>1</v>
      </c>
      <c r="Q2115" s="7">
        <f t="shared" si="130"/>
        <v>1900</v>
      </c>
      <c r="R2115" s="6">
        <f t="shared" si="131"/>
        <v>0</v>
      </c>
    </row>
    <row r="2116" spans="13:18">
      <c r="M2116" s="8" t="e">
        <f>IF(C2116="Caixa","-",VLOOKUP(J2116,[1]Estrutura!C:E,3,FALSE))</f>
        <v>#N/A</v>
      </c>
      <c r="N2116" s="8"/>
      <c r="O2116" s="7">
        <f t="shared" si="128"/>
        <v>0</v>
      </c>
      <c r="P2116" s="7">
        <f t="shared" si="129"/>
        <v>1</v>
      </c>
      <c r="Q2116" s="7">
        <f t="shared" si="130"/>
        <v>1900</v>
      </c>
      <c r="R2116" s="6">
        <f t="shared" si="131"/>
        <v>0</v>
      </c>
    </row>
    <row r="2117" spans="13:18">
      <c r="M2117" s="7" t="e">
        <f>IF(C2117="Caixa","-",VLOOKUP(J2117,[1]Estrutura!C:E,3,FALSE))</f>
        <v>#N/A</v>
      </c>
      <c r="N2117" s="7"/>
      <c r="O2117" s="7">
        <f t="shared" si="128"/>
        <v>0</v>
      </c>
      <c r="P2117" s="7">
        <f t="shared" si="129"/>
        <v>1</v>
      </c>
      <c r="Q2117" s="7">
        <f t="shared" si="130"/>
        <v>1900</v>
      </c>
      <c r="R2117" s="6">
        <f t="shared" si="131"/>
        <v>0</v>
      </c>
    </row>
    <row r="2118" spans="13:18">
      <c r="M2118" s="8" t="e">
        <f>IF(C2118="Caixa","-",VLOOKUP(J2118,[1]Estrutura!C:E,3,FALSE))</f>
        <v>#N/A</v>
      </c>
      <c r="N2118" s="8"/>
      <c r="O2118" s="7">
        <f t="shared" si="128"/>
        <v>0</v>
      </c>
      <c r="P2118" s="7">
        <f t="shared" si="129"/>
        <v>1</v>
      </c>
      <c r="Q2118" s="7">
        <f t="shared" si="130"/>
        <v>1900</v>
      </c>
      <c r="R2118" s="6">
        <f t="shared" si="131"/>
        <v>0</v>
      </c>
    </row>
    <row r="2119" spans="13:18">
      <c r="M2119" s="7" t="e">
        <f>IF(C2119="Caixa","-",VLOOKUP(J2119,[1]Estrutura!C:E,3,FALSE))</f>
        <v>#N/A</v>
      </c>
      <c r="N2119" s="7"/>
      <c r="O2119" s="7">
        <f t="shared" si="128"/>
        <v>0</v>
      </c>
      <c r="P2119" s="7">
        <f t="shared" si="129"/>
        <v>1</v>
      </c>
      <c r="Q2119" s="7">
        <f t="shared" si="130"/>
        <v>1900</v>
      </c>
      <c r="R2119" s="6">
        <f t="shared" si="131"/>
        <v>0</v>
      </c>
    </row>
    <row r="2120" spans="13:18">
      <c r="M2120" s="8" t="e">
        <f>IF(C2120="Caixa","-",VLOOKUP(J2120,[1]Estrutura!C:E,3,FALSE))</f>
        <v>#N/A</v>
      </c>
      <c r="N2120" s="8"/>
      <c r="O2120" s="7">
        <f t="shared" si="128"/>
        <v>0</v>
      </c>
      <c r="P2120" s="7">
        <f t="shared" si="129"/>
        <v>1</v>
      </c>
      <c r="Q2120" s="7">
        <f t="shared" si="130"/>
        <v>1900</v>
      </c>
      <c r="R2120" s="6">
        <f t="shared" si="131"/>
        <v>0</v>
      </c>
    </row>
    <row r="2121" spans="13:18">
      <c r="M2121" s="7" t="e">
        <f>IF(C2121="Caixa","-",VLOOKUP(J2121,[1]Estrutura!C:E,3,FALSE))</f>
        <v>#N/A</v>
      </c>
      <c r="N2121" s="7"/>
      <c r="O2121" s="7">
        <f t="shared" si="128"/>
        <v>0</v>
      </c>
      <c r="P2121" s="7">
        <f t="shared" si="129"/>
        <v>1</v>
      </c>
      <c r="Q2121" s="7">
        <f t="shared" si="130"/>
        <v>1900</v>
      </c>
      <c r="R2121" s="6">
        <f t="shared" si="131"/>
        <v>0</v>
      </c>
    </row>
    <row r="2122" spans="13:18">
      <c r="M2122" s="8" t="e">
        <f>IF(C2122="Caixa","-",VLOOKUP(J2122,[1]Estrutura!C:E,3,FALSE))</f>
        <v>#N/A</v>
      </c>
      <c r="N2122" s="8"/>
      <c r="O2122" s="7">
        <f t="shared" si="128"/>
        <v>0</v>
      </c>
      <c r="P2122" s="7">
        <f t="shared" si="129"/>
        <v>1</v>
      </c>
      <c r="Q2122" s="7">
        <f t="shared" si="130"/>
        <v>1900</v>
      </c>
      <c r="R2122" s="6">
        <f t="shared" si="131"/>
        <v>0</v>
      </c>
    </row>
    <row r="2123" spans="13:18">
      <c r="M2123" s="7" t="e">
        <f>IF(C2123="Caixa","-",VLOOKUP(J2123,[1]Estrutura!C:E,3,FALSE))</f>
        <v>#N/A</v>
      </c>
      <c r="N2123" s="7"/>
      <c r="O2123" s="7">
        <f t="shared" si="128"/>
        <v>0</v>
      </c>
      <c r="P2123" s="7">
        <f t="shared" si="129"/>
        <v>1</v>
      </c>
      <c r="Q2123" s="7">
        <f t="shared" si="130"/>
        <v>1900</v>
      </c>
      <c r="R2123" s="6">
        <f t="shared" si="131"/>
        <v>0</v>
      </c>
    </row>
    <row r="2124" spans="13:18">
      <c r="M2124" s="8" t="e">
        <f>IF(C2124="Caixa","-",VLOOKUP(J2124,[1]Estrutura!C:E,3,FALSE))</f>
        <v>#N/A</v>
      </c>
      <c r="N2124" s="8"/>
      <c r="O2124" s="7">
        <f t="shared" si="128"/>
        <v>0</v>
      </c>
      <c r="P2124" s="7">
        <f t="shared" si="129"/>
        <v>1</v>
      </c>
      <c r="Q2124" s="7">
        <f t="shared" si="130"/>
        <v>1900</v>
      </c>
      <c r="R2124" s="6">
        <f t="shared" si="131"/>
        <v>0</v>
      </c>
    </row>
    <row r="2125" spans="13:18">
      <c r="M2125" s="7" t="e">
        <f>IF(C2125="Caixa","-",VLOOKUP(J2125,[1]Estrutura!C:E,3,FALSE))</f>
        <v>#N/A</v>
      </c>
      <c r="N2125" s="7"/>
      <c r="O2125" s="7">
        <f t="shared" si="128"/>
        <v>0</v>
      </c>
      <c r="P2125" s="7">
        <f t="shared" si="129"/>
        <v>1</v>
      </c>
      <c r="Q2125" s="7">
        <f t="shared" si="130"/>
        <v>1900</v>
      </c>
      <c r="R2125" s="6">
        <f t="shared" si="131"/>
        <v>0</v>
      </c>
    </row>
    <row r="2126" spans="13:18">
      <c r="M2126" s="8" t="e">
        <f>IF(C2126="Caixa","-",VLOOKUP(J2126,[1]Estrutura!C:E,3,FALSE))</f>
        <v>#N/A</v>
      </c>
      <c r="N2126" s="8"/>
      <c r="O2126" s="7">
        <f t="shared" ref="O2126:O2169" si="132">DAY(A2126)</f>
        <v>0</v>
      </c>
      <c r="P2126" s="7">
        <f t="shared" ref="P2126:P2169" si="133">MONTH(A2126)</f>
        <v>1</v>
      </c>
      <c r="Q2126" s="7">
        <f t="shared" ref="Q2126:Q2169" si="134">YEAR(A2126)</f>
        <v>1900</v>
      </c>
      <c r="R2126" s="6">
        <f t="shared" ref="R2126:R2169" si="135">D2126-E2126</f>
        <v>0</v>
      </c>
    </row>
    <row r="2127" spans="13:18">
      <c r="M2127" s="7" t="e">
        <f>IF(C2127="Caixa","-",VLOOKUP(J2127,[1]Estrutura!C:E,3,FALSE))</f>
        <v>#N/A</v>
      </c>
      <c r="N2127" s="7"/>
      <c r="O2127" s="7">
        <f t="shared" si="132"/>
        <v>0</v>
      </c>
      <c r="P2127" s="7">
        <f t="shared" si="133"/>
        <v>1</v>
      </c>
      <c r="Q2127" s="7">
        <f t="shared" si="134"/>
        <v>1900</v>
      </c>
      <c r="R2127" s="6">
        <f t="shared" si="135"/>
        <v>0</v>
      </c>
    </row>
    <row r="2128" spans="13:18">
      <c r="M2128" s="8" t="e">
        <f>IF(C2128="Caixa","-",VLOOKUP(J2128,[1]Estrutura!C:E,3,FALSE))</f>
        <v>#N/A</v>
      </c>
      <c r="N2128" s="8"/>
      <c r="O2128" s="7">
        <f t="shared" si="132"/>
        <v>0</v>
      </c>
      <c r="P2128" s="7">
        <f t="shared" si="133"/>
        <v>1</v>
      </c>
      <c r="Q2128" s="7">
        <f t="shared" si="134"/>
        <v>1900</v>
      </c>
      <c r="R2128" s="6">
        <f t="shared" si="135"/>
        <v>0</v>
      </c>
    </row>
    <row r="2129" spans="13:18">
      <c r="M2129" s="7" t="e">
        <f>IF(C2129="Caixa","-",VLOOKUP(J2129,[1]Estrutura!C:E,3,FALSE))</f>
        <v>#N/A</v>
      </c>
      <c r="N2129" s="7"/>
      <c r="O2129" s="7">
        <f t="shared" si="132"/>
        <v>0</v>
      </c>
      <c r="P2129" s="7">
        <f t="shared" si="133"/>
        <v>1</v>
      </c>
      <c r="Q2129" s="7">
        <f t="shared" si="134"/>
        <v>1900</v>
      </c>
      <c r="R2129" s="6">
        <f t="shared" si="135"/>
        <v>0</v>
      </c>
    </row>
    <row r="2130" spans="13:18">
      <c r="M2130" s="8" t="e">
        <f>IF(C2130="Caixa","-",VLOOKUP(J2130,[1]Estrutura!C:E,3,FALSE))</f>
        <v>#N/A</v>
      </c>
      <c r="N2130" s="8"/>
      <c r="O2130" s="7">
        <f t="shared" si="132"/>
        <v>0</v>
      </c>
      <c r="P2130" s="7">
        <f t="shared" si="133"/>
        <v>1</v>
      </c>
      <c r="Q2130" s="7">
        <f t="shared" si="134"/>
        <v>1900</v>
      </c>
      <c r="R2130" s="6">
        <f t="shared" si="135"/>
        <v>0</v>
      </c>
    </row>
    <row r="2131" spans="13:18">
      <c r="M2131" s="7" t="e">
        <f>IF(C2131="Caixa","-",VLOOKUP(J2131,[1]Estrutura!C:E,3,FALSE))</f>
        <v>#N/A</v>
      </c>
      <c r="N2131" s="7"/>
      <c r="O2131" s="7">
        <f t="shared" si="132"/>
        <v>0</v>
      </c>
      <c r="P2131" s="7">
        <f t="shared" si="133"/>
        <v>1</v>
      </c>
      <c r="Q2131" s="7">
        <f t="shared" si="134"/>
        <v>1900</v>
      </c>
      <c r="R2131" s="6">
        <f t="shared" si="135"/>
        <v>0</v>
      </c>
    </row>
    <row r="2132" spans="13:18">
      <c r="M2132" s="8" t="e">
        <f>IF(C2132="Caixa","-",VLOOKUP(J2132,[1]Estrutura!C:E,3,FALSE))</f>
        <v>#N/A</v>
      </c>
      <c r="N2132" s="8"/>
      <c r="O2132" s="7">
        <f t="shared" si="132"/>
        <v>0</v>
      </c>
      <c r="P2132" s="7">
        <f t="shared" si="133"/>
        <v>1</v>
      </c>
      <c r="Q2132" s="7">
        <f t="shared" si="134"/>
        <v>1900</v>
      </c>
      <c r="R2132" s="6">
        <f t="shared" si="135"/>
        <v>0</v>
      </c>
    </row>
    <row r="2133" spans="13:18">
      <c r="M2133" s="7" t="e">
        <f>IF(C2133="Caixa","-",VLOOKUP(J2133,[1]Estrutura!C:E,3,FALSE))</f>
        <v>#N/A</v>
      </c>
      <c r="N2133" s="7"/>
      <c r="O2133" s="7">
        <f t="shared" si="132"/>
        <v>0</v>
      </c>
      <c r="P2133" s="7">
        <f t="shared" si="133"/>
        <v>1</v>
      </c>
      <c r="Q2133" s="7">
        <f t="shared" si="134"/>
        <v>1900</v>
      </c>
      <c r="R2133" s="6">
        <f t="shared" si="135"/>
        <v>0</v>
      </c>
    </row>
    <row r="2134" spans="13:18">
      <c r="M2134" s="8" t="e">
        <f>IF(C2134="Caixa","-",VLOOKUP(J2134,[1]Estrutura!C:E,3,FALSE))</f>
        <v>#N/A</v>
      </c>
      <c r="N2134" s="8"/>
      <c r="O2134" s="7">
        <f t="shared" si="132"/>
        <v>0</v>
      </c>
      <c r="P2134" s="7">
        <f t="shared" si="133"/>
        <v>1</v>
      </c>
      <c r="Q2134" s="7">
        <f t="shared" si="134"/>
        <v>1900</v>
      </c>
      <c r="R2134" s="6">
        <f t="shared" si="135"/>
        <v>0</v>
      </c>
    </row>
    <row r="2135" spans="13:18">
      <c r="M2135" s="7" t="e">
        <f>IF(C2135="Caixa","-",VLOOKUP(J2135,[1]Estrutura!C:E,3,FALSE))</f>
        <v>#N/A</v>
      </c>
      <c r="N2135" s="7"/>
      <c r="O2135" s="7">
        <f t="shared" si="132"/>
        <v>0</v>
      </c>
      <c r="P2135" s="7">
        <f t="shared" si="133"/>
        <v>1</v>
      </c>
      <c r="Q2135" s="7">
        <f t="shared" si="134"/>
        <v>1900</v>
      </c>
      <c r="R2135" s="6">
        <f t="shared" si="135"/>
        <v>0</v>
      </c>
    </row>
    <row r="2136" spans="13:18">
      <c r="M2136" s="8" t="e">
        <f>IF(C2136="Caixa","-",VLOOKUP(J2136,[1]Estrutura!C:E,3,FALSE))</f>
        <v>#N/A</v>
      </c>
      <c r="N2136" s="8"/>
      <c r="O2136" s="7">
        <f t="shared" si="132"/>
        <v>0</v>
      </c>
      <c r="P2136" s="7">
        <f t="shared" si="133"/>
        <v>1</v>
      </c>
      <c r="Q2136" s="7">
        <f t="shared" si="134"/>
        <v>1900</v>
      </c>
      <c r="R2136" s="6">
        <f t="shared" si="135"/>
        <v>0</v>
      </c>
    </row>
    <row r="2137" spans="13:18">
      <c r="M2137" s="7" t="e">
        <f>IF(C2137="Caixa","-",VLOOKUP(J2137,[1]Estrutura!C:E,3,FALSE))</f>
        <v>#N/A</v>
      </c>
      <c r="N2137" s="7"/>
      <c r="O2137" s="7">
        <f t="shared" si="132"/>
        <v>0</v>
      </c>
      <c r="P2137" s="7">
        <f t="shared" si="133"/>
        <v>1</v>
      </c>
      <c r="Q2137" s="7">
        <f t="shared" si="134"/>
        <v>1900</v>
      </c>
      <c r="R2137" s="6">
        <f t="shared" si="135"/>
        <v>0</v>
      </c>
    </row>
    <row r="2138" spans="13:18">
      <c r="M2138" s="8" t="e">
        <f>IF(C2138="Caixa","-",VLOOKUP(J2138,[1]Estrutura!C:E,3,FALSE))</f>
        <v>#N/A</v>
      </c>
      <c r="N2138" s="8"/>
      <c r="O2138" s="7">
        <f t="shared" si="132"/>
        <v>0</v>
      </c>
      <c r="P2138" s="7">
        <f t="shared" si="133"/>
        <v>1</v>
      </c>
      <c r="Q2138" s="7">
        <f t="shared" si="134"/>
        <v>1900</v>
      </c>
      <c r="R2138" s="6">
        <f t="shared" si="135"/>
        <v>0</v>
      </c>
    </row>
    <row r="2139" spans="13:18">
      <c r="M2139" s="7" t="e">
        <f>IF(C2139="Caixa","-",VLOOKUP(J2139,[1]Estrutura!C:E,3,FALSE))</f>
        <v>#N/A</v>
      </c>
      <c r="N2139" s="7"/>
      <c r="O2139" s="7">
        <f t="shared" si="132"/>
        <v>0</v>
      </c>
      <c r="P2139" s="7">
        <f t="shared" si="133"/>
        <v>1</v>
      </c>
      <c r="Q2139" s="7">
        <f t="shared" si="134"/>
        <v>1900</v>
      </c>
      <c r="R2139" s="6">
        <f t="shared" si="135"/>
        <v>0</v>
      </c>
    </row>
    <row r="2140" spans="13:18">
      <c r="M2140" s="8" t="e">
        <f>IF(C2140="Caixa","-",VLOOKUP(J2140,[1]Estrutura!C:E,3,FALSE))</f>
        <v>#N/A</v>
      </c>
      <c r="N2140" s="8"/>
      <c r="O2140" s="7">
        <f t="shared" si="132"/>
        <v>0</v>
      </c>
      <c r="P2140" s="7">
        <f t="shared" si="133"/>
        <v>1</v>
      </c>
      <c r="Q2140" s="7">
        <f t="shared" si="134"/>
        <v>1900</v>
      </c>
      <c r="R2140" s="6">
        <f t="shared" si="135"/>
        <v>0</v>
      </c>
    </row>
    <row r="2141" spans="13:18">
      <c r="M2141" s="7" t="e">
        <f>IF(C2141="Caixa","-",VLOOKUP(J2141,[1]Estrutura!C:E,3,FALSE))</f>
        <v>#N/A</v>
      </c>
      <c r="N2141" s="7"/>
      <c r="O2141" s="7">
        <f t="shared" si="132"/>
        <v>0</v>
      </c>
      <c r="P2141" s="7">
        <f t="shared" si="133"/>
        <v>1</v>
      </c>
      <c r="Q2141" s="7">
        <f t="shared" si="134"/>
        <v>1900</v>
      </c>
      <c r="R2141" s="6">
        <f t="shared" si="135"/>
        <v>0</v>
      </c>
    </row>
    <row r="2142" spans="13:18">
      <c r="M2142" s="8" t="e">
        <f>IF(C2142="Caixa","-",VLOOKUP(J2142,[1]Estrutura!C:E,3,FALSE))</f>
        <v>#N/A</v>
      </c>
      <c r="N2142" s="8"/>
      <c r="O2142" s="7">
        <f t="shared" si="132"/>
        <v>0</v>
      </c>
      <c r="P2142" s="7">
        <f t="shared" si="133"/>
        <v>1</v>
      </c>
      <c r="Q2142" s="7">
        <f t="shared" si="134"/>
        <v>1900</v>
      </c>
      <c r="R2142" s="6">
        <f t="shared" si="135"/>
        <v>0</v>
      </c>
    </row>
    <row r="2143" spans="13:18">
      <c r="M2143" s="7" t="e">
        <f>IF(C2143="Caixa","-",VLOOKUP(J2143,[1]Estrutura!C:E,3,FALSE))</f>
        <v>#N/A</v>
      </c>
      <c r="N2143" s="7"/>
      <c r="O2143" s="7">
        <f t="shared" si="132"/>
        <v>0</v>
      </c>
      <c r="P2143" s="7">
        <f t="shared" si="133"/>
        <v>1</v>
      </c>
      <c r="Q2143" s="7">
        <f t="shared" si="134"/>
        <v>1900</v>
      </c>
      <c r="R2143" s="6">
        <f t="shared" si="135"/>
        <v>0</v>
      </c>
    </row>
    <row r="2144" spans="13:18">
      <c r="M2144" s="8" t="e">
        <f>IF(C2144="Caixa","-",VLOOKUP(J2144,[1]Estrutura!C:E,3,FALSE))</f>
        <v>#N/A</v>
      </c>
      <c r="N2144" s="8"/>
      <c r="O2144" s="7">
        <f t="shared" si="132"/>
        <v>0</v>
      </c>
      <c r="P2144" s="7">
        <f t="shared" si="133"/>
        <v>1</v>
      </c>
      <c r="Q2144" s="7">
        <f t="shared" si="134"/>
        <v>1900</v>
      </c>
      <c r="R2144" s="6">
        <f t="shared" si="135"/>
        <v>0</v>
      </c>
    </row>
    <row r="2145" spans="13:18">
      <c r="M2145" s="7" t="e">
        <f>IF(C2145="Caixa","-",VLOOKUP(J2145,[1]Estrutura!C:E,3,FALSE))</f>
        <v>#N/A</v>
      </c>
      <c r="N2145" s="7"/>
      <c r="O2145" s="7">
        <f t="shared" si="132"/>
        <v>0</v>
      </c>
      <c r="P2145" s="7">
        <f t="shared" si="133"/>
        <v>1</v>
      </c>
      <c r="Q2145" s="7">
        <f t="shared" si="134"/>
        <v>1900</v>
      </c>
      <c r="R2145" s="6">
        <f t="shared" si="135"/>
        <v>0</v>
      </c>
    </row>
    <row r="2146" spans="13:18">
      <c r="M2146" s="8" t="e">
        <f>IF(C2146="Caixa","-",VLOOKUP(J2146,[1]Estrutura!C:E,3,FALSE))</f>
        <v>#N/A</v>
      </c>
      <c r="N2146" s="8"/>
      <c r="O2146" s="7">
        <f t="shared" si="132"/>
        <v>0</v>
      </c>
      <c r="P2146" s="7">
        <f t="shared" si="133"/>
        <v>1</v>
      </c>
      <c r="Q2146" s="7">
        <f t="shared" si="134"/>
        <v>1900</v>
      </c>
      <c r="R2146" s="6">
        <f t="shared" si="135"/>
        <v>0</v>
      </c>
    </row>
    <row r="2147" spans="13:18">
      <c r="M2147" s="7" t="e">
        <f>IF(C2147="Caixa","-",VLOOKUP(J2147,[1]Estrutura!C:E,3,FALSE))</f>
        <v>#N/A</v>
      </c>
      <c r="N2147" s="7"/>
      <c r="O2147" s="7">
        <f t="shared" si="132"/>
        <v>0</v>
      </c>
      <c r="P2147" s="7">
        <f t="shared" si="133"/>
        <v>1</v>
      </c>
      <c r="Q2147" s="7">
        <f t="shared" si="134"/>
        <v>1900</v>
      </c>
      <c r="R2147" s="6">
        <f t="shared" si="135"/>
        <v>0</v>
      </c>
    </row>
    <row r="2148" spans="13:18">
      <c r="M2148" s="8" t="e">
        <f>IF(C2148="Caixa","-",VLOOKUP(J2148,[1]Estrutura!C:E,3,FALSE))</f>
        <v>#N/A</v>
      </c>
      <c r="N2148" s="8"/>
      <c r="O2148" s="7">
        <f t="shared" si="132"/>
        <v>0</v>
      </c>
      <c r="P2148" s="7">
        <f t="shared" si="133"/>
        <v>1</v>
      </c>
      <c r="Q2148" s="7">
        <f t="shared" si="134"/>
        <v>1900</v>
      </c>
      <c r="R2148" s="6">
        <f t="shared" si="135"/>
        <v>0</v>
      </c>
    </row>
    <row r="2149" spans="13:18">
      <c r="M2149" s="7" t="e">
        <f>IF(C2149="Caixa","-",VLOOKUP(J2149,[1]Estrutura!C:E,3,FALSE))</f>
        <v>#N/A</v>
      </c>
      <c r="N2149" s="7"/>
      <c r="O2149" s="7">
        <f t="shared" si="132"/>
        <v>0</v>
      </c>
      <c r="P2149" s="7">
        <f t="shared" si="133"/>
        <v>1</v>
      </c>
      <c r="Q2149" s="7">
        <f t="shared" si="134"/>
        <v>1900</v>
      </c>
      <c r="R2149" s="6">
        <f t="shared" si="135"/>
        <v>0</v>
      </c>
    </row>
    <row r="2150" spans="13:18">
      <c r="M2150" s="8" t="e">
        <f>IF(C2150="Caixa","-",VLOOKUP(J2150,[1]Estrutura!C:E,3,FALSE))</f>
        <v>#N/A</v>
      </c>
      <c r="N2150" s="8"/>
      <c r="O2150" s="7">
        <f t="shared" si="132"/>
        <v>0</v>
      </c>
      <c r="P2150" s="7">
        <f t="shared" si="133"/>
        <v>1</v>
      </c>
      <c r="Q2150" s="7">
        <f t="shared" si="134"/>
        <v>1900</v>
      </c>
      <c r="R2150" s="6">
        <f t="shared" si="135"/>
        <v>0</v>
      </c>
    </row>
    <row r="2151" spans="13:18">
      <c r="M2151" s="7" t="e">
        <f>IF(C2151="Caixa","-",VLOOKUP(J2151,[1]Estrutura!C:E,3,FALSE))</f>
        <v>#N/A</v>
      </c>
      <c r="N2151" s="7"/>
      <c r="O2151" s="7">
        <f t="shared" si="132"/>
        <v>0</v>
      </c>
      <c r="P2151" s="7">
        <f t="shared" si="133"/>
        <v>1</v>
      </c>
      <c r="Q2151" s="7">
        <f t="shared" si="134"/>
        <v>1900</v>
      </c>
      <c r="R2151" s="6">
        <f t="shared" si="135"/>
        <v>0</v>
      </c>
    </row>
    <row r="2152" spans="13:18">
      <c r="M2152" s="8" t="e">
        <f>IF(C2152="Caixa","-",VLOOKUP(J2152,[1]Estrutura!C:E,3,FALSE))</f>
        <v>#N/A</v>
      </c>
      <c r="N2152" s="8"/>
      <c r="O2152" s="7">
        <f t="shared" si="132"/>
        <v>0</v>
      </c>
      <c r="P2152" s="7">
        <f t="shared" si="133"/>
        <v>1</v>
      </c>
      <c r="Q2152" s="7">
        <f t="shared" si="134"/>
        <v>1900</v>
      </c>
      <c r="R2152" s="6">
        <f t="shared" si="135"/>
        <v>0</v>
      </c>
    </row>
    <row r="2153" spans="13:18">
      <c r="M2153" s="7" t="e">
        <f>IF(C2153="Caixa","-",VLOOKUP(J2153,[1]Estrutura!C:E,3,FALSE))</f>
        <v>#N/A</v>
      </c>
      <c r="N2153" s="7"/>
      <c r="O2153" s="7">
        <f t="shared" si="132"/>
        <v>0</v>
      </c>
      <c r="P2153" s="7">
        <f t="shared" si="133"/>
        <v>1</v>
      </c>
      <c r="Q2153" s="7">
        <f t="shared" si="134"/>
        <v>1900</v>
      </c>
      <c r="R2153" s="6">
        <f t="shared" si="135"/>
        <v>0</v>
      </c>
    </row>
    <row r="2154" spans="13:18">
      <c r="M2154" s="8" t="e">
        <f>IF(C2154="Caixa","-",VLOOKUP(J2154,[1]Estrutura!C:E,3,FALSE))</f>
        <v>#N/A</v>
      </c>
      <c r="N2154" s="8"/>
      <c r="O2154" s="7">
        <f t="shared" si="132"/>
        <v>0</v>
      </c>
      <c r="P2154" s="7">
        <f t="shared" si="133"/>
        <v>1</v>
      </c>
      <c r="Q2154" s="7">
        <f t="shared" si="134"/>
        <v>1900</v>
      </c>
      <c r="R2154" s="6">
        <f t="shared" si="135"/>
        <v>0</v>
      </c>
    </row>
    <row r="2155" spans="13:18">
      <c r="M2155" s="7" t="e">
        <f>IF(C2155="Caixa","-",VLOOKUP(J2155,[1]Estrutura!C:E,3,FALSE))</f>
        <v>#N/A</v>
      </c>
      <c r="N2155" s="7"/>
      <c r="O2155" s="7">
        <f t="shared" si="132"/>
        <v>0</v>
      </c>
      <c r="P2155" s="7">
        <f t="shared" si="133"/>
        <v>1</v>
      </c>
      <c r="Q2155" s="7">
        <f t="shared" si="134"/>
        <v>1900</v>
      </c>
      <c r="R2155" s="6">
        <f t="shared" si="135"/>
        <v>0</v>
      </c>
    </row>
    <row r="2156" spans="13:18">
      <c r="M2156" s="8" t="e">
        <f>IF(C2156="Caixa","-",VLOOKUP(J2156,[1]Estrutura!C:E,3,FALSE))</f>
        <v>#N/A</v>
      </c>
      <c r="N2156" s="8"/>
      <c r="O2156" s="7">
        <f t="shared" si="132"/>
        <v>0</v>
      </c>
      <c r="P2156" s="7">
        <f t="shared" si="133"/>
        <v>1</v>
      </c>
      <c r="Q2156" s="7">
        <f t="shared" si="134"/>
        <v>1900</v>
      </c>
      <c r="R2156" s="6">
        <f t="shared" si="135"/>
        <v>0</v>
      </c>
    </row>
    <row r="2157" spans="13:18">
      <c r="M2157" s="7" t="e">
        <f>IF(C2157="Caixa","-",VLOOKUP(J2157,[1]Estrutura!C:E,3,FALSE))</f>
        <v>#N/A</v>
      </c>
      <c r="N2157" s="7"/>
      <c r="O2157" s="7">
        <f t="shared" si="132"/>
        <v>0</v>
      </c>
      <c r="P2157" s="7">
        <f t="shared" si="133"/>
        <v>1</v>
      </c>
      <c r="Q2157" s="7">
        <f t="shared" si="134"/>
        <v>1900</v>
      </c>
      <c r="R2157" s="6">
        <f t="shared" si="135"/>
        <v>0</v>
      </c>
    </row>
    <row r="2158" spans="13:18">
      <c r="M2158" s="8" t="e">
        <f>IF(C2158="Caixa","-",VLOOKUP(J2158,[1]Estrutura!C:E,3,FALSE))</f>
        <v>#N/A</v>
      </c>
      <c r="N2158" s="8"/>
      <c r="O2158" s="7">
        <f t="shared" si="132"/>
        <v>0</v>
      </c>
      <c r="P2158" s="7">
        <f t="shared" si="133"/>
        <v>1</v>
      </c>
      <c r="Q2158" s="7">
        <f t="shared" si="134"/>
        <v>1900</v>
      </c>
      <c r="R2158" s="6">
        <f t="shared" si="135"/>
        <v>0</v>
      </c>
    </row>
    <row r="2159" spans="13:18">
      <c r="M2159" s="7" t="e">
        <f>IF(C2159="Caixa","-",VLOOKUP(J2159,[1]Estrutura!C:E,3,FALSE))</f>
        <v>#N/A</v>
      </c>
      <c r="N2159" s="7"/>
      <c r="O2159" s="7">
        <f t="shared" si="132"/>
        <v>0</v>
      </c>
      <c r="P2159" s="7">
        <f t="shared" si="133"/>
        <v>1</v>
      </c>
      <c r="Q2159" s="7">
        <f t="shared" si="134"/>
        <v>1900</v>
      </c>
      <c r="R2159" s="6">
        <f t="shared" si="135"/>
        <v>0</v>
      </c>
    </row>
    <row r="2160" spans="13:18">
      <c r="M2160" s="8" t="e">
        <f>IF(C2160="Caixa","-",VLOOKUP(J2160,[1]Estrutura!C:E,3,FALSE))</f>
        <v>#N/A</v>
      </c>
      <c r="N2160" s="8"/>
      <c r="O2160" s="7">
        <f t="shared" si="132"/>
        <v>0</v>
      </c>
      <c r="P2160" s="7">
        <f t="shared" si="133"/>
        <v>1</v>
      </c>
      <c r="Q2160" s="7">
        <f t="shared" si="134"/>
        <v>1900</v>
      </c>
      <c r="R2160" s="6">
        <f t="shared" si="135"/>
        <v>0</v>
      </c>
    </row>
    <row r="2161" spans="13:18">
      <c r="M2161" s="7" t="e">
        <f>IF(C2161="Caixa","-",VLOOKUP(J2161,[1]Estrutura!C:E,3,FALSE))</f>
        <v>#N/A</v>
      </c>
      <c r="N2161" s="7"/>
      <c r="O2161" s="7">
        <f t="shared" si="132"/>
        <v>0</v>
      </c>
      <c r="P2161" s="7">
        <f t="shared" si="133"/>
        <v>1</v>
      </c>
      <c r="Q2161" s="7">
        <f t="shared" si="134"/>
        <v>1900</v>
      </c>
      <c r="R2161" s="6">
        <f t="shared" si="135"/>
        <v>0</v>
      </c>
    </row>
    <row r="2162" spans="13:18">
      <c r="M2162" s="8" t="e">
        <f>IF(C2162="Caixa","-",VLOOKUP(J2162,[1]Estrutura!C:E,3,FALSE))</f>
        <v>#N/A</v>
      </c>
      <c r="N2162" s="8"/>
      <c r="O2162" s="7">
        <f t="shared" si="132"/>
        <v>0</v>
      </c>
      <c r="P2162" s="7">
        <f t="shared" si="133"/>
        <v>1</v>
      </c>
      <c r="Q2162" s="7">
        <f t="shared" si="134"/>
        <v>1900</v>
      </c>
      <c r="R2162" s="6">
        <f t="shared" si="135"/>
        <v>0</v>
      </c>
    </row>
    <row r="2163" spans="13:18">
      <c r="M2163" s="7" t="e">
        <f>IF(C2163="Caixa","-",VLOOKUP(J2163,[1]Estrutura!C:E,3,FALSE))</f>
        <v>#N/A</v>
      </c>
      <c r="N2163" s="7"/>
      <c r="O2163" s="7">
        <f t="shared" si="132"/>
        <v>0</v>
      </c>
      <c r="P2163" s="7">
        <f t="shared" si="133"/>
        <v>1</v>
      </c>
      <c r="Q2163" s="7">
        <f t="shared" si="134"/>
        <v>1900</v>
      </c>
      <c r="R2163" s="6">
        <f t="shared" si="135"/>
        <v>0</v>
      </c>
    </row>
    <row r="2164" spans="13:18">
      <c r="M2164" s="8" t="e">
        <f>IF(C2164="Caixa","-",VLOOKUP(J2164,[1]Estrutura!C:E,3,FALSE))</f>
        <v>#N/A</v>
      </c>
      <c r="N2164" s="8"/>
      <c r="O2164" s="7">
        <f t="shared" si="132"/>
        <v>0</v>
      </c>
      <c r="P2164" s="7">
        <f t="shared" si="133"/>
        <v>1</v>
      </c>
      <c r="Q2164" s="7">
        <f t="shared" si="134"/>
        <v>1900</v>
      </c>
      <c r="R2164" s="6">
        <f t="shared" si="135"/>
        <v>0</v>
      </c>
    </row>
    <row r="2165" spans="13:18">
      <c r="M2165" s="7" t="e">
        <f>IF(C2165="Caixa","-",VLOOKUP(J2165,[1]Estrutura!C:E,3,FALSE))</f>
        <v>#N/A</v>
      </c>
      <c r="N2165" s="7"/>
      <c r="O2165" s="7">
        <f t="shared" si="132"/>
        <v>0</v>
      </c>
      <c r="P2165" s="7">
        <f t="shared" si="133"/>
        <v>1</v>
      </c>
      <c r="Q2165" s="7">
        <f t="shared" si="134"/>
        <v>1900</v>
      </c>
      <c r="R2165" s="6">
        <f t="shared" si="135"/>
        <v>0</v>
      </c>
    </row>
    <row r="2166" spans="13:18">
      <c r="M2166" s="8" t="e">
        <f>IF(C2166="Caixa","-",VLOOKUP(J2166,[1]Estrutura!C:E,3,FALSE))</f>
        <v>#N/A</v>
      </c>
      <c r="N2166" s="8"/>
      <c r="O2166" s="7">
        <f t="shared" si="132"/>
        <v>0</v>
      </c>
      <c r="P2166" s="7">
        <f t="shared" si="133"/>
        <v>1</v>
      </c>
      <c r="Q2166" s="7">
        <f t="shared" si="134"/>
        <v>1900</v>
      </c>
      <c r="R2166" s="6">
        <f t="shared" si="135"/>
        <v>0</v>
      </c>
    </row>
    <row r="2167" spans="13:18">
      <c r="M2167" s="7" t="e">
        <f>IF(C2167="Caixa","-",VLOOKUP(J2167,[1]Estrutura!C:E,3,FALSE))</f>
        <v>#N/A</v>
      </c>
      <c r="N2167" s="7"/>
      <c r="O2167" s="7">
        <f t="shared" si="132"/>
        <v>0</v>
      </c>
      <c r="P2167" s="7">
        <f t="shared" si="133"/>
        <v>1</v>
      </c>
      <c r="Q2167" s="7">
        <f t="shared" si="134"/>
        <v>1900</v>
      </c>
      <c r="R2167" s="6">
        <f t="shared" si="135"/>
        <v>0</v>
      </c>
    </row>
    <row r="2168" spans="13:18">
      <c r="M2168" s="8" t="e">
        <f>IF(C2168="Caixa","-",VLOOKUP(J2168,[1]Estrutura!C:E,3,FALSE))</f>
        <v>#N/A</v>
      </c>
      <c r="N2168" s="8"/>
      <c r="O2168" s="7">
        <f t="shared" si="132"/>
        <v>0</v>
      </c>
      <c r="P2168" s="7">
        <f t="shared" si="133"/>
        <v>1</v>
      </c>
      <c r="Q2168" s="7">
        <f t="shared" si="134"/>
        <v>1900</v>
      </c>
      <c r="R2168" s="6">
        <f t="shared" si="135"/>
        <v>0</v>
      </c>
    </row>
    <row r="2169" spans="13:18">
      <c r="M2169" s="7" t="e">
        <f>IF(C2169="Caixa","-",VLOOKUP(J2169,[1]Estrutura!C:E,3,FALSE))</f>
        <v>#N/A</v>
      </c>
      <c r="N2169" s="7"/>
      <c r="O2169" s="7">
        <f t="shared" si="132"/>
        <v>0</v>
      </c>
      <c r="P2169" s="7">
        <f t="shared" si="133"/>
        <v>1</v>
      </c>
      <c r="Q2169" s="7">
        <f t="shared" si="134"/>
        <v>1900</v>
      </c>
      <c r="R2169" s="6">
        <f t="shared" si="135"/>
        <v>0</v>
      </c>
    </row>
    <row r="2170" spans="13:18">
      <c r="M2170" s="7"/>
      <c r="N2170" s="7"/>
      <c r="O2170" s="7"/>
      <c r="P2170" s="7"/>
      <c r="Q2170" s="7"/>
      <c r="R2170" s="6"/>
    </row>
    <row r="2171" spans="13:18">
      <c r="M2171" s="8" t="e">
        <f>IF(C2171="Caixa","-",VLOOKUP(J2171,[1]Estrutura!C:E,3,FALSE))</f>
        <v>#N/A</v>
      </c>
      <c r="N2171" s="8"/>
      <c r="O2171" s="7">
        <f t="shared" ref="O2171:O2214" si="136">DAY(A2171)</f>
        <v>0</v>
      </c>
      <c r="P2171" s="7">
        <f t="shared" ref="P2171:P2214" si="137">MONTH(A2171)</f>
        <v>1</v>
      </c>
      <c r="Q2171" s="7">
        <f t="shared" ref="Q2171:Q2214" si="138">YEAR(A2171)</f>
        <v>1900</v>
      </c>
      <c r="R2171" s="6">
        <f t="shared" ref="R2171:R2214" si="139">D2171-E2171</f>
        <v>0</v>
      </c>
    </row>
    <row r="2172" spans="13:18">
      <c r="M2172" s="7" t="e">
        <f>IF(C2172="Caixa","-",VLOOKUP(J2172,[1]Estrutura!C:E,3,FALSE))</f>
        <v>#N/A</v>
      </c>
      <c r="N2172" s="7"/>
      <c r="O2172" s="7">
        <f t="shared" si="136"/>
        <v>0</v>
      </c>
      <c r="P2172" s="7">
        <f t="shared" si="137"/>
        <v>1</v>
      </c>
      <c r="Q2172" s="7">
        <f t="shared" si="138"/>
        <v>1900</v>
      </c>
      <c r="R2172" s="6">
        <f t="shared" si="139"/>
        <v>0</v>
      </c>
    </row>
    <row r="2173" spans="13:18">
      <c r="M2173" s="8" t="e">
        <f>IF(C2173="Caixa","-",VLOOKUP(J2173,[1]Estrutura!C:E,3,FALSE))</f>
        <v>#N/A</v>
      </c>
      <c r="N2173" s="8"/>
      <c r="O2173" s="7">
        <f t="shared" si="136"/>
        <v>0</v>
      </c>
      <c r="P2173" s="7">
        <f t="shared" si="137"/>
        <v>1</v>
      </c>
      <c r="Q2173" s="7">
        <f t="shared" si="138"/>
        <v>1900</v>
      </c>
      <c r="R2173" s="6">
        <f t="shared" si="139"/>
        <v>0</v>
      </c>
    </row>
    <row r="2174" spans="13:18">
      <c r="M2174" s="7" t="e">
        <f>IF(C2174="Caixa","-",VLOOKUP(J2174,[1]Estrutura!C:E,3,FALSE))</f>
        <v>#N/A</v>
      </c>
      <c r="N2174" s="7"/>
      <c r="O2174" s="7">
        <f t="shared" si="136"/>
        <v>0</v>
      </c>
      <c r="P2174" s="7">
        <f t="shared" si="137"/>
        <v>1</v>
      </c>
      <c r="Q2174" s="7">
        <f t="shared" si="138"/>
        <v>1900</v>
      </c>
      <c r="R2174" s="6">
        <f t="shared" si="139"/>
        <v>0</v>
      </c>
    </row>
    <row r="2175" spans="13:18">
      <c r="M2175" s="8" t="e">
        <f>IF(C2175="Caixa","-",VLOOKUP(J2175,[1]Estrutura!C:E,3,FALSE))</f>
        <v>#N/A</v>
      </c>
      <c r="N2175" s="8"/>
      <c r="O2175" s="7">
        <f t="shared" si="136"/>
        <v>0</v>
      </c>
      <c r="P2175" s="7">
        <f t="shared" si="137"/>
        <v>1</v>
      </c>
      <c r="Q2175" s="7">
        <f t="shared" si="138"/>
        <v>1900</v>
      </c>
      <c r="R2175" s="6">
        <f t="shared" si="139"/>
        <v>0</v>
      </c>
    </row>
    <row r="2176" spans="13:18">
      <c r="M2176" s="7" t="e">
        <f>IF(C2176="Caixa","-",VLOOKUP(J2176,[1]Estrutura!C:E,3,FALSE))</f>
        <v>#N/A</v>
      </c>
      <c r="N2176" s="7"/>
      <c r="O2176" s="7">
        <f t="shared" si="136"/>
        <v>0</v>
      </c>
      <c r="P2176" s="7">
        <f t="shared" si="137"/>
        <v>1</v>
      </c>
      <c r="Q2176" s="7">
        <f t="shared" si="138"/>
        <v>1900</v>
      </c>
      <c r="R2176" s="6">
        <f t="shared" si="139"/>
        <v>0</v>
      </c>
    </row>
    <row r="2177" spans="13:18">
      <c r="M2177" s="8" t="e">
        <f>IF(C2177="Caixa","-",VLOOKUP(J2177,[1]Estrutura!C:E,3,FALSE))</f>
        <v>#N/A</v>
      </c>
      <c r="N2177" s="8"/>
      <c r="O2177" s="7">
        <f t="shared" si="136"/>
        <v>0</v>
      </c>
      <c r="P2177" s="7">
        <f t="shared" si="137"/>
        <v>1</v>
      </c>
      <c r="Q2177" s="7">
        <f t="shared" si="138"/>
        <v>1900</v>
      </c>
      <c r="R2177" s="6">
        <f t="shared" si="139"/>
        <v>0</v>
      </c>
    </row>
    <row r="2178" spans="13:18">
      <c r="M2178" s="7" t="e">
        <f>IF(C2178="Caixa","-",VLOOKUP(J2178,[1]Estrutura!C:E,3,FALSE))</f>
        <v>#N/A</v>
      </c>
      <c r="N2178" s="7"/>
      <c r="O2178" s="7">
        <f t="shared" si="136"/>
        <v>0</v>
      </c>
      <c r="P2178" s="7">
        <f t="shared" si="137"/>
        <v>1</v>
      </c>
      <c r="Q2178" s="7">
        <f t="shared" si="138"/>
        <v>1900</v>
      </c>
      <c r="R2178" s="6">
        <f t="shared" si="139"/>
        <v>0</v>
      </c>
    </row>
    <row r="2179" spans="13:18">
      <c r="M2179" s="8" t="e">
        <f>IF(C2179="Caixa","-",VLOOKUP(J2179,[1]Estrutura!C:E,3,FALSE))</f>
        <v>#N/A</v>
      </c>
      <c r="N2179" s="8"/>
      <c r="O2179" s="7">
        <f t="shared" si="136"/>
        <v>0</v>
      </c>
      <c r="P2179" s="7">
        <f t="shared" si="137"/>
        <v>1</v>
      </c>
      <c r="Q2179" s="7">
        <f t="shared" si="138"/>
        <v>1900</v>
      </c>
      <c r="R2179" s="6">
        <f t="shared" si="139"/>
        <v>0</v>
      </c>
    </row>
    <row r="2180" spans="13:18">
      <c r="M2180" s="7" t="e">
        <f>IF(C2180="Caixa","-",VLOOKUP(J2180,[1]Estrutura!C:E,3,FALSE))</f>
        <v>#N/A</v>
      </c>
      <c r="N2180" s="7"/>
      <c r="O2180" s="7">
        <f t="shared" si="136"/>
        <v>0</v>
      </c>
      <c r="P2180" s="7">
        <f t="shared" si="137"/>
        <v>1</v>
      </c>
      <c r="Q2180" s="7">
        <f t="shared" si="138"/>
        <v>1900</v>
      </c>
      <c r="R2180" s="6">
        <f t="shared" si="139"/>
        <v>0</v>
      </c>
    </row>
    <row r="2181" spans="13:18">
      <c r="M2181" s="8" t="e">
        <f>IF(C2181="Caixa","-",VLOOKUP(J2181,[1]Estrutura!C:E,3,FALSE))</f>
        <v>#N/A</v>
      </c>
      <c r="N2181" s="8"/>
      <c r="O2181" s="7">
        <f t="shared" si="136"/>
        <v>0</v>
      </c>
      <c r="P2181" s="7">
        <f t="shared" si="137"/>
        <v>1</v>
      </c>
      <c r="Q2181" s="7">
        <f t="shared" si="138"/>
        <v>1900</v>
      </c>
      <c r="R2181" s="6">
        <f t="shared" si="139"/>
        <v>0</v>
      </c>
    </row>
    <row r="2182" spans="13:18">
      <c r="M2182" s="7" t="e">
        <f>IF(C2182="Caixa","-",VLOOKUP(J2182,[1]Estrutura!C:E,3,FALSE))</f>
        <v>#N/A</v>
      </c>
      <c r="N2182" s="7"/>
      <c r="O2182" s="7">
        <f t="shared" si="136"/>
        <v>0</v>
      </c>
      <c r="P2182" s="7">
        <f t="shared" si="137"/>
        <v>1</v>
      </c>
      <c r="Q2182" s="7">
        <f t="shared" si="138"/>
        <v>1900</v>
      </c>
      <c r="R2182" s="6">
        <f t="shared" si="139"/>
        <v>0</v>
      </c>
    </row>
    <row r="2183" spans="13:18">
      <c r="M2183" s="8" t="e">
        <f>IF(C2183="Caixa","-",VLOOKUP(J2183,[1]Estrutura!C:E,3,FALSE))</f>
        <v>#N/A</v>
      </c>
      <c r="N2183" s="8"/>
      <c r="O2183" s="7">
        <f t="shared" si="136"/>
        <v>0</v>
      </c>
      <c r="P2183" s="7">
        <f t="shared" si="137"/>
        <v>1</v>
      </c>
      <c r="Q2183" s="7">
        <f t="shared" si="138"/>
        <v>1900</v>
      </c>
      <c r="R2183" s="6">
        <f t="shared" si="139"/>
        <v>0</v>
      </c>
    </row>
    <row r="2184" spans="13:18">
      <c r="M2184" s="7" t="e">
        <f>IF(C2184="Caixa","-",VLOOKUP(J2184,[1]Estrutura!C:E,3,FALSE))</f>
        <v>#N/A</v>
      </c>
      <c r="N2184" s="7"/>
      <c r="O2184" s="7">
        <f t="shared" si="136"/>
        <v>0</v>
      </c>
      <c r="P2184" s="7">
        <f t="shared" si="137"/>
        <v>1</v>
      </c>
      <c r="Q2184" s="7">
        <f t="shared" si="138"/>
        <v>1900</v>
      </c>
      <c r="R2184" s="6">
        <f t="shared" si="139"/>
        <v>0</v>
      </c>
    </row>
    <row r="2185" spans="13:18">
      <c r="M2185" s="8" t="e">
        <f>IF(C2185="Caixa","-",VLOOKUP(J2185,[1]Estrutura!C:E,3,FALSE))</f>
        <v>#N/A</v>
      </c>
      <c r="N2185" s="8"/>
      <c r="O2185" s="7">
        <f t="shared" si="136"/>
        <v>0</v>
      </c>
      <c r="P2185" s="7">
        <f t="shared" si="137"/>
        <v>1</v>
      </c>
      <c r="Q2185" s="7">
        <f t="shared" si="138"/>
        <v>1900</v>
      </c>
      <c r="R2185" s="6">
        <f t="shared" si="139"/>
        <v>0</v>
      </c>
    </row>
    <row r="2186" spans="13:18">
      <c r="M2186" s="7" t="e">
        <f>IF(C2186="Caixa","-",VLOOKUP(J2186,[1]Estrutura!C:E,3,FALSE))</f>
        <v>#N/A</v>
      </c>
      <c r="N2186" s="7"/>
      <c r="O2186" s="7">
        <f t="shared" si="136"/>
        <v>0</v>
      </c>
      <c r="P2186" s="7">
        <f t="shared" si="137"/>
        <v>1</v>
      </c>
      <c r="Q2186" s="7">
        <f t="shared" si="138"/>
        <v>1900</v>
      </c>
      <c r="R2186" s="6">
        <f t="shared" si="139"/>
        <v>0</v>
      </c>
    </row>
    <row r="2187" spans="13:18">
      <c r="M2187" s="8" t="e">
        <f>IF(C2187="Caixa","-",VLOOKUP(J2187,[1]Estrutura!C:E,3,FALSE))</f>
        <v>#N/A</v>
      </c>
      <c r="N2187" s="8"/>
      <c r="O2187" s="7">
        <f t="shared" si="136"/>
        <v>0</v>
      </c>
      <c r="P2187" s="7">
        <f t="shared" si="137"/>
        <v>1</v>
      </c>
      <c r="Q2187" s="7">
        <f t="shared" si="138"/>
        <v>1900</v>
      </c>
      <c r="R2187" s="6">
        <f t="shared" si="139"/>
        <v>0</v>
      </c>
    </row>
    <row r="2188" spans="13:18">
      <c r="M2188" s="7" t="e">
        <f>IF(C2188="Caixa","-",VLOOKUP(J2188,[1]Estrutura!C:E,3,FALSE))</f>
        <v>#N/A</v>
      </c>
      <c r="N2188" s="7"/>
      <c r="O2188" s="7">
        <f t="shared" si="136"/>
        <v>0</v>
      </c>
      <c r="P2188" s="7">
        <f t="shared" si="137"/>
        <v>1</v>
      </c>
      <c r="Q2188" s="7">
        <f t="shared" si="138"/>
        <v>1900</v>
      </c>
      <c r="R2188" s="6">
        <f t="shared" si="139"/>
        <v>0</v>
      </c>
    </row>
    <row r="2189" spans="13:18">
      <c r="M2189" s="8" t="e">
        <f>IF(C2189="Caixa","-",VLOOKUP(J2189,[1]Estrutura!C:E,3,FALSE))</f>
        <v>#N/A</v>
      </c>
      <c r="N2189" s="8"/>
      <c r="O2189" s="7">
        <f t="shared" si="136"/>
        <v>0</v>
      </c>
      <c r="P2189" s="7">
        <f t="shared" si="137"/>
        <v>1</v>
      </c>
      <c r="Q2189" s="7">
        <f t="shared" si="138"/>
        <v>1900</v>
      </c>
      <c r="R2189" s="6">
        <f t="shared" si="139"/>
        <v>0</v>
      </c>
    </row>
    <row r="2190" spans="13:18">
      <c r="M2190" s="7" t="e">
        <f>IF(C2190="Caixa","-",VLOOKUP(J2190,[1]Estrutura!C:E,3,FALSE))</f>
        <v>#N/A</v>
      </c>
      <c r="N2190" s="7"/>
      <c r="O2190" s="7">
        <f t="shared" si="136"/>
        <v>0</v>
      </c>
      <c r="P2190" s="7">
        <f t="shared" si="137"/>
        <v>1</v>
      </c>
      <c r="Q2190" s="7">
        <f t="shared" si="138"/>
        <v>1900</v>
      </c>
      <c r="R2190" s="6">
        <f t="shared" si="139"/>
        <v>0</v>
      </c>
    </row>
    <row r="2191" spans="13:18">
      <c r="M2191" s="8" t="e">
        <f>IF(C2191="Caixa","-",VLOOKUP(J2191,[1]Estrutura!C:E,3,FALSE))</f>
        <v>#N/A</v>
      </c>
      <c r="N2191" s="8"/>
      <c r="O2191" s="7">
        <f t="shared" si="136"/>
        <v>0</v>
      </c>
      <c r="P2191" s="7">
        <f t="shared" si="137"/>
        <v>1</v>
      </c>
      <c r="Q2191" s="7">
        <f t="shared" si="138"/>
        <v>1900</v>
      </c>
      <c r="R2191" s="6">
        <f t="shared" si="139"/>
        <v>0</v>
      </c>
    </row>
    <row r="2192" spans="13:18">
      <c r="M2192" s="7" t="e">
        <f>IF(C2192="Caixa","-",VLOOKUP(J2192,[1]Estrutura!C:E,3,FALSE))</f>
        <v>#N/A</v>
      </c>
      <c r="N2192" s="7"/>
      <c r="O2192" s="7">
        <f t="shared" si="136"/>
        <v>0</v>
      </c>
      <c r="P2192" s="7">
        <f t="shared" si="137"/>
        <v>1</v>
      </c>
      <c r="Q2192" s="7">
        <f t="shared" si="138"/>
        <v>1900</v>
      </c>
      <c r="R2192" s="6">
        <f t="shared" si="139"/>
        <v>0</v>
      </c>
    </row>
    <row r="2193" spans="13:18">
      <c r="M2193" s="8" t="e">
        <f>IF(C2193="Caixa","-",VLOOKUP(J2193,[1]Estrutura!C:E,3,FALSE))</f>
        <v>#N/A</v>
      </c>
      <c r="N2193" s="8"/>
      <c r="O2193" s="7">
        <f t="shared" si="136"/>
        <v>0</v>
      </c>
      <c r="P2193" s="7">
        <f t="shared" si="137"/>
        <v>1</v>
      </c>
      <c r="Q2193" s="7">
        <f t="shared" si="138"/>
        <v>1900</v>
      </c>
      <c r="R2193" s="6">
        <f t="shared" si="139"/>
        <v>0</v>
      </c>
    </row>
    <row r="2194" spans="13:18">
      <c r="M2194" s="7" t="e">
        <f>IF(C2194="Caixa","-",VLOOKUP(J2194,[1]Estrutura!C:E,3,FALSE))</f>
        <v>#N/A</v>
      </c>
      <c r="N2194" s="7"/>
      <c r="O2194" s="7">
        <f t="shared" si="136"/>
        <v>0</v>
      </c>
      <c r="P2194" s="7">
        <f t="shared" si="137"/>
        <v>1</v>
      </c>
      <c r="Q2194" s="7">
        <f t="shared" si="138"/>
        <v>1900</v>
      </c>
      <c r="R2194" s="6">
        <f t="shared" si="139"/>
        <v>0</v>
      </c>
    </row>
    <row r="2195" spans="13:18">
      <c r="M2195" s="8" t="e">
        <f>IF(C2195="Caixa","-",VLOOKUP(J2195,[1]Estrutura!C:E,3,FALSE))</f>
        <v>#N/A</v>
      </c>
      <c r="N2195" s="8"/>
      <c r="O2195" s="7">
        <f t="shared" si="136"/>
        <v>0</v>
      </c>
      <c r="P2195" s="7">
        <f t="shared" si="137"/>
        <v>1</v>
      </c>
      <c r="Q2195" s="7">
        <f t="shared" si="138"/>
        <v>1900</v>
      </c>
      <c r="R2195" s="6">
        <f t="shared" si="139"/>
        <v>0</v>
      </c>
    </row>
    <row r="2196" spans="13:18">
      <c r="M2196" s="7" t="e">
        <f>IF(C2196="Caixa","-",VLOOKUP(J2196,[1]Estrutura!C:E,3,FALSE))</f>
        <v>#N/A</v>
      </c>
      <c r="N2196" s="7"/>
      <c r="O2196" s="7">
        <f t="shared" si="136"/>
        <v>0</v>
      </c>
      <c r="P2196" s="7">
        <f t="shared" si="137"/>
        <v>1</v>
      </c>
      <c r="Q2196" s="7">
        <f t="shared" si="138"/>
        <v>1900</v>
      </c>
      <c r="R2196" s="6">
        <f t="shared" si="139"/>
        <v>0</v>
      </c>
    </row>
    <row r="2197" spans="13:18">
      <c r="M2197" s="8" t="e">
        <f>IF(C2197="Caixa","-",VLOOKUP(J2197,[1]Estrutura!C:E,3,FALSE))</f>
        <v>#N/A</v>
      </c>
      <c r="N2197" s="8"/>
      <c r="O2197" s="7">
        <f t="shared" si="136"/>
        <v>0</v>
      </c>
      <c r="P2197" s="7">
        <f t="shared" si="137"/>
        <v>1</v>
      </c>
      <c r="Q2197" s="7">
        <f t="shared" si="138"/>
        <v>1900</v>
      </c>
      <c r="R2197" s="6">
        <f t="shared" si="139"/>
        <v>0</v>
      </c>
    </row>
    <row r="2198" spans="13:18">
      <c r="M2198" s="7" t="e">
        <f>IF(C2198="Caixa","-",VLOOKUP(J2198,[1]Estrutura!C:E,3,FALSE))</f>
        <v>#N/A</v>
      </c>
      <c r="N2198" s="7"/>
      <c r="O2198" s="7">
        <f t="shared" si="136"/>
        <v>0</v>
      </c>
      <c r="P2198" s="7">
        <f t="shared" si="137"/>
        <v>1</v>
      </c>
      <c r="Q2198" s="7">
        <f t="shared" si="138"/>
        <v>1900</v>
      </c>
      <c r="R2198" s="6">
        <f t="shared" si="139"/>
        <v>0</v>
      </c>
    </row>
    <row r="2199" spans="13:18">
      <c r="M2199" s="8" t="e">
        <f>IF(C2199="Caixa","-",VLOOKUP(J2199,[1]Estrutura!C:E,3,FALSE))</f>
        <v>#N/A</v>
      </c>
      <c r="N2199" s="8"/>
      <c r="O2199" s="7">
        <f t="shared" si="136"/>
        <v>0</v>
      </c>
      <c r="P2199" s="7">
        <f t="shared" si="137"/>
        <v>1</v>
      </c>
      <c r="Q2199" s="7">
        <f t="shared" si="138"/>
        <v>1900</v>
      </c>
      <c r="R2199" s="6">
        <f t="shared" si="139"/>
        <v>0</v>
      </c>
    </row>
    <row r="2200" spans="13:18">
      <c r="M2200" s="7" t="e">
        <f>IF(C2200="Caixa","-",VLOOKUP(J2200,[1]Estrutura!C:E,3,FALSE))</f>
        <v>#N/A</v>
      </c>
      <c r="N2200" s="7"/>
      <c r="O2200" s="7">
        <f t="shared" si="136"/>
        <v>0</v>
      </c>
      <c r="P2200" s="7">
        <f t="shared" si="137"/>
        <v>1</v>
      </c>
      <c r="Q2200" s="7">
        <f t="shared" si="138"/>
        <v>1900</v>
      </c>
      <c r="R2200" s="6">
        <f t="shared" si="139"/>
        <v>0</v>
      </c>
    </row>
    <row r="2201" spans="13:18">
      <c r="M2201" s="8" t="e">
        <f>IF(C2201="Caixa","-",VLOOKUP(J2201,[1]Estrutura!C:E,3,FALSE))</f>
        <v>#N/A</v>
      </c>
      <c r="N2201" s="8"/>
      <c r="O2201" s="7">
        <f t="shared" si="136"/>
        <v>0</v>
      </c>
      <c r="P2201" s="7">
        <f t="shared" si="137"/>
        <v>1</v>
      </c>
      <c r="Q2201" s="7">
        <f t="shared" si="138"/>
        <v>1900</v>
      </c>
      <c r="R2201" s="6">
        <f t="shared" si="139"/>
        <v>0</v>
      </c>
    </row>
    <row r="2202" spans="13:18">
      <c r="M2202" s="7" t="e">
        <f>IF(C2202="Caixa","-",VLOOKUP(J2202,[1]Estrutura!C:E,3,FALSE))</f>
        <v>#N/A</v>
      </c>
      <c r="N2202" s="7"/>
      <c r="O2202" s="7">
        <f t="shared" si="136"/>
        <v>0</v>
      </c>
      <c r="P2202" s="7">
        <f t="shared" si="137"/>
        <v>1</v>
      </c>
      <c r="Q2202" s="7">
        <f t="shared" si="138"/>
        <v>1900</v>
      </c>
      <c r="R2202" s="6">
        <f t="shared" si="139"/>
        <v>0</v>
      </c>
    </row>
    <row r="2203" spans="13:18">
      <c r="M2203" s="8" t="e">
        <f>IF(C2203="Caixa","-",VLOOKUP(J2203,[1]Estrutura!C:E,3,FALSE))</f>
        <v>#N/A</v>
      </c>
      <c r="N2203" s="8"/>
      <c r="O2203" s="7">
        <f t="shared" si="136"/>
        <v>0</v>
      </c>
      <c r="P2203" s="7">
        <f t="shared" si="137"/>
        <v>1</v>
      </c>
      <c r="Q2203" s="7">
        <f t="shared" si="138"/>
        <v>1900</v>
      </c>
      <c r="R2203" s="6">
        <f t="shared" si="139"/>
        <v>0</v>
      </c>
    </row>
    <row r="2204" spans="13:18">
      <c r="M2204" s="7" t="e">
        <f>IF(C2204="Caixa","-",VLOOKUP(J2204,[1]Estrutura!C:E,3,FALSE))</f>
        <v>#N/A</v>
      </c>
      <c r="N2204" s="7"/>
      <c r="O2204" s="7">
        <f t="shared" si="136"/>
        <v>0</v>
      </c>
      <c r="P2204" s="7">
        <f t="shared" si="137"/>
        <v>1</v>
      </c>
      <c r="Q2204" s="7">
        <f t="shared" si="138"/>
        <v>1900</v>
      </c>
      <c r="R2204" s="6">
        <f t="shared" si="139"/>
        <v>0</v>
      </c>
    </row>
    <row r="2205" spans="13:18">
      <c r="M2205" s="7" t="e">
        <f>IF(C2205="Caixa","-",VLOOKUP(J2205,[1]Estrutura!C:E,3,FALSE))</f>
        <v>#N/A</v>
      </c>
      <c r="N2205" s="7"/>
      <c r="O2205" s="7">
        <f t="shared" si="136"/>
        <v>0</v>
      </c>
      <c r="P2205" s="7">
        <f t="shared" si="137"/>
        <v>1</v>
      </c>
      <c r="Q2205" s="7">
        <f t="shared" si="138"/>
        <v>1900</v>
      </c>
      <c r="R2205" s="6">
        <f t="shared" si="139"/>
        <v>0</v>
      </c>
    </row>
    <row r="2206" spans="13:18">
      <c r="M2206" s="8" t="e">
        <f>IF(C2206="Caixa","-",VLOOKUP(J2206,[1]Estrutura!C:E,3,FALSE))</f>
        <v>#N/A</v>
      </c>
      <c r="N2206" s="8"/>
      <c r="O2206" s="7">
        <f t="shared" si="136"/>
        <v>0</v>
      </c>
      <c r="P2206" s="7">
        <f t="shared" si="137"/>
        <v>1</v>
      </c>
      <c r="Q2206" s="7">
        <f t="shared" si="138"/>
        <v>1900</v>
      </c>
      <c r="R2206" s="6">
        <f t="shared" si="139"/>
        <v>0</v>
      </c>
    </row>
    <row r="2207" spans="13:18">
      <c r="M2207" s="7" t="e">
        <f>IF(C2207="Caixa","-",VLOOKUP(J2207,[1]Estrutura!C:E,3,FALSE))</f>
        <v>#N/A</v>
      </c>
      <c r="N2207" s="7"/>
      <c r="O2207" s="7">
        <f t="shared" si="136"/>
        <v>0</v>
      </c>
      <c r="P2207" s="7">
        <f t="shared" si="137"/>
        <v>1</v>
      </c>
      <c r="Q2207" s="7">
        <f t="shared" si="138"/>
        <v>1900</v>
      </c>
      <c r="R2207" s="6">
        <f t="shared" si="139"/>
        <v>0</v>
      </c>
    </row>
    <row r="2208" spans="13:18">
      <c r="M2208" s="8" t="e">
        <f>IF(C2208="Caixa","-",VLOOKUP(J2208,[1]Estrutura!C:E,3,FALSE))</f>
        <v>#N/A</v>
      </c>
      <c r="N2208" s="8"/>
      <c r="O2208" s="7">
        <f t="shared" si="136"/>
        <v>0</v>
      </c>
      <c r="P2208" s="7">
        <f t="shared" si="137"/>
        <v>1</v>
      </c>
      <c r="Q2208" s="7">
        <f t="shared" si="138"/>
        <v>1900</v>
      </c>
      <c r="R2208" s="6">
        <f t="shared" si="139"/>
        <v>0</v>
      </c>
    </row>
    <row r="2209" spans="13:18">
      <c r="M2209" s="7" t="e">
        <f>IF(C2209="Caixa","-",VLOOKUP(J2209,[1]Estrutura!C:E,3,FALSE))</f>
        <v>#N/A</v>
      </c>
      <c r="N2209" s="7"/>
      <c r="O2209" s="7">
        <f t="shared" si="136"/>
        <v>0</v>
      </c>
      <c r="P2209" s="7">
        <f t="shared" si="137"/>
        <v>1</v>
      </c>
      <c r="Q2209" s="7">
        <f t="shared" si="138"/>
        <v>1900</v>
      </c>
      <c r="R2209" s="6">
        <f t="shared" si="139"/>
        <v>0</v>
      </c>
    </row>
    <row r="2210" spans="13:18">
      <c r="M2210" s="8" t="e">
        <f>IF(C2210="Caixa","-",VLOOKUP(J2210,[1]Estrutura!C:E,3,FALSE))</f>
        <v>#N/A</v>
      </c>
      <c r="N2210" s="8"/>
      <c r="O2210" s="7">
        <f t="shared" si="136"/>
        <v>0</v>
      </c>
      <c r="P2210" s="7">
        <f t="shared" si="137"/>
        <v>1</v>
      </c>
      <c r="Q2210" s="7">
        <f t="shared" si="138"/>
        <v>1900</v>
      </c>
      <c r="R2210" s="6">
        <f t="shared" si="139"/>
        <v>0</v>
      </c>
    </row>
    <row r="2211" spans="13:18">
      <c r="M2211" s="7" t="e">
        <f>IF(C2211="Caixa","-",VLOOKUP(J2211,[1]Estrutura!C:E,3,FALSE))</f>
        <v>#N/A</v>
      </c>
      <c r="N2211" s="7"/>
      <c r="O2211" s="7">
        <f t="shared" si="136"/>
        <v>0</v>
      </c>
      <c r="P2211" s="7">
        <f t="shared" si="137"/>
        <v>1</v>
      </c>
      <c r="Q2211" s="7">
        <f t="shared" si="138"/>
        <v>1900</v>
      </c>
      <c r="R2211" s="6">
        <f t="shared" si="139"/>
        <v>0</v>
      </c>
    </row>
    <row r="2212" spans="13:18">
      <c r="M2212" s="8" t="e">
        <f>IF(C2212="Caixa","-",VLOOKUP(J2212,[1]Estrutura!C:E,3,FALSE))</f>
        <v>#N/A</v>
      </c>
      <c r="N2212" s="8"/>
      <c r="O2212" s="7">
        <f t="shared" si="136"/>
        <v>0</v>
      </c>
      <c r="P2212" s="7">
        <f t="shared" si="137"/>
        <v>1</v>
      </c>
      <c r="Q2212" s="7">
        <f t="shared" si="138"/>
        <v>1900</v>
      </c>
      <c r="R2212" s="6">
        <f t="shared" si="139"/>
        <v>0</v>
      </c>
    </row>
    <row r="2213" spans="13:18">
      <c r="M2213" s="7" t="e">
        <f>IF(C2213="Caixa","-",VLOOKUP(J2213,[1]Estrutura!C:E,3,FALSE))</f>
        <v>#N/A</v>
      </c>
      <c r="N2213" s="7"/>
      <c r="O2213" s="7">
        <f t="shared" si="136"/>
        <v>0</v>
      </c>
      <c r="P2213" s="7">
        <f t="shared" si="137"/>
        <v>1</v>
      </c>
      <c r="Q2213" s="7">
        <f t="shared" si="138"/>
        <v>1900</v>
      </c>
      <c r="R2213" s="6">
        <f t="shared" si="139"/>
        <v>0</v>
      </c>
    </row>
    <row r="2214" spans="13:18">
      <c r="M2214" s="8" t="e">
        <f>IF(C2214="Caixa","-",VLOOKUP(J2214,[1]Estrutura!C:E,3,FALSE))</f>
        <v>#N/A</v>
      </c>
      <c r="N2214" s="8"/>
      <c r="O2214" s="7">
        <f t="shared" si="136"/>
        <v>0</v>
      </c>
      <c r="P2214" s="7">
        <f t="shared" si="137"/>
        <v>1</v>
      </c>
      <c r="Q2214" s="7">
        <f t="shared" si="138"/>
        <v>1900</v>
      </c>
      <c r="R2214" s="6">
        <f t="shared" si="139"/>
        <v>0</v>
      </c>
    </row>
  </sheetData>
  <pageMargins left="0.51181102362204722" right="0.51181102362204722" top="0.78740157480314965" bottom="0.78740157480314965" header="0.31496062992125984" footer="0.31496062992125984"/>
  <pageSetup paperSize="9" scale="59" orientation="landscape" r:id="rId1"/>
  <colBreaks count="1" manualBreakCount="1">
    <brk id="11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Movimento</vt:lpstr>
      <vt:lpstr>Movimento!Titulos_de_impressao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Larm Participações</dc:creator>
  <cp:lastModifiedBy>Larm Participações</cp:lastModifiedBy>
  <dcterms:created xsi:type="dcterms:W3CDTF">2026-05-29T02:47:09Z</dcterms:created>
  <dcterms:modified xsi:type="dcterms:W3CDTF">2026-05-31T22:36:47Z</dcterms:modified>
</cp:coreProperties>
</file>